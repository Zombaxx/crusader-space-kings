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pivotTables/pivotTable1.xml" ContentType="application/vnd.openxmlformats-officedocument.spreadsheetml.pivotTable+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827" codeName="{C5BBEA04-B48B-DB03-FC8F-E18A6752861A}"/>
  <workbookPr codeName="ThisWorkbook" defaultThemeVersion="166925"/>
  <mc:AlternateContent xmlns:mc="http://schemas.openxmlformats.org/markup-compatibility/2006">
    <mc:Choice Requires="x15">
      <x15ac:absPath xmlns:x15ac="http://schemas.microsoft.com/office/spreadsheetml/2010/11/ac" url="C:\Users\maxpi\Documents\Paradox Interactive\Crusader Kings II\mod\crusader-space-kings\images for ck2maptools\"/>
    </mc:Choice>
  </mc:AlternateContent>
  <xr:revisionPtr revIDLastSave="0" documentId="13_ncr:1_{A1961999-06F0-4382-8ABF-FFAD50A082EE}" xr6:coauthVersionLast="47" xr6:coauthVersionMax="47" xr10:uidLastSave="{00000000-0000-0000-0000-000000000000}"/>
  <bookViews>
    <workbookView xWindow="-93" yWindow="-93" windowWidth="25786" windowHeight="13986" firstSheet="2" activeTab="9" xr2:uid="{29AE3946-0C83-4024-B6DD-E4AE4DDA76BD}"/>
  </bookViews>
  <sheets>
    <sheet name="solar system" sheetId="1" r:id="rId1"/>
    <sheet name="western pacific" sheetId="5" r:id="rId2"/>
    <sheet name="pivot" sheetId="4" r:id="rId3"/>
    <sheet name="religions" sheetId="3" r:id="rId4"/>
    <sheet name="religion 2.0" sheetId="11" r:id="rId5"/>
    <sheet name="Sheet1" sheetId="33" r:id="rId6"/>
    <sheet name="misc province names" sheetId="22" r:id="rId7"/>
    <sheet name="culture (old)" sheetId="6" r:id="rId8"/>
    <sheet name="Sheet12" sheetId="25" r:id="rId9"/>
    <sheet name="cultures 2.0" sheetId="10" r:id="rId10"/>
    <sheet name="bogan boys" sheetId="26" r:id="rId11"/>
    <sheet name="bogan girls" sheetId="28" r:id="rId12"/>
    <sheet name="aus boys" sheetId="30" r:id="rId13"/>
    <sheet name="aus girls" sheetId="29" r:id="rId14"/>
    <sheet name="nz" sheetId="31" r:id="rId15"/>
    <sheet name="culture titles" sheetId="32" r:id="rId16"/>
    <sheet name="Titles" sheetId="15" r:id="rId17"/>
    <sheet name="culture code" sheetId="8" r:id="rId18"/>
    <sheet name="culture group" sheetId="17" r:id="rId19"/>
    <sheet name="provinces" sheetId="7" r:id="rId20"/>
  </sheets>
  <definedNames>
    <definedName name="_xlnm._FilterDatabase" localSheetId="13" hidden="1">'aus girls'!#REF!</definedName>
    <definedName name="_xlnm._FilterDatabase" localSheetId="10" hidden="1">'bogan boys'!$A$1:$CD$252</definedName>
    <definedName name="_xlnm._FilterDatabase" localSheetId="11" hidden="1">'bogan girls'!$A$1:$AU$116</definedName>
    <definedName name="_xlnm._FilterDatabase" localSheetId="7" hidden="1">'culture (old)'!$A$1:$K$66</definedName>
    <definedName name="_xlnm._FilterDatabase" localSheetId="18" hidden="1">'culture group'!$B$1:$B$26</definedName>
    <definedName name="_xlnm._FilterDatabase" localSheetId="9" hidden="1">'cultures 2.0'!$A$1:$X$171</definedName>
    <definedName name="_xlnm._FilterDatabase" localSheetId="14" hidden="1">nz!$A$1:$B$97</definedName>
    <definedName name="_xlnm._FilterDatabase" localSheetId="19" hidden="1">provinces!$A$1:$R$1743</definedName>
    <definedName name="_xlnm._FilterDatabase" localSheetId="4" hidden="1">'religion 2.0'!$A$1:$X$219</definedName>
    <definedName name="_xlnm._FilterDatabase" localSheetId="3" hidden="1">religions!$A$1:$T$19</definedName>
    <definedName name="_xlnm._FilterDatabase" localSheetId="5" hidden="1">Sheet1!$A$1:$B$53</definedName>
    <definedName name="_xlnm._FilterDatabase" localSheetId="0" hidden="1">'solar system'!$A$1:$H$12</definedName>
    <definedName name="_xlnm._FilterDatabase" localSheetId="16" hidden="1">Titles!$A$1:$H$53</definedName>
    <definedName name="_xlnm._FilterDatabase" localSheetId="1" hidden="1">'western pacific'!$A$1:$S$20</definedName>
  </definedNames>
  <calcPr calcId="191029"/>
  <pivotCaches>
    <pivotCache cacheId="0" r:id="rId21"/>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feature name="microsoft.com:LET_WF"/>
      </xcalcf:calcFeatures>
    </ext>
  </extLst>
</workbook>
</file>

<file path=xl/calcChain.xml><?xml version="1.0" encoding="utf-8"?>
<calcChain xmlns="http://schemas.openxmlformats.org/spreadsheetml/2006/main">
  <c r="E27" i="33" l="1"/>
  <c r="E26" i="33"/>
  <c r="E25" i="33"/>
  <c r="E24" i="33"/>
  <c r="E23" i="33"/>
  <c r="E22" i="33"/>
  <c r="E21" i="33"/>
  <c r="E20" i="33"/>
  <c r="E19" i="33"/>
  <c r="E18" i="33"/>
  <c r="E17" i="33"/>
  <c r="E16" i="33"/>
  <c r="E15" i="33"/>
  <c r="E14" i="33"/>
  <c r="E13" i="33"/>
  <c r="E12" i="33"/>
  <c r="E11" i="33"/>
  <c r="E10" i="33"/>
  <c r="E9" i="33"/>
  <c r="E8" i="33"/>
  <c r="E7" i="33"/>
  <c r="E6" i="33"/>
  <c r="E5" i="33"/>
  <c r="E4" i="33"/>
  <c r="E3" i="33"/>
  <c r="E2" i="33"/>
  <c r="V2" i="11"/>
  <c r="U219" i="11"/>
  <c r="U218" i="11"/>
  <c r="U217" i="11"/>
  <c r="U216" i="11"/>
  <c r="U215" i="11"/>
  <c r="U214" i="11"/>
  <c r="U213" i="11"/>
  <c r="U212" i="11"/>
  <c r="U211" i="11"/>
  <c r="U210" i="11"/>
  <c r="U209" i="11"/>
  <c r="U208" i="11"/>
  <c r="U207" i="11"/>
  <c r="U206" i="11"/>
  <c r="U205" i="11"/>
  <c r="W204" i="11"/>
  <c r="V204" i="11"/>
  <c r="U204" i="11"/>
  <c r="U203" i="11"/>
  <c r="U202" i="11"/>
  <c r="U201" i="11"/>
  <c r="U200" i="11"/>
  <c r="U199" i="11"/>
  <c r="U198" i="11"/>
  <c r="U197" i="11"/>
  <c r="U196" i="11"/>
  <c r="U195" i="11"/>
  <c r="U194" i="11"/>
  <c r="U193" i="11"/>
  <c r="U192" i="11"/>
  <c r="W191" i="11"/>
  <c r="V191" i="11"/>
  <c r="U191" i="11"/>
  <c r="U190" i="11"/>
  <c r="U189" i="11"/>
  <c r="U188" i="11"/>
  <c r="U187" i="11"/>
  <c r="U186" i="11"/>
  <c r="U185" i="11"/>
  <c r="U184" i="11"/>
  <c r="U183" i="11"/>
  <c r="U182" i="11"/>
  <c r="U181" i="11"/>
  <c r="U180" i="11"/>
  <c r="U179" i="11"/>
  <c r="U178" i="11"/>
  <c r="U177" i="11"/>
  <c r="U176" i="11"/>
  <c r="U175" i="11"/>
  <c r="U174" i="11"/>
  <c r="U173" i="11"/>
  <c r="U172" i="11"/>
  <c r="W171" i="11"/>
  <c r="V171" i="11"/>
  <c r="U171" i="11"/>
  <c r="U170" i="11"/>
  <c r="U169" i="11"/>
  <c r="U168" i="11"/>
  <c r="U167" i="11"/>
  <c r="U166" i="11"/>
  <c r="U165" i="11"/>
  <c r="U164" i="11"/>
  <c r="W163" i="11"/>
  <c r="V163" i="11"/>
  <c r="U163" i="11"/>
  <c r="W162" i="11"/>
  <c r="V162" i="11"/>
  <c r="U162" i="11"/>
  <c r="U161" i="11"/>
  <c r="U160" i="11"/>
  <c r="U159" i="11"/>
  <c r="U158" i="11"/>
  <c r="U157" i="11"/>
  <c r="U156" i="11"/>
  <c r="U155" i="11"/>
  <c r="W154" i="11"/>
  <c r="V154" i="11"/>
  <c r="U154" i="11"/>
  <c r="W153" i="11"/>
  <c r="V153" i="11"/>
  <c r="U153" i="11"/>
  <c r="U152" i="11"/>
  <c r="U151" i="11"/>
  <c r="U150" i="11"/>
  <c r="U149" i="11"/>
  <c r="U148" i="11"/>
  <c r="U147" i="11"/>
  <c r="U146" i="11"/>
  <c r="W145" i="11"/>
  <c r="V145" i="11"/>
  <c r="U145" i="11"/>
  <c r="W144" i="11"/>
  <c r="V144" i="11"/>
  <c r="U144" i="11"/>
  <c r="U143" i="11"/>
  <c r="U142" i="11"/>
  <c r="U141" i="11"/>
  <c r="U140" i="11"/>
  <c r="U139" i="11"/>
  <c r="U138" i="11"/>
  <c r="U137" i="11"/>
  <c r="W136" i="11"/>
  <c r="V136" i="11"/>
  <c r="U136" i="11"/>
  <c r="U135" i="11"/>
  <c r="U134" i="11"/>
  <c r="U133" i="11"/>
  <c r="U132" i="11"/>
  <c r="U131" i="11"/>
  <c r="U130" i="11"/>
  <c r="U129" i="11"/>
  <c r="U128" i="11"/>
  <c r="U127" i="11"/>
  <c r="U126" i="11"/>
  <c r="U125" i="11"/>
  <c r="U124" i="11"/>
  <c r="U123" i="11"/>
  <c r="U122" i="11"/>
  <c r="U121" i="11"/>
  <c r="U120" i="11"/>
  <c r="U119" i="11"/>
  <c r="U118" i="11"/>
  <c r="U117" i="11"/>
  <c r="U116" i="11"/>
  <c r="U115" i="11"/>
  <c r="U114" i="11"/>
  <c r="U113" i="11"/>
  <c r="U112" i="11"/>
  <c r="U111" i="11"/>
  <c r="U110" i="11"/>
  <c r="U109" i="11"/>
  <c r="U108" i="11"/>
  <c r="U107" i="11"/>
  <c r="U106" i="11"/>
  <c r="U105" i="11"/>
  <c r="U104" i="11"/>
  <c r="U103" i="11"/>
  <c r="U102" i="11"/>
  <c r="U101" i="11"/>
  <c r="U100" i="11"/>
  <c r="U99" i="11"/>
  <c r="U98" i="11"/>
  <c r="U97" i="11"/>
  <c r="U96" i="11"/>
  <c r="U95" i="11"/>
  <c r="U94" i="11"/>
  <c r="U93" i="11"/>
  <c r="U92" i="11"/>
  <c r="U91" i="11"/>
  <c r="U90" i="11"/>
  <c r="U89" i="11"/>
  <c r="U88" i="11"/>
  <c r="U87" i="11"/>
  <c r="U86" i="11"/>
  <c r="U85" i="11"/>
  <c r="W84" i="11"/>
  <c r="V84" i="11"/>
  <c r="U84" i="11"/>
  <c r="U83" i="11"/>
  <c r="U82" i="11"/>
  <c r="U81" i="11"/>
  <c r="U80" i="11"/>
  <c r="U79" i="11"/>
  <c r="U78" i="11"/>
  <c r="U77" i="11"/>
  <c r="W76" i="11"/>
  <c r="V76" i="11"/>
  <c r="U76" i="11"/>
  <c r="U75" i="11"/>
  <c r="U74" i="11"/>
  <c r="U73" i="11"/>
  <c r="U72" i="11"/>
  <c r="U71" i="11"/>
  <c r="U70" i="11"/>
  <c r="U69" i="11"/>
  <c r="U68" i="11"/>
  <c r="U67" i="11"/>
  <c r="U66" i="11"/>
  <c r="U65" i="11"/>
  <c r="U64" i="11"/>
  <c r="U63" i="11"/>
  <c r="U62" i="11"/>
  <c r="U61" i="11"/>
  <c r="U60" i="11"/>
  <c r="U59" i="11"/>
  <c r="U58" i="11"/>
  <c r="U57" i="11"/>
  <c r="U56" i="11"/>
  <c r="U55" i="11"/>
  <c r="U54" i="11"/>
  <c r="U53" i="11"/>
  <c r="U52" i="11"/>
  <c r="U51" i="11"/>
  <c r="U50" i="11"/>
  <c r="U49" i="11"/>
  <c r="U48" i="11"/>
  <c r="U47" i="11"/>
  <c r="U46" i="11"/>
  <c r="U45" i="11"/>
  <c r="U44" i="11"/>
  <c r="U43" i="11"/>
  <c r="W42" i="11"/>
  <c r="V42" i="11"/>
  <c r="U42" i="11"/>
  <c r="U41" i="11"/>
  <c r="U40" i="11"/>
  <c r="U39" i="11"/>
  <c r="U38" i="11"/>
  <c r="U37" i="11"/>
  <c r="U36" i="11"/>
  <c r="U35" i="11"/>
  <c r="U34" i="11"/>
  <c r="U33" i="11"/>
  <c r="U32" i="11"/>
  <c r="U31" i="11"/>
  <c r="U30" i="11"/>
  <c r="U29" i="11"/>
  <c r="U28" i="11"/>
  <c r="U27" i="11"/>
  <c r="U26" i="11"/>
  <c r="U25" i="11"/>
  <c r="U24" i="11"/>
  <c r="U23" i="11"/>
  <c r="W22" i="11"/>
  <c r="V22" i="11"/>
  <c r="U22" i="11"/>
  <c r="U21" i="11"/>
  <c r="U20" i="11"/>
  <c r="U19" i="11"/>
  <c r="U18" i="11"/>
  <c r="U17" i="11"/>
  <c r="U16" i="11"/>
  <c r="U15" i="11"/>
  <c r="U14" i="11"/>
  <c r="U13" i="11"/>
  <c r="U12" i="11"/>
  <c r="U11" i="11"/>
  <c r="U10" i="11"/>
  <c r="U9" i="11"/>
  <c r="U8" i="11"/>
  <c r="W7" i="11"/>
  <c r="V7" i="11"/>
  <c r="U7" i="11"/>
  <c r="U6" i="11"/>
  <c r="U5" i="11"/>
  <c r="U4" i="11"/>
  <c r="U3" i="11"/>
  <c r="W2" i="11"/>
  <c r="U2" i="11"/>
  <c r="B77" i="26"/>
  <c r="B78" i="26"/>
  <c r="B79" i="26"/>
  <c r="B80" i="26"/>
  <c r="B81" i="26"/>
  <c r="B82" i="26"/>
  <c r="B83" i="26"/>
  <c r="B84" i="26"/>
  <c r="B85" i="26"/>
  <c r="B86" i="26"/>
  <c r="B87" i="26"/>
  <c r="B88" i="26"/>
  <c r="B89" i="26"/>
  <c r="B90" i="26"/>
  <c r="B91" i="26"/>
  <c r="B92" i="26"/>
  <c r="B93" i="26"/>
  <c r="B94" i="26"/>
  <c r="B95" i="26"/>
  <c r="B96" i="26"/>
  <c r="B97" i="26"/>
  <c r="B98" i="26"/>
  <c r="B99" i="26"/>
  <c r="B100" i="26"/>
  <c r="B101" i="26"/>
  <c r="B102" i="26"/>
  <c r="B103" i="26"/>
  <c r="B104" i="26"/>
  <c r="B105" i="26"/>
  <c r="B106" i="26"/>
  <c r="B107" i="26"/>
  <c r="B108" i="26"/>
  <c r="B109" i="26"/>
  <c r="B110" i="26"/>
  <c r="B111" i="26"/>
  <c r="B112" i="26"/>
  <c r="B113" i="26"/>
  <c r="B73" i="28"/>
  <c r="B74" i="28"/>
  <c r="B75" i="28"/>
  <c r="B76" i="28"/>
  <c r="B77" i="28"/>
  <c r="B78" i="28"/>
  <c r="B79" i="28"/>
  <c r="B80" i="28"/>
  <c r="B81" i="28"/>
  <c r="B82" i="28"/>
  <c r="B76" i="26"/>
  <c r="B72" i="26"/>
  <c r="B73" i="26"/>
  <c r="B74" i="26"/>
  <c r="B75" i="26"/>
  <c r="B71" i="26"/>
  <c r="B70" i="26"/>
  <c r="B21" i="26"/>
  <c r="B22" i="26"/>
  <c r="B23" i="26"/>
  <c r="B24" i="26"/>
  <c r="B25" i="26"/>
  <c r="B26" i="26"/>
  <c r="B27" i="26"/>
  <c r="B28" i="26"/>
  <c r="B29" i="26"/>
  <c r="B30" i="26"/>
  <c r="B31" i="26"/>
  <c r="B32" i="26"/>
  <c r="B33" i="26"/>
  <c r="B34" i="26"/>
  <c r="B35" i="26"/>
  <c r="B36" i="26"/>
  <c r="B37" i="26"/>
  <c r="B38" i="26"/>
  <c r="B39" i="26"/>
  <c r="B40" i="26"/>
  <c r="B41" i="26"/>
  <c r="B42" i="26"/>
  <c r="B43" i="26"/>
  <c r="B44" i="26"/>
  <c r="B45" i="26"/>
  <c r="B46" i="26"/>
  <c r="B47" i="26"/>
  <c r="B48" i="26"/>
  <c r="B49" i="26"/>
  <c r="B50" i="26"/>
  <c r="B51" i="26"/>
  <c r="B52" i="26"/>
  <c r="B53" i="26"/>
  <c r="B54" i="26"/>
  <c r="B55" i="26"/>
  <c r="B56" i="26"/>
  <c r="B57" i="26"/>
  <c r="B58" i="26"/>
  <c r="B59" i="26"/>
  <c r="B60" i="26"/>
  <c r="B61" i="26"/>
  <c r="B62" i="26"/>
  <c r="B63" i="26"/>
  <c r="B64" i="26"/>
  <c r="B65" i="26"/>
  <c r="B66" i="26"/>
  <c r="B67" i="26"/>
  <c r="B68" i="26"/>
  <c r="B69" i="26"/>
  <c r="B24" i="28"/>
  <c r="B25" i="28"/>
  <c r="B26" i="28"/>
  <c r="B27" i="28"/>
  <c r="B28" i="28"/>
  <c r="B29" i="28"/>
  <c r="B30" i="28"/>
  <c r="B31" i="28"/>
  <c r="B32" i="28"/>
  <c r="B33" i="28"/>
  <c r="B34" i="28"/>
  <c r="B35" i="28"/>
  <c r="B36" i="28"/>
  <c r="B37" i="28"/>
  <c r="B38" i="28"/>
  <c r="B39" i="28"/>
  <c r="B40" i="28"/>
  <c r="B41" i="28"/>
  <c r="B42" i="28"/>
  <c r="B43" i="28"/>
  <c r="B44" i="28"/>
  <c r="B45" i="28"/>
  <c r="B46" i="28"/>
  <c r="B47" i="28"/>
  <c r="B48" i="28"/>
  <c r="B49" i="28"/>
  <c r="B50" i="28"/>
  <c r="B51" i="28"/>
  <c r="B52" i="28"/>
  <c r="B53" i="28"/>
  <c r="B54" i="28"/>
  <c r="B55" i="28"/>
  <c r="B56" i="28"/>
  <c r="B57" i="28"/>
  <c r="B58" i="28"/>
  <c r="B59" i="28"/>
  <c r="B60" i="28"/>
  <c r="B61" i="28"/>
  <c r="B62" i="28"/>
  <c r="B63" i="28"/>
  <c r="B64" i="28"/>
  <c r="B65" i="28"/>
  <c r="B66" i="28"/>
  <c r="B67" i="28"/>
  <c r="B68" i="28"/>
  <c r="B69" i="28"/>
  <c r="B70" i="28"/>
  <c r="B71" i="28"/>
  <c r="B72" i="28"/>
  <c r="B23" i="28"/>
  <c r="B22" i="28"/>
  <c r="B21" i="28"/>
  <c r="B20" i="28"/>
  <c r="B19" i="28"/>
  <c r="B18" i="28"/>
  <c r="B17" i="28"/>
  <c r="B16" i="28"/>
  <c r="B15" i="28"/>
  <c r="B14" i="28"/>
  <c r="B13" i="28"/>
  <c r="B12" i="28"/>
  <c r="B11" i="28"/>
  <c r="B10" i="28"/>
  <c r="B9" i="28"/>
  <c r="B8" i="28"/>
  <c r="B7" i="28"/>
  <c r="B6" i="28"/>
  <c r="B5" i="28"/>
  <c r="B4" i="28"/>
  <c r="B3" i="28"/>
  <c r="B2" i="28"/>
  <c r="B1" i="28"/>
  <c r="B20" i="26"/>
  <c r="B19" i="26"/>
  <c r="B18" i="26"/>
  <c r="B17" i="26"/>
  <c r="B16" i="26"/>
  <c r="B15" i="26"/>
  <c r="B14" i="26"/>
  <c r="B13" i="26"/>
  <c r="B12" i="26"/>
  <c r="B11" i="26"/>
  <c r="B10" i="26"/>
  <c r="B9" i="26"/>
  <c r="B8" i="26"/>
  <c r="B7" i="26"/>
  <c r="B6" i="26"/>
  <c r="B5" i="26"/>
  <c r="B4" i="26"/>
  <c r="B3" i="26"/>
  <c r="B2" i="26"/>
  <c r="B1" i="26"/>
  <c r="V107" i="10"/>
  <c r="V136" i="10"/>
  <c r="V135" i="10"/>
  <c r="V134" i="10"/>
  <c r="V133" i="10"/>
  <c r="V132" i="10"/>
  <c r="V131" i="10"/>
  <c r="V130" i="10"/>
  <c r="V129" i="10"/>
  <c r="V128" i="10"/>
  <c r="V127" i="10"/>
  <c r="V126" i="10"/>
  <c r="V125" i="10"/>
  <c r="V124" i="10"/>
  <c r="V123" i="10"/>
  <c r="V122" i="10"/>
  <c r="V121" i="10"/>
  <c r="V120" i="10"/>
  <c r="V119" i="10"/>
  <c r="V118" i="10"/>
  <c r="V117" i="10"/>
  <c r="V113" i="10"/>
  <c r="V112" i="10"/>
  <c r="V109" i="10"/>
  <c r="V106" i="10"/>
  <c r="V102" i="10"/>
  <c r="V101" i="10"/>
  <c r="V100" i="10"/>
  <c r="V99" i="10"/>
  <c r="V98" i="10"/>
  <c r="V93" i="10"/>
  <c r="V90" i="10"/>
  <c r="V64" i="10"/>
  <c r="V63" i="10"/>
  <c r="V62" i="10"/>
  <c r="V40" i="10"/>
  <c r="V38" i="10"/>
  <c r="V37" i="10"/>
  <c r="V35" i="10"/>
  <c r="V33" i="10"/>
  <c r="V32" i="10"/>
  <c r="V29" i="10"/>
  <c r="V25" i="10"/>
  <c r="V16" i="10"/>
  <c r="V13" i="10"/>
  <c r="V12" i="10"/>
  <c r="V11" i="10"/>
  <c r="V9" i="10"/>
  <c r="V3" i="10"/>
  <c r="V2" i="10"/>
  <c r="U169" i="10"/>
  <c r="U168" i="10"/>
  <c r="U167" i="10"/>
  <c r="U166" i="10"/>
  <c r="U165" i="10"/>
  <c r="U164" i="10"/>
  <c r="U163" i="10"/>
  <c r="U162" i="10"/>
  <c r="U161" i="10"/>
  <c r="U160" i="10"/>
  <c r="U159" i="10"/>
  <c r="U158" i="10"/>
  <c r="U157" i="10"/>
  <c r="U156" i="10"/>
  <c r="U155" i="10"/>
  <c r="U154" i="10"/>
  <c r="U153" i="10"/>
  <c r="U152" i="10"/>
  <c r="U151" i="10"/>
  <c r="U150" i="10"/>
  <c r="U149" i="10"/>
  <c r="U148" i="10"/>
  <c r="U147" i="10"/>
  <c r="U146" i="10"/>
  <c r="U145" i="10"/>
  <c r="U144" i="10"/>
  <c r="U143" i="10"/>
  <c r="U142" i="10"/>
  <c r="U141" i="10"/>
  <c r="U140" i="10"/>
  <c r="U139" i="10"/>
  <c r="U138" i="10"/>
  <c r="U137" i="10"/>
  <c r="U63" i="10"/>
  <c r="U62" i="10"/>
  <c r="U40" i="10"/>
  <c r="U38" i="10"/>
  <c r="U133" i="10"/>
  <c r="U132" i="10"/>
  <c r="U131" i="10"/>
  <c r="U130" i="10"/>
  <c r="U129" i="10"/>
  <c r="U128" i="10"/>
  <c r="U127" i="10"/>
  <c r="U126" i="10"/>
  <c r="U125" i="10"/>
  <c r="U124" i="10"/>
  <c r="U93" i="10"/>
  <c r="U90" i="10"/>
  <c r="U64" i="10"/>
  <c r="U113" i="10"/>
  <c r="U112" i="10"/>
  <c r="U109" i="10"/>
  <c r="U116" i="10"/>
  <c r="U115" i="10"/>
  <c r="U114" i="10"/>
  <c r="U107" i="10"/>
  <c r="U106" i="10"/>
  <c r="U111" i="10"/>
  <c r="U110" i="10"/>
  <c r="U102" i="10"/>
  <c r="U108" i="10"/>
  <c r="U119" i="10"/>
  <c r="U121" i="10"/>
  <c r="U105" i="10"/>
  <c r="U104" i="10"/>
  <c r="U103" i="10"/>
  <c r="U35" i="10"/>
  <c r="U33" i="10"/>
  <c r="U32" i="10"/>
  <c r="U99" i="10"/>
  <c r="U98" i="10"/>
  <c r="U97" i="10"/>
  <c r="U96" i="10"/>
  <c r="U95" i="10"/>
  <c r="U94" i="10"/>
  <c r="U118" i="10"/>
  <c r="U92" i="10"/>
  <c r="U91" i="10"/>
  <c r="U117" i="10"/>
  <c r="U89" i="10"/>
  <c r="U88" i="10"/>
  <c r="U87" i="10"/>
  <c r="U86" i="10"/>
  <c r="U85" i="10"/>
  <c r="U84" i="10"/>
  <c r="U83" i="10"/>
  <c r="U82" i="10"/>
  <c r="U81" i="10"/>
  <c r="U80" i="10"/>
  <c r="U79" i="10"/>
  <c r="U78" i="10"/>
  <c r="U77" i="10"/>
  <c r="U76" i="10"/>
  <c r="U75" i="10"/>
  <c r="U74" i="10"/>
  <c r="U73" i="10"/>
  <c r="U72" i="10"/>
  <c r="U71" i="10"/>
  <c r="U70" i="10"/>
  <c r="U69" i="10"/>
  <c r="U68" i="10"/>
  <c r="U67" i="10"/>
  <c r="U66" i="10"/>
  <c r="U65" i="10"/>
  <c r="U9" i="10"/>
  <c r="U3" i="10"/>
  <c r="U2" i="10"/>
  <c r="U61" i="10"/>
  <c r="U60" i="10"/>
  <c r="U59" i="10"/>
  <c r="U58" i="10"/>
  <c r="U57" i="10"/>
  <c r="U56" i="10"/>
  <c r="U55" i="10"/>
  <c r="U54" i="10"/>
  <c r="U53" i="10"/>
  <c r="U52" i="10"/>
  <c r="U51" i="10"/>
  <c r="U50" i="10"/>
  <c r="U49" i="10"/>
  <c r="U48" i="10"/>
  <c r="U47" i="10"/>
  <c r="U46" i="10"/>
  <c r="U45" i="10"/>
  <c r="U44" i="10"/>
  <c r="U43" i="10"/>
  <c r="U42" i="10"/>
  <c r="U41" i="10"/>
  <c r="U29" i="10"/>
  <c r="U39" i="10"/>
  <c r="U25" i="10"/>
  <c r="U16" i="10"/>
  <c r="U36" i="10"/>
  <c r="U13" i="10"/>
  <c r="U34" i="10"/>
  <c r="U12" i="10"/>
  <c r="U11" i="10"/>
  <c r="U31" i="10"/>
  <c r="U30" i="10"/>
  <c r="U101" i="10"/>
  <c r="U28" i="10"/>
  <c r="U27" i="10"/>
  <c r="U26" i="10"/>
  <c r="U100" i="10"/>
  <c r="U24" i="10"/>
  <c r="U23" i="10"/>
  <c r="U22" i="10"/>
  <c r="U21" i="10"/>
  <c r="U20" i="10"/>
  <c r="U19" i="10"/>
  <c r="U18" i="10"/>
  <c r="U17" i="10"/>
  <c r="U120" i="10"/>
  <c r="U15" i="10"/>
  <c r="U14" i="10"/>
  <c r="U136" i="10"/>
  <c r="U135" i="10"/>
  <c r="U134" i="10"/>
  <c r="U10" i="10"/>
  <c r="U37" i="10"/>
  <c r="U8" i="10"/>
  <c r="U7" i="10"/>
  <c r="U6" i="10"/>
  <c r="U5" i="10"/>
  <c r="U4" i="10"/>
  <c r="U123" i="10"/>
  <c r="U122" i="10"/>
  <c r="K53" i="15"/>
  <c r="K52" i="15"/>
  <c r="K51" i="15"/>
  <c r="K50" i="15"/>
  <c r="K49" i="15"/>
  <c r="K48" i="15"/>
  <c r="K47" i="15"/>
  <c r="K46" i="15"/>
  <c r="K45" i="15"/>
  <c r="K44" i="15"/>
  <c r="K43" i="15"/>
  <c r="K42" i="15"/>
  <c r="K41" i="15"/>
  <c r="K40" i="15"/>
  <c r="K39" i="15"/>
  <c r="K38" i="15"/>
  <c r="K37" i="15"/>
  <c r="K36" i="15"/>
  <c r="K35" i="15"/>
  <c r="K34" i="15"/>
  <c r="K33" i="15"/>
  <c r="K32" i="15"/>
  <c r="K31" i="15"/>
  <c r="K30" i="15"/>
  <c r="K29" i="15"/>
  <c r="K28" i="15"/>
  <c r="K27" i="15"/>
  <c r="K26" i="15"/>
  <c r="K25" i="15"/>
  <c r="K24" i="15"/>
  <c r="K23" i="15"/>
  <c r="K22" i="15"/>
  <c r="K21" i="15"/>
  <c r="K20" i="15"/>
  <c r="K19" i="15"/>
  <c r="K18" i="15"/>
  <c r="K17" i="15"/>
  <c r="K16" i="15"/>
  <c r="K15" i="15"/>
  <c r="K14" i="15"/>
  <c r="K13" i="15"/>
  <c r="K12" i="15"/>
  <c r="K11" i="15"/>
  <c r="K10" i="15"/>
  <c r="K9" i="15"/>
  <c r="K8" i="15"/>
  <c r="K7" i="15"/>
  <c r="K6" i="15"/>
  <c r="K5" i="15"/>
  <c r="K4" i="15"/>
  <c r="K3" i="15"/>
  <c r="K2" i="15"/>
  <c r="J2" i="15"/>
  <c r="J53" i="15"/>
  <c r="J52" i="15"/>
  <c r="J51" i="15"/>
  <c r="J50" i="15"/>
  <c r="J49" i="15"/>
  <c r="J48" i="15"/>
  <c r="J47" i="15"/>
  <c r="J46" i="15"/>
  <c r="J45" i="15"/>
  <c r="J44" i="15"/>
  <c r="J43" i="15"/>
  <c r="J42" i="15"/>
  <c r="J41" i="15"/>
  <c r="J40" i="15"/>
  <c r="J39" i="15"/>
  <c r="J38" i="15"/>
  <c r="J37" i="15"/>
  <c r="J36" i="15"/>
  <c r="J35" i="15"/>
  <c r="J34" i="15"/>
  <c r="J33" i="15"/>
  <c r="J32" i="15"/>
  <c r="J31" i="15"/>
  <c r="J30" i="15"/>
  <c r="J29" i="15"/>
  <c r="J28" i="15"/>
  <c r="J27" i="15"/>
  <c r="J26" i="15"/>
  <c r="J25" i="15"/>
  <c r="J24" i="15"/>
  <c r="J23" i="15"/>
  <c r="J22" i="15"/>
  <c r="J21" i="15"/>
  <c r="J20" i="15"/>
  <c r="J19" i="15"/>
  <c r="J18" i="15"/>
  <c r="J17" i="15"/>
  <c r="J16" i="15"/>
  <c r="J15" i="15"/>
  <c r="J14" i="15"/>
  <c r="J13" i="15"/>
  <c r="J12" i="15"/>
  <c r="J11" i="15"/>
  <c r="J10" i="15"/>
  <c r="J9" i="15"/>
  <c r="J8" i="15"/>
  <c r="J7" i="15"/>
  <c r="J6" i="15"/>
  <c r="J5" i="15"/>
  <c r="J4" i="15"/>
  <c r="J3" i="15"/>
  <c r="I19" i="15"/>
  <c r="I20" i="15"/>
  <c r="I21" i="15"/>
  <c r="I53" i="15"/>
  <c r="I52" i="15"/>
  <c r="I51" i="15"/>
  <c r="I50" i="15"/>
  <c r="I49" i="15"/>
  <c r="I48" i="15"/>
  <c r="I47" i="15"/>
  <c r="I46" i="15"/>
  <c r="I45" i="15"/>
  <c r="I44" i="15"/>
  <c r="I43" i="15"/>
  <c r="I42" i="15"/>
  <c r="I41" i="15"/>
  <c r="I40" i="15"/>
  <c r="I39" i="15"/>
  <c r="I38" i="15"/>
  <c r="I37" i="15"/>
  <c r="I36" i="15"/>
  <c r="I35" i="15"/>
  <c r="I34" i="15"/>
  <c r="I33" i="15"/>
  <c r="I32" i="15"/>
  <c r="I31" i="15"/>
  <c r="I30" i="15"/>
  <c r="I28" i="15"/>
  <c r="I29" i="15"/>
  <c r="I27" i="15"/>
  <c r="I26" i="15"/>
  <c r="I25" i="15"/>
  <c r="I24" i="15"/>
  <c r="I23" i="15"/>
  <c r="I22" i="15"/>
  <c r="I18" i="15"/>
  <c r="I17" i="15"/>
  <c r="I16" i="15"/>
  <c r="I15" i="15"/>
  <c r="I14" i="15"/>
  <c r="I13" i="15"/>
  <c r="I12" i="15"/>
  <c r="I11" i="15"/>
  <c r="I10" i="15"/>
  <c r="I9" i="15"/>
  <c r="I8" i="15"/>
  <c r="I7" i="15"/>
  <c r="I6" i="15"/>
  <c r="I5" i="15"/>
  <c r="I4" i="15"/>
  <c r="I3" i="15"/>
  <c r="I2" i="15"/>
  <c r="T169" i="10"/>
  <c r="T168" i="10"/>
  <c r="T167" i="10"/>
  <c r="T166" i="10"/>
  <c r="T165" i="10"/>
  <c r="T164" i="10"/>
  <c r="T163" i="10"/>
  <c r="T162" i="10"/>
  <c r="T161" i="10"/>
  <c r="T160" i="10"/>
  <c r="T159" i="10"/>
  <c r="T158" i="10"/>
  <c r="T157" i="10"/>
  <c r="T156" i="10"/>
  <c r="T155" i="10"/>
  <c r="T154" i="10"/>
  <c r="T153" i="10"/>
  <c r="T152" i="10"/>
  <c r="T151" i="10"/>
  <c r="T150" i="10"/>
  <c r="T149" i="10"/>
  <c r="T148" i="10"/>
  <c r="T147" i="10"/>
  <c r="T146" i="10"/>
  <c r="T145" i="10"/>
  <c r="T144" i="10"/>
  <c r="T143" i="10"/>
  <c r="T142" i="10"/>
  <c r="T141" i="10"/>
  <c r="T140" i="10"/>
  <c r="T139" i="10"/>
  <c r="T138" i="10"/>
  <c r="T137" i="10"/>
  <c r="T63" i="10"/>
  <c r="T62" i="10"/>
  <c r="T40" i="10"/>
  <c r="T38" i="10"/>
  <c r="T133" i="10"/>
  <c r="T132" i="10"/>
  <c r="T131" i="10"/>
  <c r="T130" i="10"/>
  <c r="T129" i="10"/>
  <c r="T128" i="10"/>
  <c r="T127" i="10"/>
  <c r="T126" i="10"/>
  <c r="T125" i="10"/>
  <c r="T124" i="10"/>
  <c r="T93" i="10"/>
  <c r="T90" i="10"/>
  <c r="T64" i="10"/>
  <c r="T113" i="10"/>
  <c r="T112" i="10"/>
  <c r="T109" i="10"/>
  <c r="T116" i="10"/>
  <c r="T115" i="10"/>
  <c r="T114" i="10"/>
  <c r="T107" i="10"/>
  <c r="T106" i="10"/>
  <c r="T111" i="10"/>
  <c r="T110" i="10"/>
  <c r="T102" i="10"/>
  <c r="T108" i="10"/>
  <c r="T119" i="10"/>
  <c r="T121" i="10"/>
  <c r="T105" i="10"/>
  <c r="T104" i="10"/>
  <c r="T103" i="10"/>
  <c r="T35" i="10"/>
  <c r="T33" i="10"/>
  <c r="T32" i="10"/>
  <c r="T99" i="10"/>
  <c r="T98" i="10"/>
  <c r="T97" i="10"/>
  <c r="T96" i="10"/>
  <c r="T95" i="10"/>
  <c r="T94" i="10"/>
  <c r="T118" i="10"/>
  <c r="T92" i="10"/>
  <c r="T91" i="10"/>
  <c r="T117" i="10"/>
  <c r="T89" i="10"/>
  <c r="T88" i="10"/>
  <c r="T87" i="10"/>
  <c r="T86" i="10"/>
  <c r="T85" i="10"/>
  <c r="T84" i="10"/>
  <c r="T83" i="10"/>
  <c r="T82" i="10"/>
  <c r="T81" i="10"/>
  <c r="T80" i="10"/>
  <c r="T79" i="10"/>
  <c r="T78" i="10"/>
  <c r="T77" i="10"/>
  <c r="T76" i="10"/>
  <c r="T75" i="10"/>
  <c r="T74" i="10"/>
  <c r="T73" i="10"/>
  <c r="T72" i="10"/>
  <c r="T71" i="10"/>
  <c r="T70" i="10"/>
  <c r="T69" i="10"/>
  <c r="T68" i="10"/>
  <c r="T67" i="10"/>
  <c r="T66" i="10"/>
  <c r="T65" i="10"/>
  <c r="T9" i="10"/>
  <c r="T3" i="10"/>
  <c r="T2" i="10"/>
  <c r="T61" i="10"/>
  <c r="T60" i="10"/>
  <c r="T59" i="10"/>
  <c r="T58" i="10"/>
  <c r="T57" i="10"/>
  <c r="T56" i="10"/>
  <c r="T55" i="10"/>
  <c r="T54" i="10"/>
  <c r="T53" i="10"/>
  <c r="T52" i="10"/>
  <c r="T51" i="10"/>
  <c r="T50" i="10"/>
  <c r="T49" i="10"/>
  <c r="T48" i="10"/>
  <c r="T47" i="10"/>
  <c r="T46" i="10"/>
  <c r="T45" i="10"/>
  <c r="T44" i="10"/>
  <c r="T43" i="10"/>
  <c r="T42" i="10"/>
  <c r="T41" i="10"/>
  <c r="T29" i="10"/>
  <c r="T39" i="10"/>
  <c r="T25" i="10"/>
  <c r="T16" i="10"/>
  <c r="T36" i="10"/>
  <c r="T13" i="10"/>
  <c r="T34" i="10"/>
  <c r="T12" i="10"/>
  <c r="T11" i="10"/>
  <c r="T31" i="10"/>
  <c r="T30" i="10"/>
  <c r="T101" i="10"/>
  <c r="T28" i="10"/>
  <c r="T27" i="10"/>
  <c r="T26" i="10"/>
  <c r="T100" i="10"/>
  <c r="T24" i="10"/>
  <c r="T23" i="10"/>
  <c r="T22" i="10"/>
  <c r="T21" i="10"/>
  <c r="T20" i="10"/>
  <c r="T19" i="10"/>
  <c r="T18" i="10"/>
  <c r="T17" i="10"/>
  <c r="T120" i="10"/>
  <c r="T15" i="10"/>
  <c r="T14" i="10"/>
  <c r="T136" i="10"/>
  <c r="T135" i="10"/>
  <c r="T134" i="10"/>
  <c r="T10" i="10"/>
  <c r="T37" i="10"/>
  <c r="T8" i="10"/>
  <c r="T7" i="10"/>
  <c r="T6" i="10"/>
  <c r="T5" i="10"/>
  <c r="T4" i="10"/>
  <c r="T123" i="10"/>
  <c r="T122" i="10"/>
  <c r="K30" i="6"/>
  <c r="K31" i="6"/>
  <c r="K32" i="6"/>
  <c r="K33" i="6"/>
  <c r="K34" i="6"/>
  <c r="K35" i="6"/>
  <c r="K36" i="6"/>
  <c r="K37" i="6"/>
  <c r="K38" i="6"/>
  <c r="K39" i="6"/>
  <c r="K40" i="6"/>
  <c r="K41" i="6"/>
  <c r="K42" i="6"/>
  <c r="K43" i="6"/>
  <c r="K44" i="6"/>
  <c r="K45" i="6"/>
  <c r="K46" i="6"/>
  <c r="K47" i="6"/>
  <c r="K48" i="6"/>
  <c r="K49" i="6"/>
  <c r="K50" i="6"/>
  <c r="K51" i="6"/>
  <c r="K52" i="6"/>
  <c r="K53" i="6"/>
  <c r="K54" i="6"/>
  <c r="K55" i="6"/>
  <c r="K56" i="6"/>
  <c r="K57" i="6"/>
  <c r="K58" i="6"/>
  <c r="K59" i="6"/>
  <c r="K60" i="6"/>
  <c r="K61" i="6"/>
  <c r="K62" i="6"/>
  <c r="K63" i="6"/>
  <c r="K64" i="6"/>
  <c r="K65" i="6"/>
  <c r="K66" i="6"/>
  <c r="K26" i="6"/>
  <c r="K27" i="6"/>
  <c r="K28" i="6"/>
  <c r="K29" i="6"/>
  <c r="K3" i="6"/>
  <c r="K4" i="6"/>
  <c r="K5" i="6"/>
  <c r="K6" i="6"/>
  <c r="K7" i="6"/>
  <c r="K8" i="6"/>
  <c r="K9" i="6"/>
  <c r="K10" i="6"/>
  <c r="K11" i="6"/>
  <c r="K12" i="6"/>
  <c r="K13" i="6"/>
  <c r="K14" i="6"/>
  <c r="K15" i="6"/>
  <c r="K16" i="6"/>
  <c r="K17" i="6"/>
  <c r="K18" i="6"/>
  <c r="K19" i="6"/>
  <c r="K20" i="6"/>
  <c r="K21" i="6"/>
  <c r="K22" i="6"/>
  <c r="K23" i="6"/>
  <c r="K24" i="6"/>
  <c r="K25" i="6"/>
  <c r="K2" i="6"/>
  <c r="B13" i="1" l="1"/>
  <c r="H2" i="1" l="1"/>
  <c r="D8" i="1"/>
  <c r="D11" i="1"/>
  <c r="D12" i="1"/>
  <c r="D10" i="1"/>
  <c r="D13" i="1"/>
  <c r="D4" i="1"/>
  <c r="D2" i="1"/>
  <c r="D3" i="1"/>
  <c r="D9" i="1"/>
  <c r="D5" i="1"/>
  <c r="D6" i="1"/>
  <c r="D7" i="1"/>
  <c r="E13" i="1"/>
  <c r="E7" i="1"/>
  <c r="E6" i="1"/>
  <c r="E10" i="1"/>
  <c r="E2" i="1"/>
  <c r="E9" i="1"/>
  <c r="E12" i="1"/>
  <c r="E11" i="1"/>
  <c r="E8" i="1"/>
  <c r="E5" i="1"/>
  <c r="E4" i="1"/>
  <c r="E3" i="1"/>
  <c r="F6" i="1"/>
  <c r="F9" i="1"/>
  <c r="G2" i="1"/>
  <c r="G4" i="1"/>
  <c r="F7" i="1"/>
  <c r="F8" i="1"/>
  <c r="F10" i="1"/>
  <c r="G3" i="1"/>
  <c r="G11" i="1"/>
  <c r="G10" i="1"/>
  <c r="G12" i="1"/>
  <c r="G13" i="1"/>
  <c r="H13" i="1"/>
  <c r="H12" i="1"/>
  <c r="H11" i="1"/>
  <c r="F11" i="1"/>
  <c r="F12" i="1"/>
  <c r="F13" i="1"/>
  <c r="H10" i="1"/>
  <c r="H9" i="1"/>
  <c r="H8" i="1"/>
  <c r="H7" i="1"/>
  <c r="H6" i="1"/>
  <c r="H5" i="1"/>
  <c r="H4" i="1"/>
  <c r="H3" i="1"/>
  <c r="G5" i="1"/>
  <c r="F2" i="1"/>
  <c r="G6" i="1"/>
  <c r="F3" i="1"/>
  <c r="G7" i="1"/>
  <c r="F4" i="1"/>
  <c r="G8" i="1"/>
  <c r="F5" i="1"/>
  <c r="G9" i="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B3D869-476D-48CB-A7B5-701C62AD76F9}" keepAlive="1" name="Query - Table1" description="Connection to the 'Table1' query in the workbook." type="5" refreshedVersion="0" background="1">
    <dbPr connection="Provider=Microsoft.Mashup.OleDb.1;Data Source=$Workbook$;Location=Table1;Extended Properties=&quot;&quot;" command="SELECT * FROM [Table1]"/>
  </connection>
</connections>
</file>

<file path=xl/sharedStrings.xml><?xml version="1.0" encoding="utf-8"?>
<sst xmlns="http://schemas.openxmlformats.org/spreadsheetml/2006/main" count="30498" uniqueCount="8520">
  <si>
    <t>world</t>
  </si>
  <si>
    <t>orbiting</t>
  </si>
  <si>
    <t>provinces if 2000</t>
  </si>
  <si>
    <t>provinces if 1800</t>
  </si>
  <si>
    <t>earth</t>
  </si>
  <si>
    <t>luna</t>
  </si>
  <si>
    <t>mercury</t>
  </si>
  <si>
    <t>mars</t>
  </si>
  <si>
    <t>ceres</t>
  </si>
  <si>
    <t>titan</t>
  </si>
  <si>
    <t>callisto</t>
  </si>
  <si>
    <t>europa</t>
  </si>
  <si>
    <t>triton</t>
  </si>
  <si>
    <t>total</t>
  </si>
  <si>
    <t>Empires if 28</t>
  </si>
  <si>
    <t>venus</t>
  </si>
  <si>
    <t>sun</t>
  </si>
  <si>
    <t>saturn</t>
  </si>
  <si>
    <t>jupiter</t>
  </si>
  <si>
    <t>neptune</t>
  </si>
  <si>
    <t>ganymede</t>
  </si>
  <si>
    <t>religion 2</t>
  </si>
  <si>
    <t>buddhist</t>
  </si>
  <si>
    <t>hindu</t>
  </si>
  <si>
    <t>religion 3</t>
  </si>
  <si>
    <t>religion 1</t>
  </si>
  <si>
    <t>christian</t>
  </si>
  <si>
    <t>islam</t>
  </si>
  <si>
    <t>no religion (% of cynical rulers)</t>
  </si>
  <si>
    <t>size % of earth</t>
  </si>
  <si>
    <t>balanced</t>
  </si>
  <si>
    <t>climate</t>
  </si>
  <si>
    <t>polar</t>
  </si>
  <si>
    <t>hot</t>
  </si>
  <si>
    <t>warm</t>
  </si>
  <si>
    <t>temperate</t>
  </si>
  <si>
    <t>jungle</t>
  </si>
  <si>
    <t>biome 1</t>
  </si>
  <si>
    <t>biome 2</t>
  </si>
  <si>
    <t>desert</t>
  </si>
  <si>
    <t>plains</t>
  </si>
  <si>
    <t>arctic</t>
  </si>
  <si>
    <t>forest</t>
  </si>
  <si>
    <t>farmland</t>
  </si>
  <si>
    <t>steppe</t>
  </si>
  <si>
    <t>mountains</t>
  </si>
  <si>
    <t>cold</t>
  </si>
  <si>
    <t>coastal desert</t>
  </si>
  <si>
    <t>hills</t>
  </si>
  <si>
    <t>catholic</t>
  </si>
  <si>
    <t>family</t>
  </si>
  <si>
    <t>phobos</t>
  </si>
  <si>
    <t>tritan</t>
  </si>
  <si>
    <t>loc</t>
  </si>
  <si>
    <t>R</t>
  </si>
  <si>
    <t>G</t>
  </si>
  <si>
    <t>B</t>
  </si>
  <si>
    <t>Row Labels</t>
  </si>
  <si>
    <t>Grand Total</t>
  </si>
  <si>
    <t>(blank)</t>
  </si>
  <si>
    <t>Count of world</t>
  </si>
  <si>
    <t>orthodox</t>
  </si>
  <si>
    <t>jewish</t>
  </si>
  <si>
    <t>sunni</t>
  </si>
  <si>
    <t>shiite</t>
  </si>
  <si>
    <t>bon</t>
  </si>
  <si>
    <t>norse_pagan</t>
  </si>
  <si>
    <t>tengri_pagan</t>
  </si>
  <si>
    <t>finnish_pagan</t>
  </si>
  <si>
    <t>hellenic_pagan</t>
  </si>
  <si>
    <t>zun_pagan</t>
  </si>
  <si>
    <t>zoroastrian</t>
  </si>
  <si>
    <t>west_african_pagan</t>
  </si>
  <si>
    <t>taoist</t>
  </si>
  <si>
    <t>jain</t>
  </si>
  <si>
    <t>aztec</t>
  </si>
  <si>
    <t>pagan</t>
  </si>
  <si>
    <t>eastern</t>
  </si>
  <si>
    <t>provinces if 2500</t>
  </si>
  <si>
    <t>%</t>
  </si>
  <si>
    <t>%2</t>
  </si>
  <si>
    <t>%3</t>
  </si>
  <si>
    <t>%4</t>
  </si>
  <si>
    <t>%5</t>
  </si>
  <si>
    <t>religion 4</t>
  </si>
  <si>
    <t>religion 5</t>
  </si>
  <si>
    <t>Mono(lith)physite</t>
  </si>
  <si>
    <t>Malaysia</t>
  </si>
  <si>
    <t>Sunni</t>
  </si>
  <si>
    <t>Christian</t>
  </si>
  <si>
    <t>Hindu</t>
  </si>
  <si>
    <t>Thailand</t>
  </si>
  <si>
    <t>Buddhist</t>
  </si>
  <si>
    <t>Burma</t>
  </si>
  <si>
    <t>Cambodian</t>
  </si>
  <si>
    <t>Vietnam</t>
  </si>
  <si>
    <t>other</t>
  </si>
  <si>
    <t>Laos</t>
  </si>
  <si>
    <t>animist</t>
  </si>
  <si>
    <t>ancestor</t>
  </si>
  <si>
    <t>worship</t>
  </si>
  <si>
    <t>India</t>
  </si>
  <si>
    <t>Jain</t>
  </si>
  <si>
    <t>Indonesia</t>
  </si>
  <si>
    <t>Protestant</t>
  </si>
  <si>
    <t>Catholic</t>
  </si>
  <si>
    <t>Philippines</t>
  </si>
  <si>
    <t>Australian</t>
  </si>
  <si>
    <t>Australia</t>
  </si>
  <si>
    <t>NZ</t>
  </si>
  <si>
    <t>none</t>
  </si>
  <si>
    <t>China</t>
  </si>
  <si>
    <t>Taiwan</t>
  </si>
  <si>
    <t>Hainan</t>
  </si>
  <si>
    <t>Guangxi</t>
  </si>
  <si>
    <t>Taoist</t>
  </si>
  <si>
    <t>Guangdong</t>
  </si>
  <si>
    <t>x</t>
  </si>
  <si>
    <t>Timor-lest</t>
  </si>
  <si>
    <t>Papua New Guinea</t>
  </si>
  <si>
    <t>Lutheran</t>
  </si>
  <si>
    <t>Pentecostal</t>
  </si>
  <si>
    <t>united church</t>
  </si>
  <si>
    <t>7th day</t>
  </si>
  <si>
    <t>evangelical alligance</t>
  </si>
  <si>
    <t>Pacific Islands</t>
  </si>
  <si>
    <t>pirate (fratecelli)</t>
  </si>
  <si>
    <t>South China</t>
  </si>
  <si>
    <t>SEA</t>
  </si>
  <si>
    <t>Oceania</t>
  </si>
  <si>
    <t>anglican</t>
  </si>
  <si>
    <t>baptist</t>
  </si>
  <si>
    <t>Region</t>
  </si>
  <si>
    <t>Country</t>
  </si>
  <si>
    <t>misc christian</t>
  </si>
  <si>
    <t>other Christian</t>
  </si>
  <si>
    <t>norse</t>
  </si>
  <si>
    <t>old_saxon</t>
  </si>
  <si>
    <t>german</t>
  </si>
  <si>
    <t>saxon</t>
  </si>
  <si>
    <t>old_frankish</t>
  </si>
  <si>
    <t>ethiopian</t>
  </si>
  <si>
    <t>portuguese</t>
  </si>
  <si>
    <t>italian</t>
  </si>
  <si>
    <t>basque</t>
  </si>
  <si>
    <t>catalan</t>
  </si>
  <si>
    <t>assyrian</t>
  </si>
  <si>
    <t>greek</t>
  </si>
  <si>
    <t>crimean_gothic</t>
  </si>
  <si>
    <t>kirghiz</t>
  </si>
  <si>
    <t>persian</t>
  </si>
  <si>
    <t>sogdian</t>
  </si>
  <si>
    <t>mongol</t>
  </si>
  <si>
    <t>jurchen</t>
  </si>
  <si>
    <t>nubian</t>
  </si>
  <si>
    <t>hausa</t>
  </si>
  <si>
    <t>castillan</t>
  </si>
  <si>
    <t>russian</t>
  </si>
  <si>
    <t>khitan</t>
  </si>
  <si>
    <t>alan</t>
  </si>
  <si>
    <t>han</t>
  </si>
  <si>
    <t>cuman</t>
  </si>
  <si>
    <t>kurdish</t>
  </si>
  <si>
    <t>bodpa</t>
  </si>
  <si>
    <t>zhangzhung</t>
  </si>
  <si>
    <t>panjabi</t>
  </si>
  <si>
    <t>rajput</t>
  </si>
  <si>
    <t>gujurati</t>
  </si>
  <si>
    <t>hindustani</t>
  </si>
  <si>
    <t>tamil</t>
  </si>
  <si>
    <t>telugu</t>
  </si>
  <si>
    <t>kannada</t>
  </si>
  <si>
    <t>bengali</t>
  </si>
  <si>
    <t>afghan</t>
  </si>
  <si>
    <t>lithuanian</t>
  </si>
  <si>
    <t>lettigallish</t>
  </si>
  <si>
    <t>karluk</t>
  </si>
  <si>
    <t>bolghar</t>
  </si>
  <si>
    <t>pecheneg</t>
  </si>
  <si>
    <t>turkish</t>
  </si>
  <si>
    <t>bedouin_arabic</t>
  </si>
  <si>
    <t>levantine_arabic</t>
  </si>
  <si>
    <t>egyptian_arabic</t>
  </si>
  <si>
    <t>maghreb_arabic</t>
  </si>
  <si>
    <t>andalusian_arabic</t>
  </si>
  <si>
    <t>nahuatl</t>
  </si>
  <si>
    <t>visigothic</t>
  </si>
  <si>
    <t>Polynesian</t>
  </si>
  <si>
    <t>Khmer</t>
  </si>
  <si>
    <t>Indigenous Australian</t>
  </si>
  <si>
    <t>vanilla culture</t>
  </si>
  <si>
    <t>S.E.A.</t>
  </si>
  <si>
    <t>Tai</t>
  </si>
  <si>
    <t>Indonesian</t>
  </si>
  <si>
    <t>Chinese</t>
  </si>
  <si>
    <t>Bogan</t>
  </si>
  <si>
    <t>Melburnian</t>
  </si>
  <si>
    <t>Sydneysider</t>
  </si>
  <si>
    <t>Brisbanite</t>
  </si>
  <si>
    <t>Darwinners</t>
  </si>
  <si>
    <t>Canberries</t>
  </si>
  <si>
    <t>Adelads</t>
  </si>
  <si>
    <t>Hobartians</t>
  </si>
  <si>
    <t>vanilla culture group</t>
  </si>
  <si>
    <t>west_germanic</t>
  </si>
  <si>
    <t>central_germanic</t>
  </si>
  <si>
    <t>altaic</t>
  </si>
  <si>
    <t>Chinese_group</t>
  </si>
  <si>
    <t>Cestial</t>
  </si>
  <si>
    <t>celtic</t>
  </si>
  <si>
    <t>irish</t>
  </si>
  <si>
    <t>pictish</t>
  </si>
  <si>
    <t>First Nations</t>
  </si>
  <si>
    <t>First Peoples</t>
  </si>
  <si>
    <t>First Australians</t>
  </si>
  <si>
    <t>central_african</t>
  </si>
  <si>
    <t>kanuri</t>
  </si>
  <si>
    <t>zaghawa</t>
  </si>
  <si>
    <t>Kinh</t>
  </si>
  <si>
    <t>east_african</t>
  </si>
  <si>
    <t>tibetan_group</t>
  </si>
  <si>
    <t>dravidian_group</t>
  </si>
  <si>
    <t>indo_aryan_group</t>
  </si>
  <si>
    <t>added?</t>
  </si>
  <si>
    <t>Bamar</t>
  </si>
  <si>
    <t>Islander</t>
  </si>
  <si>
    <t>tangut</t>
  </si>
  <si>
    <t>sumpa</t>
  </si>
  <si>
    <t>Filipino</t>
  </si>
  <si>
    <t>Papuan</t>
  </si>
  <si>
    <t>New Zealander</t>
  </si>
  <si>
    <t>Zealander</t>
  </si>
  <si>
    <t>Atani</t>
  </si>
  <si>
    <t>english</t>
  </si>
  <si>
    <t>n</t>
  </si>
  <si>
    <t>Perthling</t>
  </si>
  <si>
    <t>iberian</t>
  </si>
  <si>
    <t>byzantine</t>
  </si>
  <si>
    <t>Towner</t>
  </si>
  <si>
    <t>north_germanic</t>
  </si>
  <si>
    <t>sinhala</t>
  </si>
  <si>
    <t>Desi</t>
  </si>
  <si>
    <t>Desh</t>
  </si>
  <si>
    <t>Indian</t>
  </si>
  <si>
    <t>marathi</t>
  </si>
  <si>
    <t>ID</t>
  </si>
  <si>
    <t>County</t>
  </si>
  <si>
    <t>Duchy*</t>
  </si>
  <si>
    <t>Kingdom*</t>
  </si>
  <si>
    <t>Empire*</t>
  </si>
  <si>
    <t>Culture</t>
  </si>
  <si>
    <t>Religion</t>
  </si>
  <si>
    <t>Holdings</t>
  </si>
  <si>
    <t>Coastal</t>
  </si>
  <si>
    <t>Other names</t>
  </si>
  <si>
    <t>Title ID</t>
  </si>
  <si>
    <t>Max</t>
  </si>
  <si>
    <t>Vestisland</t>
  </si>
  <si>
    <t>Iceland</t>
  </si>
  <si>
    <t>Norway</t>
  </si>
  <si>
    <t>Scandinavia</t>
  </si>
  <si>
    <t>Irish</t>
  </si>
  <si>
    <t>Norse</t>
  </si>
  <si>
    <t>Norwegian</t>
  </si>
  <si>
    <t>Germanic</t>
  </si>
  <si>
    <t>yes</t>
  </si>
  <si>
    <t>Västisland</t>
  </si>
  <si>
    <t>c_vestisland</t>
  </si>
  <si>
    <t>Austisland</t>
  </si>
  <si>
    <t>Östisland</t>
  </si>
  <si>
    <t>c_austisland</t>
  </si>
  <si>
    <t>Tyrconnell</t>
  </si>
  <si>
    <t>Ulster</t>
  </si>
  <si>
    <t>Ireland</t>
  </si>
  <si>
    <t>Britannia</t>
  </si>
  <si>
    <t>Tír Chonaill</t>
  </si>
  <si>
    <t>c_tyrconnell</t>
  </si>
  <si>
    <t>Tyrone</t>
  </si>
  <si>
    <t>Tír Eoghain</t>
  </si>
  <si>
    <t>c_tyrone</t>
  </si>
  <si>
    <t>Strangfjord, Strangfjorðr, Ulaidh</t>
  </si>
  <si>
    <t>c_ulster</t>
  </si>
  <si>
    <t>Blekinge</t>
  </si>
  <si>
    <t>Scania</t>
  </si>
  <si>
    <t>Denmark</t>
  </si>
  <si>
    <t>Danish</t>
  </si>
  <si>
    <t>c_blekinge</t>
  </si>
  <si>
    <t>Oriel</t>
  </si>
  <si>
    <t>Airgíalla</t>
  </si>
  <si>
    <t>c_oriel</t>
  </si>
  <si>
    <t>Breifne</t>
  </si>
  <si>
    <t>Connacht</t>
  </si>
  <si>
    <t>no</t>
  </si>
  <si>
    <t>Bréifne</t>
  </si>
  <si>
    <t>c_breifne</t>
  </si>
  <si>
    <t>West Connacht</t>
  </si>
  <si>
    <t>Connachta</t>
  </si>
  <si>
    <t>c_connacht</t>
  </si>
  <si>
    <t>Kildare</t>
  </si>
  <si>
    <t>Meath</t>
  </si>
  <si>
    <t>Cill Dara</t>
  </si>
  <si>
    <t>c_kildare</t>
  </si>
  <si>
    <t>Dublin</t>
  </si>
  <si>
    <t>Dyflinn, Dubhlinn, Dulyn</t>
  </si>
  <si>
    <t>c_dublin</t>
  </si>
  <si>
    <t>Ossory</t>
  </si>
  <si>
    <t>Leinster</t>
  </si>
  <si>
    <t>Osraige</t>
  </si>
  <si>
    <t>c_ossory</t>
  </si>
  <si>
    <t>Thomond</t>
  </si>
  <si>
    <t>Munster</t>
  </si>
  <si>
    <t>Hlymrek, Lymrek, Tuadhmhumhain</t>
  </si>
  <si>
    <t>c_thomond</t>
  </si>
  <si>
    <t>Desmond</t>
  </si>
  <si>
    <t>Deasmhumhain</t>
  </si>
  <si>
    <t>c_desmond</t>
  </si>
  <si>
    <t>Ormond</t>
  </si>
  <si>
    <t>Vedrafjord, Veðrafjorðr, Urmhumhain</t>
  </si>
  <si>
    <t>c_ormond</t>
  </si>
  <si>
    <t>Veisafjord, Veisafjorðr, Laigin</t>
  </si>
  <si>
    <t>c_leinster</t>
  </si>
  <si>
    <t>Hereford</t>
  </si>
  <si>
    <t>Powys</t>
  </si>
  <si>
    <t>Wales</t>
  </si>
  <si>
    <t>Welsh</t>
  </si>
  <si>
    <t>Anglo-Saxon</t>
  </si>
  <si>
    <t>Ergyng</t>
  </si>
  <si>
    <t>c_hereford</t>
  </si>
  <si>
    <t>Dyfed</t>
  </si>
  <si>
    <t>Deheubarth</t>
  </si>
  <si>
    <t>c_dyfed</t>
  </si>
  <si>
    <t>Glamorgan</t>
  </si>
  <si>
    <t>Gwent</t>
  </si>
  <si>
    <t>Morgannwg</t>
  </si>
  <si>
    <t>c_glamorgan</t>
  </si>
  <si>
    <t>c_gwent</t>
  </si>
  <si>
    <t>Gloucester</t>
  </si>
  <si>
    <t>Hwicce</t>
  </si>
  <si>
    <t>England</t>
  </si>
  <si>
    <t>c_gloucester</t>
  </si>
  <si>
    <t>Oxford</t>
  </si>
  <si>
    <t>c_oxford</t>
  </si>
  <si>
    <t>Wiltshire</t>
  </si>
  <si>
    <t>c_wiltshire</t>
  </si>
  <si>
    <t>Surrey</t>
  </si>
  <si>
    <t>Kent</t>
  </si>
  <si>
    <t>c_surrey</t>
  </si>
  <si>
    <t>Sussex</t>
  </si>
  <si>
    <t>c_sussex</t>
  </si>
  <si>
    <t>Winchester</t>
  </si>
  <si>
    <t>Wessex</t>
  </si>
  <si>
    <t>c_winchester</t>
  </si>
  <si>
    <t>Dorset</t>
  </si>
  <si>
    <t>c_dorset</t>
  </si>
  <si>
    <t>Somerset</t>
  </si>
  <si>
    <t>c_somerset</t>
  </si>
  <si>
    <t>Devon</t>
  </si>
  <si>
    <t>Cornwall</t>
  </si>
  <si>
    <t>Breton</t>
  </si>
  <si>
    <t>c_devon</t>
  </si>
  <si>
    <t>Worcester</t>
  </si>
  <si>
    <t>Mercia</t>
  </si>
  <si>
    <t>c_worcester</t>
  </si>
  <si>
    <t>c_cornwall</t>
  </si>
  <si>
    <t>Middlesex</t>
  </si>
  <si>
    <t>Essex</t>
  </si>
  <si>
    <t>c_middlesex</t>
  </si>
  <si>
    <t>Færeyar</t>
  </si>
  <si>
    <t>Orkney</t>
  </si>
  <si>
    <t>Pictish</t>
  </si>
  <si>
    <t>Färöarna, Caliu, Ynysoedd Ceiliau, Innse Caora</t>
  </si>
  <si>
    <t>c_faereyar</t>
  </si>
  <si>
    <t>Shetland</t>
  </si>
  <si>
    <t>Hjaltland, Insee Cait, Ynysoedd Cait, Innse Catt</t>
  </si>
  <si>
    <t>c_shetland</t>
  </si>
  <si>
    <t>The Hebrides</t>
  </si>
  <si>
    <t>The Isles</t>
  </si>
  <si>
    <t>Scotland</t>
  </si>
  <si>
    <t>Søreyar, Söröarna, Suðreyjar, Carnonac, Ynysoedd Heledd, Innse Gall</t>
  </si>
  <si>
    <t>c_innse_gall</t>
  </si>
  <si>
    <t>Orknö, Orknø, Insee Orc, Ynysoedd Orc, Innse Orc</t>
  </si>
  <si>
    <t>c_orkney</t>
  </si>
  <si>
    <t>Caithness</t>
  </si>
  <si>
    <t>Moray</t>
  </si>
  <si>
    <t>Scottish</t>
  </si>
  <si>
    <t>Katanes, Katanæs, Katanäs, Cait, Caitnys, Cataibh</t>
  </si>
  <si>
    <t>c_caithness</t>
  </si>
  <si>
    <t>Teviotdale</t>
  </si>
  <si>
    <t>Lothian</t>
  </si>
  <si>
    <t>Heluua, Calchfynydd, Cealsaidh</t>
  </si>
  <si>
    <t>c_teviotdale</t>
  </si>
  <si>
    <t>Ross</t>
  </si>
  <si>
    <t>Fidach, Gwidauc, Ros</t>
  </si>
  <si>
    <t>c_ross</t>
  </si>
  <si>
    <t>Fortriu, Gwrturio, Muireb</t>
  </si>
  <si>
    <t>c_moray</t>
  </si>
  <si>
    <t>Buchan</t>
  </si>
  <si>
    <t>Ce, Cai, Beanaomh</t>
  </si>
  <si>
    <t>c_buchan</t>
  </si>
  <si>
    <t>Strathearn</t>
  </si>
  <si>
    <t>Albany</t>
  </si>
  <si>
    <t>Uuanun, Ystrad Iwerddon, Srath Èireann</t>
  </si>
  <si>
    <t>c_strathearn</t>
  </si>
  <si>
    <t>Gowrie</t>
  </si>
  <si>
    <t>Circinn, Caer Cinn, Gobharaidh</t>
  </si>
  <si>
    <t>c_gowrie</t>
  </si>
  <si>
    <t>Atholl</t>
  </si>
  <si>
    <t>Fotla, Focla, Athfhotla</t>
  </si>
  <si>
    <t>c_atholl</t>
  </si>
  <si>
    <t>Argyll</t>
  </si>
  <si>
    <t>Ebithan, Epiddant, Airer Goídel</t>
  </si>
  <si>
    <t>c_argyll</t>
  </si>
  <si>
    <t>Fife</t>
  </si>
  <si>
    <t>Fib, Gwidd, Fìobha</t>
  </si>
  <si>
    <t>c_fife</t>
  </si>
  <si>
    <t>Clydesdale</t>
  </si>
  <si>
    <t>Galloway</t>
  </si>
  <si>
    <t>Damnunia, Alt Clut, Dail Chluaidh</t>
  </si>
  <si>
    <t>c_clydesdale</t>
  </si>
  <si>
    <t>Lut, Lleuddiniawn, Labhdaidh</t>
  </si>
  <si>
    <t>c_lothian</t>
  </si>
  <si>
    <t>Carrick</t>
  </si>
  <si>
    <t>Ueron, Aeron, A' Charraig</t>
  </si>
  <si>
    <t>c_carrick</t>
  </si>
  <si>
    <t>Nouantia, Nofant, Na Rannaibh, Rhinns</t>
  </si>
  <si>
    <t>c_galloway</t>
  </si>
  <si>
    <t>Dunbar</t>
  </si>
  <si>
    <t>Utudina, Din Baer, Dùn Bár</t>
  </si>
  <si>
    <t>c_dunbar</t>
  </si>
  <si>
    <t>Northumberland</t>
  </si>
  <si>
    <t>Northumbria</t>
  </si>
  <si>
    <t>c_northumberland</t>
  </si>
  <si>
    <t>Cumberland</t>
  </si>
  <si>
    <t>Cumbria</t>
  </si>
  <si>
    <t>c_cumberland</t>
  </si>
  <si>
    <t>Isle of Man</t>
  </si>
  <si>
    <t>Man</t>
  </si>
  <si>
    <t>Mann, Insee Manu, Ynys Manaw, Ellan Mhannin</t>
  </si>
  <si>
    <t>c_isle_of_man</t>
  </si>
  <si>
    <t>Westmorland</t>
  </si>
  <si>
    <t>c_westmorland</t>
  </si>
  <si>
    <t>Durham</t>
  </si>
  <si>
    <t>Dunholm</t>
  </si>
  <si>
    <t>c_durham</t>
  </si>
  <si>
    <t>York</t>
  </si>
  <si>
    <t>Jorvik</t>
  </si>
  <si>
    <t>c_york</t>
  </si>
  <si>
    <t>Lancaster</t>
  </si>
  <si>
    <t>Amounderness</t>
  </si>
  <si>
    <t>c_lancaster</t>
  </si>
  <si>
    <t>Chester</t>
  </si>
  <si>
    <t>c_chester</t>
  </si>
  <si>
    <t>Perfeddwlad</t>
  </si>
  <si>
    <t>Gwynedd</t>
  </si>
  <si>
    <t>c_perfeddwlad</t>
  </si>
  <si>
    <t>Lincoln</t>
  </si>
  <si>
    <t>Lindsey</t>
  </si>
  <si>
    <t>c_lincoln</t>
  </si>
  <si>
    <t>Leicester</t>
  </si>
  <si>
    <t>c_leicester</t>
  </si>
  <si>
    <t>Derby</t>
  </si>
  <si>
    <t>Djuraby</t>
  </si>
  <si>
    <t>c_derby</t>
  </si>
  <si>
    <t>Rhos</t>
  </si>
  <si>
    <t>c_gwynedd</t>
  </si>
  <si>
    <t>Ternyllwg</t>
  </si>
  <si>
    <t>c_powys</t>
  </si>
  <si>
    <t>Shrewsbury</t>
  </si>
  <si>
    <t>Pengwern, Shropshire</t>
  </si>
  <si>
    <t>c_shrewsbury</t>
  </si>
  <si>
    <t>Warwick</t>
  </si>
  <si>
    <t>c_warwick</t>
  </si>
  <si>
    <t>Northampton</t>
  </si>
  <si>
    <t>c_northampton</t>
  </si>
  <si>
    <t>Bedford</t>
  </si>
  <si>
    <t>c_bedford</t>
  </si>
  <si>
    <t>Norfolk</t>
  </si>
  <si>
    <t>East Anglia</t>
  </si>
  <si>
    <t>c_norfolk</t>
  </si>
  <si>
    <t>Suffolk</t>
  </si>
  <si>
    <t>c_suffolk</t>
  </si>
  <si>
    <t>c_essex</t>
  </si>
  <si>
    <t>c_kent</t>
  </si>
  <si>
    <t>Guines</t>
  </si>
  <si>
    <t>Flanders</t>
  </si>
  <si>
    <t>France</t>
  </si>
  <si>
    <t>Francia</t>
  </si>
  <si>
    <t>Frankish</t>
  </si>
  <si>
    <t>French</t>
  </si>
  <si>
    <t>c_guines</t>
  </si>
  <si>
    <t>Boulogne</t>
  </si>
  <si>
    <t>c_boulogne</t>
  </si>
  <si>
    <t>Yperen</t>
  </si>
  <si>
    <t>Dutch</t>
  </si>
  <si>
    <t>c_yperen</t>
  </si>
  <si>
    <t>Artois</t>
  </si>
  <si>
    <t>c_artois</t>
  </si>
  <si>
    <t>Brugge</t>
  </si>
  <si>
    <t>c_brugge</t>
  </si>
  <si>
    <t>Zeeland</t>
  </si>
  <si>
    <t>Holland</t>
  </si>
  <si>
    <t>Frisia</t>
  </si>
  <si>
    <t>Holy Roman Empire</t>
  </si>
  <si>
    <t>Frisian</t>
  </si>
  <si>
    <t>c_zeeland</t>
  </si>
  <si>
    <t>c_holland</t>
  </si>
  <si>
    <t>Westfriesland</t>
  </si>
  <si>
    <t>c_westfriesland</t>
  </si>
  <si>
    <t>Sticht</t>
  </si>
  <si>
    <t>c_sticht</t>
  </si>
  <si>
    <t>Gelre</t>
  </si>
  <si>
    <t>c_gelre</t>
  </si>
  <si>
    <t>Friesland</t>
  </si>
  <si>
    <t>c_frisia</t>
  </si>
  <si>
    <t>Ostfriesland</t>
  </si>
  <si>
    <t>German</t>
  </si>
  <si>
    <t>c_ostfriesland</t>
  </si>
  <si>
    <t>Oldenburg</t>
  </si>
  <si>
    <t>Angria</t>
  </si>
  <si>
    <t>Germany</t>
  </si>
  <si>
    <t>Saxon</t>
  </si>
  <si>
    <t>Lara</t>
  </si>
  <si>
    <t>c_oldenburg</t>
  </si>
  <si>
    <t>Osnabrück</t>
  </si>
  <si>
    <t>Leriga</t>
  </si>
  <si>
    <t>c_osnabruck</t>
  </si>
  <si>
    <t>Münster</t>
  </si>
  <si>
    <t>c_munster</t>
  </si>
  <si>
    <t>Kleve</t>
  </si>
  <si>
    <t>Cologne</t>
  </si>
  <si>
    <t>Lotharingia</t>
  </si>
  <si>
    <t>c_kleve</t>
  </si>
  <si>
    <t>Jülich</t>
  </si>
  <si>
    <t>Lower Lorraine</t>
  </si>
  <si>
    <t>c_julich</t>
  </si>
  <si>
    <t>Loon</t>
  </si>
  <si>
    <t>c_loon</t>
  </si>
  <si>
    <t>Breda</t>
  </si>
  <si>
    <t>Brabant</t>
  </si>
  <si>
    <t>Toxandria</t>
  </si>
  <si>
    <t>c_breda</t>
  </si>
  <si>
    <t>Gent</t>
  </si>
  <si>
    <t>c_gent</t>
  </si>
  <si>
    <t>Hainaut</t>
  </si>
  <si>
    <t>c_hainaut</t>
  </si>
  <si>
    <t>Amiens</t>
  </si>
  <si>
    <t>Picardie</t>
  </si>
  <si>
    <t>c_amiens</t>
  </si>
  <si>
    <t>Eu</t>
  </si>
  <si>
    <t>Normandy</t>
  </si>
  <si>
    <t>Norman</t>
  </si>
  <si>
    <t>c_eu</t>
  </si>
  <si>
    <t>Rouen</t>
  </si>
  <si>
    <t>c_arques</t>
  </si>
  <si>
    <t>Vexin</t>
  </si>
  <si>
    <t>c_vexin</t>
  </si>
  <si>
    <t>Évreux</t>
  </si>
  <si>
    <t>c_evreux</t>
  </si>
  <si>
    <t>Mortain</t>
  </si>
  <si>
    <t>c_avranches</t>
  </si>
  <si>
    <t>Rennes</t>
  </si>
  <si>
    <t>Upper Brittany</t>
  </si>
  <si>
    <t>Brittany</t>
  </si>
  <si>
    <t>Roazhon</t>
  </si>
  <si>
    <t>c_rennes</t>
  </si>
  <si>
    <t>Penthievre</t>
  </si>
  <si>
    <t>Domnonia</t>
  </si>
  <si>
    <t>c_penthievre</t>
  </si>
  <si>
    <t>Léon</t>
  </si>
  <si>
    <t>c_french_leon</t>
  </si>
  <si>
    <t>Cornouaille</t>
  </si>
  <si>
    <t>Kernev</t>
  </si>
  <si>
    <t>c_cornouaille</t>
  </si>
  <si>
    <t>Vannes</t>
  </si>
  <si>
    <t>Broërec, Guened</t>
  </si>
  <si>
    <t>c_vannes</t>
  </si>
  <si>
    <t>Nantes</t>
  </si>
  <si>
    <t>Naoned</t>
  </si>
  <si>
    <t>c_nantes</t>
  </si>
  <si>
    <t>Anjou</t>
  </si>
  <si>
    <t>c_anjou</t>
  </si>
  <si>
    <t>Maine</t>
  </si>
  <si>
    <t>c_maine</t>
  </si>
  <si>
    <t>Vendôme</t>
  </si>
  <si>
    <t>c_vendome</t>
  </si>
  <si>
    <t>Blois</t>
  </si>
  <si>
    <t>c_blois</t>
  </si>
  <si>
    <t>Chartres</t>
  </si>
  <si>
    <t>c_chartres</t>
  </si>
  <si>
    <t>Paris</t>
  </si>
  <si>
    <t>c_ile_de_france</t>
  </si>
  <si>
    <t>Vermandois</t>
  </si>
  <si>
    <t>c_vermandois</t>
  </si>
  <si>
    <t>Reims</t>
  </si>
  <si>
    <t>Champagne</t>
  </si>
  <si>
    <t>c_reims</t>
  </si>
  <si>
    <t>Luxembourg</t>
  </si>
  <si>
    <t>c_luxembourg</t>
  </si>
  <si>
    <t>Liege</t>
  </si>
  <si>
    <t>c_liege</t>
  </si>
  <si>
    <t>c_brabant</t>
  </si>
  <si>
    <t>Trier</t>
  </si>
  <si>
    <t>c_trier</t>
  </si>
  <si>
    <t>Köln, Keulen</t>
  </si>
  <si>
    <t>c_koln</t>
  </si>
  <si>
    <t>Paderborn</t>
  </si>
  <si>
    <t>c_gottingen</t>
  </si>
  <si>
    <t>Fritzlar</t>
  </si>
  <si>
    <t>Hesse</t>
  </si>
  <si>
    <t>c_nassau</t>
  </si>
  <si>
    <t>Aschaffenburg</t>
  </si>
  <si>
    <t>Franconia</t>
  </si>
  <si>
    <t>c_leiningen</t>
  </si>
  <si>
    <t>Mainz</t>
  </si>
  <si>
    <t>the Rhine</t>
  </si>
  <si>
    <t>c_mainz</t>
  </si>
  <si>
    <t>Worms</t>
  </si>
  <si>
    <t>c_pfalz</t>
  </si>
  <si>
    <t>Baden</t>
  </si>
  <si>
    <t>c_baden</t>
  </si>
  <si>
    <t>Nordgau</t>
  </si>
  <si>
    <t>Alsace</t>
  </si>
  <si>
    <t>c_nordgau</t>
  </si>
  <si>
    <t>Lorraine</t>
  </si>
  <si>
    <t>Upper Lorraine</t>
  </si>
  <si>
    <t>c_lorraine</t>
  </si>
  <si>
    <t>Metz</t>
  </si>
  <si>
    <t>c_metz</t>
  </si>
  <si>
    <t>Verdun</t>
  </si>
  <si>
    <t>c_verdun</t>
  </si>
  <si>
    <t>Troyes</t>
  </si>
  <si>
    <t>c_troyes</t>
  </si>
  <si>
    <t>Sens</t>
  </si>
  <si>
    <t>c_sens</t>
  </si>
  <si>
    <t>Auxerre</t>
  </si>
  <si>
    <t>Burgundy</t>
  </si>
  <si>
    <t>c_auxerre</t>
  </si>
  <si>
    <t>Saintois</t>
  </si>
  <si>
    <t>c_saintois</t>
  </si>
  <si>
    <t>Sundgau</t>
  </si>
  <si>
    <t>c_sundgau</t>
  </si>
  <si>
    <t>Varais</t>
  </si>
  <si>
    <t>Franche Comté</t>
  </si>
  <si>
    <t>c_besancon</t>
  </si>
  <si>
    <t>Dijon</t>
  </si>
  <si>
    <t>c_dijon</t>
  </si>
  <si>
    <t>Nevers</t>
  </si>
  <si>
    <t>c_nevers</t>
  </si>
  <si>
    <t>Orléans</t>
  </si>
  <si>
    <t>c_orleans</t>
  </si>
  <si>
    <t>Bourges</t>
  </si>
  <si>
    <t>Berry</t>
  </si>
  <si>
    <t>c_bourges</t>
  </si>
  <si>
    <t>Tours</t>
  </si>
  <si>
    <t>c_tourraine</t>
  </si>
  <si>
    <t>Poitiers</t>
  </si>
  <si>
    <t>Poitou</t>
  </si>
  <si>
    <t>Aquitaine</t>
  </si>
  <si>
    <t>Occitan</t>
  </si>
  <si>
    <t>c_poitiers</t>
  </si>
  <si>
    <t>Thouars</t>
  </si>
  <si>
    <t>c_thouars</t>
  </si>
  <si>
    <t>Saintonge</t>
  </si>
  <si>
    <t>c_saintonge</t>
  </si>
  <si>
    <t>Lusignan</t>
  </si>
  <si>
    <t>c_lusignan</t>
  </si>
  <si>
    <t>La Marche</t>
  </si>
  <si>
    <t>Bourbon</t>
  </si>
  <si>
    <t>c_la_marche</t>
  </si>
  <si>
    <t>c_bourbon</t>
  </si>
  <si>
    <t>Limousin</t>
  </si>
  <si>
    <t>c_limousin</t>
  </si>
  <si>
    <t>Angoulême</t>
  </si>
  <si>
    <t>c_angouleme</t>
  </si>
  <si>
    <t>Bordeaux</t>
  </si>
  <si>
    <t>Basque</t>
  </si>
  <si>
    <t>c_bordeaux</t>
  </si>
  <si>
    <t>Marsan</t>
  </si>
  <si>
    <t>Gascogne</t>
  </si>
  <si>
    <t>c_albret</t>
  </si>
  <si>
    <t>Dax</t>
  </si>
  <si>
    <t>c_labourd</t>
  </si>
  <si>
    <t>Navarra</t>
  </si>
  <si>
    <t>Hispania</t>
  </si>
  <si>
    <t>c_navarra</t>
  </si>
  <si>
    <t>Viscaya</t>
  </si>
  <si>
    <t>c_viscaya</t>
  </si>
  <si>
    <t>Asturias de Santillana</t>
  </si>
  <si>
    <t>Castille</t>
  </si>
  <si>
    <t>Visigothic</t>
  </si>
  <si>
    <t>Castilian</t>
  </si>
  <si>
    <t>c_asturias_de_santillana</t>
  </si>
  <si>
    <t>Asturias de Oviedo</t>
  </si>
  <si>
    <t>Asturias</t>
  </si>
  <si>
    <t>León</t>
  </si>
  <si>
    <t>c_asturias_de_oviedo</t>
  </si>
  <si>
    <t>Coruña</t>
  </si>
  <si>
    <t>Galicia</t>
  </si>
  <si>
    <t>Suebi</t>
  </si>
  <si>
    <t>Portuguese</t>
  </si>
  <si>
    <t>c_coruna</t>
  </si>
  <si>
    <t>Santiago</t>
  </si>
  <si>
    <t>c_santiago</t>
  </si>
  <si>
    <t>Porto</t>
  </si>
  <si>
    <t>Portucale</t>
  </si>
  <si>
    <t>c_porto</t>
  </si>
  <si>
    <t>Coimbra</t>
  </si>
  <si>
    <t>Qulumriyah</t>
  </si>
  <si>
    <t>c_coimbra</t>
  </si>
  <si>
    <t>Lisboa</t>
  </si>
  <si>
    <t>Beja</t>
  </si>
  <si>
    <t>Badajoz</t>
  </si>
  <si>
    <t>Andalusian</t>
  </si>
  <si>
    <t>Lishbuna</t>
  </si>
  <si>
    <t>c_lisboa</t>
  </si>
  <si>
    <t>Alcácer do Sal</t>
  </si>
  <si>
    <t>c_alcacer_do_sal</t>
  </si>
  <si>
    <t>Silves</t>
  </si>
  <si>
    <t>Algarve</t>
  </si>
  <si>
    <t>Shlib</t>
  </si>
  <si>
    <t>c_silves</t>
  </si>
  <si>
    <t>Faro</t>
  </si>
  <si>
    <t>Uhshunubah</t>
  </si>
  <si>
    <t>c_faro</t>
  </si>
  <si>
    <t>Niebla</t>
  </si>
  <si>
    <t>Seville</t>
  </si>
  <si>
    <t>Andalusia</t>
  </si>
  <si>
    <t>c_niebla</t>
  </si>
  <si>
    <t>Cadiz</t>
  </si>
  <si>
    <t>c_cadiz</t>
  </si>
  <si>
    <t>Algeciras</t>
  </si>
  <si>
    <t>c_algeciras</t>
  </si>
  <si>
    <t>Malaga</t>
  </si>
  <si>
    <t>Granada</t>
  </si>
  <si>
    <t>c_malaga</t>
  </si>
  <si>
    <t>Almeria</t>
  </si>
  <si>
    <t>c_almeria</t>
  </si>
  <si>
    <t>Murcia</t>
  </si>
  <si>
    <t>Valencia</t>
  </si>
  <si>
    <t>Mursiya</t>
  </si>
  <si>
    <t>c_murcia</t>
  </si>
  <si>
    <t>Denia</t>
  </si>
  <si>
    <t>València</t>
  </si>
  <si>
    <t>Deniyya</t>
  </si>
  <si>
    <t>c_denia</t>
  </si>
  <si>
    <t>Balansiyya</t>
  </si>
  <si>
    <t>c_valencia</t>
  </si>
  <si>
    <t>Castellon</t>
  </si>
  <si>
    <t>c_castellon</t>
  </si>
  <si>
    <t>Tarragona</t>
  </si>
  <si>
    <t>Barcelona</t>
  </si>
  <si>
    <t>Aragon</t>
  </si>
  <si>
    <t>Catalan</t>
  </si>
  <si>
    <t>Turtusha</t>
  </si>
  <si>
    <t>c_tarragona</t>
  </si>
  <si>
    <t>Albarracin</t>
  </si>
  <si>
    <t>c_albarracin</t>
  </si>
  <si>
    <t>Calatayud</t>
  </si>
  <si>
    <t>c_calatayud</t>
  </si>
  <si>
    <t>Molina</t>
  </si>
  <si>
    <t>Toledo</t>
  </si>
  <si>
    <t>c_molina</t>
  </si>
  <si>
    <t>Cuenca</t>
  </si>
  <si>
    <t>Kunka</t>
  </si>
  <si>
    <t>c_cuenca</t>
  </si>
  <si>
    <t>La Mancha</t>
  </si>
  <si>
    <t>Córdoba</t>
  </si>
  <si>
    <t>c_la_mancha</t>
  </si>
  <si>
    <t>Almansa</t>
  </si>
  <si>
    <t>c_almansa</t>
  </si>
  <si>
    <t>c_granada</t>
  </si>
  <si>
    <t>Cordoba</t>
  </si>
  <si>
    <t>Qurtubah</t>
  </si>
  <si>
    <t>c_cordoba</t>
  </si>
  <si>
    <t>c_sevilla</t>
  </si>
  <si>
    <t>Aracena</t>
  </si>
  <si>
    <t>c_aracena</t>
  </si>
  <si>
    <t>c_badajoz</t>
  </si>
  <si>
    <t>Mértola</t>
  </si>
  <si>
    <t>c_mertola</t>
  </si>
  <si>
    <t>Évora</t>
  </si>
  <si>
    <t>c_evora</t>
  </si>
  <si>
    <t>Gaurdo</t>
  </si>
  <si>
    <t>c_castelo_branco</t>
  </si>
  <si>
    <t>Bragança</t>
  </si>
  <si>
    <t>c_braganza</t>
  </si>
  <si>
    <t>Astorga</t>
  </si>
  <si>
    <t>c_astorga</t>
  </si>
  <si>
    <t>c_leon</t>
  </si>
  <si>
    <t>Zamora</t>
  </si>
  <si>
    <t>c_zamora</t>
  </si>
  <si>
    <t>Salamanca</t>
  </si>
  <si>
    <t>c_salamanca</t>
  </si>
  <si>
    <t>Alcantara</t>
  </si>
  <si>
    <t>c_alcantara</t>
  </si>
  <si>
    <t>Plasencia</t>
  </si>
  <si>
    <t>c_plasencia</t>
  </si>
  <si>
    <t>Caceres</t>
  </si>
  <si>
    <t>c_caceres</t>
  </si>
  <si>
    <t>Calatrava</t>
  </si>
  <si>
    <t>c_calatrava</t>
  </si>
  <si>
    <t>Tulaytulah</t>
  </si>
  <si>
    <t>c_toledo</t>
  </si>
  <si>
    <t>Valladolid</t>
  </si>
  <si>
    <t>c_valladolid</t>
  </si>
  <si>
    <t>Burgos</t>
  </si>
  <si>
    <t>c_burgos</t>
  </si>
  <si>
    <t>Soria</t>
  </si>
  <si>
    <t>c_soria</t>
  </si>
  <si>
    <t>Nájera</t>
  </si>
  <si>
    <t>c_najera</t>
  </si>
  <si>
    <t>Zaragoza</t>
  </si>
  <si>
    <t>Saraqusta</t>
  </si>
  <si>
    <t>c_zaragoza</t>
  </si>
  <si>
    <t>Lleida</t>
  </si>
  <si>
    <t>Larida</t>
  </si>
  <si>
    <t>c_lleida</t>
  </si>
  <si>
    <t>Barshiluna</t>
  </si>
  <si>
    <t>c_barcelona</t>
  </si>
  <si>
    <t>Empuries</t>
  </si>
  <si>
    <t>c_empuries</t>
  </si>
  <si>
    <t>Urgell</t>
  </si>
  <si>
    <t>c_urgell</t>
  </si>
  <si>
    <t>Alto Aragón</t>
  </si>
  <si>
    <t>c_alto_aragon</t>
  </si>
  <si>
    <t>Béarn</t>
  </si>
  <si>
    <t>c_bearn</t>
  </si>
  <si>
    <t>Armagnac</t>
  </si>
  <si>
    <t>c_armagnac</t>
  </si>
  <si>
    <t>Foix</t>
  </si>
  <si>
    <t>Toulouse</t>
  </si>
  <si>
    <t>c_foix</t>
  </si>
  <si>
    <t>Rosello</t>
  </si>
  <si>
    <t>c_rosello</t>
  </si>
  <si>
    <t>Narbonne</t>
  </si>
  <si>
    <t>c_narbonne</t>
  </si>
  <si>
    <t>Carcassonne</t>
  </si>
  <si>
    <t>c_carcassonne</t>
  </si>
  <si>
    <t>c_toulouse</t>
  </si>
  <si>
    <t>Agen</t>
  </si>
  <si>
    <t>c_agen</t>
  </si>
  <si>
    <t>Périgord</t>
  </si>
  <si>
    <t>c_perigord</t>
  </si>
  <si>
    <t>Auvergne</t>
  </si>
  <si>
    <t>c_auvergne</t>
  </si>
  <si>
    <t>Rouergue</t>
  </si>
  <si>
    <t>c_rouergue</t>
  </si>
  <si>
    <t>Gévaudan</t>
  </si>
  <si>
    <t>c_gevaudan</t>
  </si>
  <si>
    <t>Melgueil</t>
  </si>
  <si>
    <t>c_montpellier</t>
  </si>
  <si>
    <t>Provence</t>
  </si>
  <si>
    <t>c_provence</t>
  </si>
  <si>
    <t>Venaissin</t>
  </si>
  <si>
    <t>c_venaissin</t>
  </si>
  <si>
    <t>Vivarais</t>
  </si>
  <si>
    <t>Dauphiné</t>
  </si>
  <si>
    <t>c_viviers</t>
  </si>
  <si>
    <t>Forez</t>
  </si>
  <si>
    <t>c_forez</t>
  </si>
  <si>
    <t>Mâcon</t>
  </si>
  <si>
    <t>c_macon</t>
  </si>
  <si>
    <t>Charolais</t>
  </si>
  <si>
    <t>c_charolais</t>
  </si>
  <si>
    <t>Lyon</t>
  </si>
  <si>
    <t>c_lyon</t>
  </si>
  <si>
    <t>Vienne</t>
  </si>
  <si>
    <t>c_dauphine_viennois</t>
  </si>
  <si>
    <t>Forcalquier</t>
  </si>
  <si>
    <t>c_forcalquier</t>
  </si>
  <si>
    <t>Nice</t>
  </si>
  <si>
    <t>Lombard</t>
  </si>
  <si>
    <t>Italian</t>
  </si>
  <si>
    <t>c_nice</t>
  </si>
  <si>
    <t>Saluzzo</t>
  </si>
  <si>
    <t>Susa</t>
  </si>
  <si>
    <t>Italy</t>
  </si>
  <si>
    <t>Italia</t>
  </si>
  <si>
    <t>c_saluzzo</t>
  </si>
  <si>
    <t>Monferrato</t>
  </si>
  <si>
    <t>c_monferrato</t>
  </si>
  <si>
    <t>Genoa</t>
  </si>
  <si>
    <t>c_genoa</t>
  </si>
  <si>
    <t>Pavia</t>
  </si>
  <si>
    <t>Milano</t>
  </si>
  <si>
    <t>c_pavia</t>
  </si>
  <si>
    <t>c_lombardia</t>
  </si>
  <si>
    <t>Piemonte</t>
  </si>
  <si>
    <t>c_piemonte</t>
  </si>
  <si>
    <t>Savoy</t>
  </si>
  <si>
    <t>c_savoie</t>
  </si>
  <si>
    <t>Valais</t>
  </si>
  <si>
    <t>c_valais</t>
  </si>
  <si>
    <t>Genevois</t>
  </si>
  <si>
    <t>c_geneve</t>
  </si>
  <si>
    <t>Chalons</t>
  </si>
  <si>
    <t>c_chalons</t>
  </si>
  <si>
    <t>Neuchatel</t>
  </si>
  <si>
    <t>Transjurania</t>
  </si>
  <si>
    <t>c_neuchatel</t>
  </si>
  <si>
    <t>Basel</t>
  </si>
  <si>
    <t>c_aargau</t>
  </si>
  <si>
    <t>Orvieto</t>
  </si>
  <si>
    <t>Latium</t>
  </si>
  <si>
    <t>Papal States</t>
  </si>
  <si>
    <t>c_orvieto</t>
  </si>
  <si>
    <t>Bern</t>
  </si>
  <si>
    <t>c_bern</t>
  </si>
  <si>
    <t>Zurichgau</t>
  </si>
  <si>
    <t>Thurgau</t>
  </si>
  <si>
    <t>c_zurichgau</t>
  </si>
  <si>
    <t>Schwyz</t>
  </si>
  <si>
    <t>Raetia</t>
  </si>
  <si>
    <t>c_schwyz</t>
  </si>
  <si>
    <t>Chur</t>
  </si>
  <si>
    <t>c_chur</t>
  </si>
  <si>
    <t>c_st_gallen</t>
  </si>
  <si>
    <t>Schwaben</t>
  </si>
  <si>
    <t>Swabia</t>
  </si>
  <si>
    <t>c_schwaben</t>
  </si>
  <si>
    <t>Breisgau</t>
  </si>
  <si>
    <t>c_breisgau</t>
  </si>
  <si>
    <t>Fürstenberg</t>
  </si>
  <si>
    <t>c_furstenberg</t>
  </si>
  <si>
    <t>Ulm</t>
  </si>
  <si>
    <t>c_ulm</t>
  </si>
  <si>
    <t>Württemberg</t>
  </si>
  <si>
    <t>c_wurttemberg</t>
  </si>
  <si>
    <t>Würzburg</t>
  </si>
  <si>
    <t>c_wurzburg</t>
  </si>
  <si>
    <t>Thüringen</t>
  </si>
  <si>
    <t>Thüringia</t>
  </si>
  <si>
    <t>c_thuringen</t>
  </si>
  <si>
    <t>Weimar</t>
  </si>
  <si>
    <t>c_weimar</t>
  </si>
  <si>
    <t>Braunschweig</t>
  </si>
  <si>
    <t>Saxony</t>
  </si>
  <si>
    <t>c_braunschweig</t>
  </si>
  <si>
    <t>Lüneburg</t>
  </si>
  <si>
    <t>c_luneburg</t>
  </si>
  <si>
    <t>Bremen</t>
  </si>
  <si>
    <t>c_celle</t>
  </si>
  <si>
    <t>Mecklenburg</t>
  </si>
  <si>
    <t>Pomeranian</t>
  </si>
  <si>
    <t>Slavic</t>
  </si>
  <si>
    <t>Weligrad</t>
  </si>
  <si>
    <t>c_mecklemburg</t>
  </si>
  <si>
    <t>Hamburg</t>
  </si>
  <si>
    <t>Holy Roman EMpire</t>
  </si>
  <si>
    <t>Hamborg</t>
  </si>
  <si>
    <t>c_hamburg</t>
  </si>
  <si>
    <t>Lübeck</t>
  </si>
  <si>
    <t>Lybæk, Lybäck, Lybæck, Liubice</t>
  </si>
  <si>
    <t>c_lubeck</t>
  </si>
  <si>
    <t>Holstein</t>
  </si>
  <si>
    <t>Holsten</t>
  </si>
  <si>
    <t>c_holstein</t>
  </si>
  <si>
    <t>Slesvig</t>
  </si>
  <si>
    <t>Jylland</t>
  </si>
  <si>
    <t>Schleswig</t>
  </si>
  <si>
    <t>c_slesvig</t>
  </si>
  <si>
    <t>Fyn</t>
  </si>
  <si>
    <t>Sjælland</t>
  </si>
  <si>
    <t>c_fyn</t>
  </si>
  <si>
    <t>Själland, Zealand</t>
  </si>
  <si>
    <t>c_sjaelland</t>
  </si>
  <si>
    <t>Skagen</t>
  </si>
  <si>
    <t>Jütland, Jutland</t>
  </si>
  <si>
    <t>c_jylland</t>
  </si>
  <si>
    <t>Agder</t>
  </si>
  <si>
    <t>Vestlandet</t>
  </si>
  <si>
    <t>Agdir</t>
  </si>
  <si>
    <t>c_agder</t>
  </si>
  <si>
    <t>Rogaland</t>
  </si>
  <si>
    <t>Rygjafylki</t>
  </si>
  <si>
    <t>c_rogaland</t>
  </si>
  <si>
    <t>Telemark</t>
  </si>
  <si>
    <t>Þelamark</t>
  </si>
  <si>
    <t>c_telemark</t>
  </si>
  <si>
    <t>Vestfold</t>
  </si>
  <si>
    <t>Ostlandet</t>
  </si>
  <si>
    <t>c_vestfold</t>
  </si>
  <si>
    <t>Akershus</t>
  </si>
  <si>
    <t>Raumariki</t>
  </si>
  <si>
    <t>c_akershus</t>
  </si>
  <si>
    <t>Hedmark</t>
  </si>
  <si>
    <t>Gudbrandsdal</t>
  </si>
  <si>
    <t>c_oppland</t>
  </si>
  <si>
    <t>Bergenhus</t>
  </si>
  <si>
    <t>Hordaland</t>
  </si>
  <si>
    <t>c_bergenshus</t>
  </si>
  <si>
    <t>Nidaros</t>
  </si>
  <si>
    <t>c_trondelag</t>
  </si>
  <si>
    <t>Østerdalen</t>
  </si>
  <si>
    <t>Heidmark</t>
  </si>
  <si>
    <t>c_hedmark</t>
  </si>
  <si>
    <t>Naumadal</t>
  </si>
  <si>
    <t>c_naumadal</t>
  </si>
  <si>
    <t>Hålogaland</t>
  </si>
  <si>
    <t>c_halogaland</t>
  </si>
  <si>
    <t>Lappland</t>
  </si>
  <si>
    <t>Lapland</t>
  </si>
  <si>
    <t>Sami</t>
  </si>
  <si>
    <t>Suomenusko</t>
  </si>
  <si>
    <t>Lappi, Sápmi</t>
  </si>
  <si>
    <t>c_lappland</t>
  </si>
  <si>
    <t>Westrobothnia</t>
  </si>
  <si>
    <t>Swedish</t>
  </si>
  <si>
    <t>Västerbotten, Vesterbotten, Vesterbotn, Länsipohja</t>
  </si>
  <si>
    <t>c_vasterbotten</t>
  </si>
  <si>
    <t>Ångermanland</t>
  </si>
  <si>
    <t>Hälsingland</t>
  </si>
  <si>
    <t>Sweden</t>
  </si>
  <si>
    <t>Angermanland</t>
  </si>
  <si>
    <t>c_angermanland</t>
  </si>
  <si>
    <t>Jämtland</t>
  </si>
  <si>
    <t>Jemtland, Jamtaland</t>
  </si>
  <si>
    <t>c_jamtland</t>
  </si>
  <si>
    <t>Medelpad</t>
  </si>
  <si>
    <t>c_medelpad</t>
  </si>
  <si>
    <t>Herjedalen</t>
  </si>
  <si>
    <t>Härjedalen, Herjadal</t>
  </si>
  <si>
    <t>c_herjedalen</t>
  </si>
  <si>
    <t>Helsingland</t>
  </si>
  <si>
    <t>c_halsingland</t>
  </si>
  <si>
    <t>Gästrikland</t>
  </si>
  <si>
    <t>Uppland</t>
  </si>
  <si>
    <t>Gestrikland</t>
  </si>
  <si>
    <t>c_gastrikland</t>
  </si>
  <si>
    <t>Järnbäraland</t>
  </si>
  <si>
    <t>Bergslagen</t>
  </si>
  <si>
    <t>Jernbæraland, Dalecarlia, Járnberaland</t>
  </si>
  <si>
    <t>c_dalarna</t>
  </si>
  <si>
    <t>Wermelandia</t>
  </si>
  <si>
    <t>Värmland, Vermland, Værmland, Vermaland</t>
  </si>
  <si>
    <t>c_varmland</t>
  </si>
  <si>
    <t>Västmanland</t>
  </si>
  <si>
    <t>Vestmanland, Vestmannaland</t>
  </si>
  <si>
    <t>c_vastmanland</t>
  </si>
  <si>
    <t>c_uppland</t>
  </si>
  <si>
    <t>Åland</t>
  </si>
  <si>
    <t>c_aland</t>
  </si>
  <si>
    <t>Sudermannia</t>
  </si>
  <si>
    <t>Sødermanland, Sudermanland, Södermanland</t>
  </si>
  <si>
    <t>c_sodermanland</t>
  </si>
  <si>
    <t>Ostrogothia</t>
  </si>
  <si>
    <t>Østergøtland, Austergautland, Östergötland</t>
  </si>
  <si>
    <t>c_ostergotland</t>
  </si>
  <si>
    <t>Närke</t>
  </si>
  <si>
    <t>Westrogothia</t>
  </si>
  <si>
    <t>Nerike, Nerke</t>
  </si>
  <si>
    <t>c_narke</t>
  </si>
  <si>
    <t>Dal</t>
  </si>
  <si>
    <t>c_dal</t>
  </si>
  <si>
    <t>Baahuslen</t>
  </si>
  <si>
    <t>Alfheimr</t>
  </si>
  <si>
    <t>c_viken</t>
  </si>
  <si>
    <t>Västergötland, Vestergøtland, Vestergautland</t>
  </si>
  <si>
    <t>c_vastergotland</t>
  </si>
  <si>
    <t>Värend</t>
  </si>
  <si>
    <t>Småland</t>
  </si>
  <si>
    <t>c_smaland</t>
  </si>
  <si>
    <t>Farrah</t>
  </si>
  <si>
    <t>Sistan</t>
  </si>
  <si>
    <t>Persian Empire</t>
  </si>
  <si>
    <t>Afghan</t>
  </si>
  <si>
    <t>Zunist</t>
  </si>
  <si>
    <t>c_farrah</t>
  </si>
  <si>
    <t>Öland</t>
  </si>
  <si>
    <t>Øland</t>
  </si>
  <si>
    <t>c_oland</t>
  </si>
  <si>
    <t>Gotland</t>
  </si>
  <si>
    <t>c_gotland</t>
  </si>
  <si>
    <t>Halland</t>
  </si>
  <si>
    <t>c_halland</t>
  </si>
  <si>
    <t>Skåne</t>
  </si>
  <si>
    <t>c_skane</t>
  </si>
  <si>
    <t>Rügen</t>
  </si>
  <si>
    <t>Pomerania</t>
  </si>
  <si>
    <t>Wendish Empire</t>
  </si>
  <si>
    <t>Rana</t>
  </si>
  <si>
    <t>c_rugen</t>
  </si>
  <si>
    <t>Bornholm</t>
  </si>
  <si>
    <t>Burgundaholmr</t>
  </si>
  <si>
    <t>c_bornholm</t>
  </si>
  <si>
    <t>Rostock</t>
  </si>
  <si>
    <t>Rastokú</t>
  </si>
  <si>
    <t>c_rostock</t>
  </si>
  <si>
    <t>Werle</t>
  </si>
  <si>
    <t>Dymin</t>
  </si>
  <si>
    <t>c_werle</t>
  </si>
  <si>
    <t>Wolgast</t>
  </si>
  <si>
    <t>Wologoszcz</t>
  </si>
  <si>
    <t>c_wolgast</t>
  </si>
  <si>
    <t>Werben</t>
  </si>
  <si>
    <t>Laczyn</t>
  </si>
  <si>
    <t>c_altmark</t>
  </si>
  <si>
    <t>Zerbst</t>
  </si>
  <si>
    <t>Lausitz</t>
  </si>
  <si>
    <t>Dolomici/Zerbst</t>
  </si>
  <si>
    <t>c_anhalt</t>
  </si>
  <si>
    <t>Merseburg</t>
  </si>
  <si>
    <t>Ploni, Merseburg</t>
  </si>
  <si>
    <t>c_plauen</t>
  </si>
  <si>
    <t>Meissen</t>
  </si>
  <si>
    <t>Nisani</t>
  </si>
  <si>
    <t>c_meissen</t>
  </si>
  <si>
    <t>Bamberg</t>
  </si>
  <si>
    <t>c_bamberg</t>
  </si>
  <si>
    <t>Nürnberg</t>
  </si>
  <si>
    <t>Bavaria</t>
  </si>
  <si>
    <t>c_nurnberg</t>
  </si>
  <si>
    <t>Augsburg</t>
  </si>
  <si>
    <t>c_kempten</t>
  </si>
  <si>
    <t>Landeck</t>
  </si>
  <si>
    <t>Tyrol</t>
  </si>
  <si>
    <t>c_tirol</t>
  </si>
  <si>
    <t>Trent</t>
  </si>
  <si>
    <t>c_trent</t>
  </si>
  <si>
    <t>Brescia</t>
  </si>
  <si>
    <t>c_brescia</t>
  </si>
  <si>
    <t>Verona</t>
  </si>
  <si>
    <t>c_verona</t>
  </si>
  <si>
    <t>Cremona</t>
  </si>
  <si>
    <t>c_cremona</t>
  </si>
  <si>
    <t>Parma</t>
  </si>
  <si>
    <t>Modena</t>
  </si>
  <si>
    <t>c_parma</t>
  </si>
  <si>
    <t>c_modena</t>
  </si>
  <si>
    <t>Lucca</t>
  </si>
  <si>
    <t>Tuscany</t>
  </si>
  <si>
    <t>c_lucca</t>
  </si>
  <si>
    <t>Corsica</t>
  </si>
  <si>
    <t>Sardinia and Corsica</t>
  </si>
  <si>
    <t>Còrsega, Corse, Korsikn, Cismonte</t>
  </si>
  <si>
    <t>c_corsica</t>
  </si>
  <si>
    <t>Arborea</t>
  </si>
  <si>
    <t>Sardinia</t>
  </si>
  <si>
    <t>Arboréa</t>
  </si>
  <si>
    <t>c_arborea</t>
  </si>
  <si>
    <t>Cagliari</t>
  </si>
  <si>
    <t>Karalis, Caralis</t>
  </si>
  <si>
    <t>c_cagliari</t>
  </si>
  <si>
    <t>Pisa</t>
  </si>
  <si>
    <t>c_pisa</t>
  </si>
  <si>
    <t>Florence</t>
  </si>
  <si>
    <t>Firenze, Florencia, Florentiae, Florens, Florenz</t>
  </si>
  <si>
    <t>c_firenze</t>
  </si>
  <si>
    <t>Urbino</t>
  </si>
  <si>
    <t>Ancona</t>
  </si>
  <si>
    <t>c_urbino</t>
  </si>
  <si>
    <t>Siena</t>
  </si>
  <si>
    <t>c_siena</t>
  </si>
  <si>
    <t>Piombino</t>
  </si>
  <si>
    <t>c_piombino</t>
  </si>
  <si>
    <t>Orbetello</t>
  </si>
  <si>
    <t>c_orbetello</t>
  </si>
  <si>
    <t>Rome</t>
  </si>
  <si>
    <t>Roma, Rom</t>
  </si>
  <si>
    <t>c_roma</t>
  </si>
  <si>
    <t>Napoli</t>
  </si>
  <si>
    <t>Capua</t>
  </si>
  <si>
    <t>Sicily</t>
  </si>
  <si>
    <t>Byzantine Empire</t>
  </si>
  <si>
    <t>Greek</t>
  </si>
  <si>
    <t>Orthodox</t>
  </si>
  <si>
    <t>Neapolis</t>
  </si>
  <si>
    <t>c_napoli</t>
  </si>
  <si>
    <t>Benevento</t>
  </si>
  <si>
    <t>c_benevento</t>
  </si>
  <si>
    <t>Salerno</t>
  </si>
  <si>
    <t>c_salerno</t>
  </si>
  <si>
    <t>Cosenza</t>
  </si>
  <si>
    <t>Calabria</t>
  </si>
  <si>
    <t>Kroton</t>
  </si>
  <si>
    <t>c_consenza</t>
  </si>
  <si>
    <t>Reggio</t>
  </si>
  <si>
    <t>Rhegion</t>
  </si>
  <si>
    <t>c_reggio</t>
  </si>
  <si>
    <t>Messina</t>
  </si>
  <si>
    <t>Berber</t>
  </si>
  <si>
    <t>Messene</t>
  </si>
  <si>
    <t>c_messina</t>
  </si>
  <si>
    <t>Palermo</t>
  </si>
  <si>
    <t>Balharm, Panarmos</t>
  </si>
  <si>
    <t>c_palermo</t>
  </si>
  <si>
    <t>Trapani</t>
  </si>
  <si>
    <t>Drepanon, Mazar</t>
  </si>
  <si>
    <t>c_trapani</t>
  </si>
  <si>
    <t>Girgenti</t>
  </si>
  <si>
    <t>Agrigenton, Kerkent</t>
  </si>
  <si>
    <t>c_agrigento</t>
  </si>
  <si>
    <t>Siracusa</t>
  </si>
  <si>
    <t>Syrakousa</t>
  </si>
  <si>
    <t>c_siracusa</t>
  </si>
  <si>
    <t>Taranto</t>
  </si>
  <si>
    <t>Lukania</t>
  </si>
  <si>
    <t>c_taranto</t>
  </si>
  <si>
    <t>Lecce</t>
  </si>
  <si>
    <t>Apulia</t>
  </si>
  <si>
    <t>Brendesion</t>
  </si>
  <si>
    <t>c_lecce</t>
  </si>
  <si>
    <t>Bari</t>
  </si>
  <si>
    <t>Barion</t>
  </si>
  <si>
    <t>c_bari</t>
  </si>
  <si>
    <t>c_apulia</t>
  </si>
  <si>
    <t>Foggia</t>
  </si>
  <si>
    <t>c_foggia</t>
  </si>
  <si>
    <t>Spoleto</t>
  </si>
  <si>
    <t>c_spoleto</t>
  </si>
  <si>
    <t>Ankon</t>
  </si>
  <si>
    <t>c_ancona</t>
  </si>
  <si>
    <t>Ravenna</t>
  </si>
  <si>
    <t>Ferrara</t>
  </si>
  <si>
    <t>c_ravenna</t>
  </si>
  <si>
    <t>Bologna</t>
  </si>
  <si>
    <t>c_bologna</t>
  </si>
  <si>
    <t>c_ferrara</t>
  </si>
  <si>
    <t>Mantua</t>
  </si>
  <si>
    <t>c_mantua</t>
  </si>
  <si>
    <t>Padua</t>
  </si>
  <si>
    <t>c_padova</t>
  </si>
  <si>
    <t>Venezia</t>
  </si>
  <si>
    <t>Venice</t>
  </si>
  <si>
    <t>c_venezia</t>
  </si>
  <si>
    <t>Treviso</t>
  </si>
  <si>
    <t>Friuli</t>
  </si>
  <si>
    <t>Carinthia</t>
  </si>
  <si>
    <t>c_treviso</t>
  </si>
  <si>
    <t>Aquileia</t>
  </si>
  <si>
    <t>Oglej</t>
  </si>
  <si>
    <t>c_aquileia</t>
  </si>
  <si>
    <t>Innsbruck</t>
  </si>
  <si>
    <t>c_innsbruck</t>
  </si>
  <si>
    <t>Freising</t>
  </si>
  <si>
    <t>c_oberbayern</t>
  </si>
  <si>
    <t>Cham</t>
  </si>
  <si>
    <t>c_niederbayern</t>
  </si>
  <si>
    <t>South Bohemia</t>
  </si>
  <si>
    <t>Bohemia</t>
  </si>
  <si>
    <t>Bohemian</t>
  </si>
  <si>
    <t>c_domazlice</t>
  </si>
  <si>
    <t>Litomerice</t>
  </si>
  <si>
    <t>Leitmeritz</t>
  </si>
  <si>
    <t>c_litomerice</t>
  </si>
  <si>
    <t>Luzycka</t>
  </si>
  <si>
    <t>c_lausitz</t>
  </si>
  <si>
    <t>Brandenburg</t>
  </si>
  <si>
    <t>Brennaburg</t>
  </si>
  <si>
    <t>c_brandenburg</t>
  </si>
  <si>
    <t>Stettin</t>
  </si>
  <si>
    <t>Szczecin</t>
  </si>
  <si>
    <t>c_stettin</t>
  </si>
  <si>
    <t>Slupsk</t>
  </si>
  <si>
    <t>Pomeralia</t>
  </si>
  <si>
    <t>Stolp</t>
  </si>
  <si>
    <t>c_slupsk</t>
  </si>
  <si>
    <t>Danzig</t>
  </si>
  <si>
    <t>Gdansk</t>
  </si>
  <si>
    <t>c_danzig</t>
  </si>
  <si>
    <t>Chelmno</t>
  </si>
  <si>
    <t>Prussia</t>
  </si>
  <si>
    <t>Lithuania</t>
  </si>
  <si>
    <t>Prussian</t>
  </si>
  <si>
    <t>Romuva</t>
  </si>
  <si>
    <t>Kulm</t>
  </si>
  <si>
    <t>c_chelminskie</t>
  </si>
  <si>
    <t>Marienburg</t>
  </si>
  <si>
    <t>c_marienburg</t>
  </si>
  <si>
    <t>Sambia</t>
  </si>
  <si>
    <t>Semba, Samland</t>
  </si>
  <si>
    <t>c_sambia</t>
  </si>
  <si>
    <t>Memel</t>
  </si>
  <si>
    <t>Samogitia</t>
  </si>
  <si>
    <t>Lithuanian</t>
  </si>
  <si>
    <t>c_memel</t>
  </si>
  <si>
    <t>Kurzeme</t>
  </si>
  <si>
    <t>Courland</t>
  </si>
  <si>
    <t>Lettigallian</t>
  </si>
  <si>
    <t>Kurland</t>
  </si>
  <si>
    <t>c_kurs</t>
  </si>
  <si>
    <t>Zemgale</t>
  </si>
  <si>
    <t>Livonia</t>
  </si>
  <si>
    <t>Riga</t>
  </si>
  <si>
    <t>c_zemigalians</t>
  </si>
  <si>
    <t>Liivimaa</t>
  </si>
  <si>
    <t>Finland</t>
  </si>
  <si>
    <t>Estonian</t>
  </si>
  <si>
    <t>Livland</t>
  </si>
  <si>
    <t>c_lettigalians</t>
  </si>
  <si>
    <t>Saaremaa</t>
  </si>
  <si>
    <t>Ösel, Øsel</t>
  </si>
  <si>
    <t>c_osel</t>
  </si>
  <si>
    <t>Läänemaa</t>
  </si>
  <si>
    <t>Lääne</t>
  </si>
  <si>
    <t>c_livs</t>
  </si>
  <si>
    <t>Kalevan</t>
  </si>
  <si>
    <t>Estonia</t>
  </si>
  <si>
    <t>Reval</t>
  </si>
  <si>
    <t>c_reval</t>
  </si>
  <si>
    <t>Tartu</t>
  </si>
  <si>
    <t>Dorpat</t>
  </si>
  <si>
    <t>c_dorpat</t>
  </si>
  <si>
    <t>Narva</t>
  </si>
  <si>
    <t>c_narva</t>
  </si>
  <si>
    <t>Uusimaa</t>
  </si>
  <si>
    <t>Finnish</t>
  </si>
  <si>
    <t>Nyland</t>
  </si>
  <si>
    <t>c_nyland</t>
  </si>
  <si>
    <t>Suomi</t>
  </si>
  <si>
    <t>c_finland</t>
  </si>
  <si>
    <t>Tavastia</t>
  </si>
  <si>
    <t>Tavastehus, Häme, Tavastland</t>
  </si>
  <si>
    <t>c_tavasts</t>
  </si>
  <si>
    <t>Satakunta</t>
  </si>
  <si>
    <t>Satakunda</t>
  </si>
  <si>
    <t>c_satakunta</t>
  </si>
  <si>
    <t>Ostrobothnia</t>
  </si>
  <si>
    <t>Österbotten, Østerbotten, Austerbotn, Pohjanmaa</t>
  </si>
  <si>
    <t>c_osterbotten</t>
  </si>
  <si>
    <t>Kemi</t>
  </si>
  <si>
    <t>Kola</t>
  </si>
  <si>
    <t>c_kemi</t>
  </si>
  <si>
    <t>c_kola</t>
  </si>
  <si>
    <t>Kem</t>
  </si>
  <si>
    <t>Karelia</t>
  </si>
  <si>
    <t>Östkarelen, Østkarelen, Kareliya</t>
  </si>
  <si>
    <t>c_karelen</t>
  </si>
  <si>
    <t>Finnmark</t>
  </si>
  <si>
    <t>Finnmárku</t>
  </si>
  <si>
    <t>c_finnmark</t>
  </si>
  <si>
    <t>Savo</t>
  </si>
  <si>
    <t>Savolax</t>
  </si>
  <si>
    <t>c_savolaks</t>
  </si>
  <si>
    <t>Nordland</t>
  </si>
  <si>
    <t>c_nordland</t>
  </si>
  <si>
    <t>Käkisalmi</t>
  </si>
  <si>
    <t>Kexholm</t>
  </si>
  <si>
    <t>c_kexholm</t>
  </si>
  <si>
    <t>Olonets</t>
  </si>
  <si>
    <t>Onega, Onezhskoe</t>
  </si>
  <si>
    <t>c_onega</t>
  </si>
  <si>
    <t>Onega</t>
  </si>
  <si>
    <t>Kargopol</t>
  </si>
  <si>
    <t>Nenetsia</t>
  </si>
  <si>
    <t>Volga-Ural</t>
  </si>
  <si>
    <t>Nenets</t>
  </si>
  <si>
    <t>c_trans-portage</t>
  </si>
  <si>
    <t>Dvina</t>
  </si>
  <si>
    <t>Bjarmia</t>
  </si>
  <si>
    <t>c_north_dvina</t>
  </si>
  <si>
    <t>c_bjarmia</t>
  </si>
  <si>
    <t>Snopa</t>
  </si>
  <si>
    <t>Mezen</t>
  </si>
  <si>
    <t>c_samoyeds</t>
  </si>
  <si>
    <t>Ugra</t>
  </si>
  <si>
    <t>c_ugra</t>
  </si>
  <si>
    <t>Syrj</t>
  </si>
  <si>
    <t>Velsk</t>
  </si>
  <si>
    <t>Perm</t>
  </si>
  <si>
    <t>c_syrj</t>
  </si>
  <si>
    <t>Illyinsk</t>
  </si>
  <si>
    <t>Veliky Ustug</t>
  </si>
  <si>
    <t>c_zyriane</t>
  </si>
  <si>
    <t>Hlynov</t>
  </si>
  <si>
    <t>Mari</t>
  </si>
  <si>
    <t>Volga Bulgaria</t>
  </si>
  <si>
    <t>c_hlynov</t>
  </si>
  <si>
    <t>c_veliky_ustug</t>
  </si>
  <si>
    <t>Romny</t>
  </si>
  <si>
    <t>c_romny</t>
  </si>
  <si>
    <t>Zaozerye</t>
  </si>
  <si>
    <t>Veps</t>
  </si>
  <si>
    <t>Novgorod</t>
  </si>
  <si>
    <t>Empire of Rus</t>
  </si>
  <si>
    <t>c_zaozerye</t>
  </si>
  <si>
    <t>Chud</t>
  </si>
  <si>
    <t>Vologda</t>
  </si>
  <si>
    <t>Vladimir</t>
  </si>
  <si>
    <t>Mordvin</t>
  </si>
  <si>
    <t>c_chud</t>
  </si>
  <si>
    <t>Volodga</t>
  </si>
  <si>
    <t>c_vologda</t>
  </si>
  <si>
    <t>Kostroma</t>
  </si>
  <si>
    <t>c_kostroma</t>
  </si>
  <si>
    <t>Belo Ozero</t>
  </si>
  <si>
    <t>Rostov</t>
  </si>
  <si>
    <t>Russian</t>
  </si>
  <si>
    <t>c_beloozero</t>
  </si>
  <si>
    <t>Ladoga</t>
  </si>
  <si>
    <t>Nevajärvi</t>
  </si>
  <si>
    <t>c_bezhetsky_verh</t>
  </si>
  <si>
    <t>Toropets</t>
  </si>
  <si>
    <t>Smolensk</t>
  </si>
  <si>
    <t>Ruthenia</t>
  </si>
  <si>
    <t>Ilmenian</t>
  </si>
  <si>
    <t>c_toropets</t>
  </si>
  <si>
    <t>Ingria</t>
  </si>
  <si>
    <t>Pskov</t>
  </si>
  <si>
    <t>Inkeri, Ingriya, Ingermanland</t>
  </si>
  <si>
    <t>c_vodi</t>
  </si>
  <si>
    <t>Torzhok</t>
  </si>
  <si>
    <t>c_torzhok</t>
  </si>
  <si>
    <t>Pleskau</t>
  </si>
  <si>
    <t>c_pskov</t>
  </si>
  <si>
    <t>Holmgård, Holmgarðr</t>
  </si>
  <si>
    <t>c_novgorod</t>
  </si>
  <si>
    <t>Luki</t>
  </si>
  <si>
    <t>c_velikiye_luki</t>
  </si>
  <si>
    <t>Latgale</t>
  </si>
  <si>
    <t>Lettgallen</t>
  </si>
  <si>
    <t>c_west_dvina</t>
  </si>
  <si>
    <t>Vitebsk</t>
  </si>
  <si>
    <t>Polotsk</t>
  </si>
  <si>
    <t>c_vitebsk</t>
  </si>
  <si>
    <t>Orsha</t>
  </si>
  <si>
    <t>c_orsha</t>
  </si>
  <si>
    <t>Pallteskja</t>
  </si>
  <si>
    <t>c_polotsk</t>
  </si>
  <si>
    <t>Vilnius</t>
  </si>
  <si>
    <t>c_aukshayts</t>
  </si>
  <si>
    <t>Sameiten, Zhmud, Zemaitija, Zhmudz, Zemaiteje</t>
  </si>
  <si>
    <t>c_zhmud</t>
  </si>
  <si>
    <t>Scalovia</t>
  </si>
  <si>
    <t>Yatvingia</t>
  </si>
  <si>
    <t>c_scalovia</t>
  </si>
  <si>
    <t>Sudovia</t>
  </si>
  <si>
    <t>c_sudovia</t>
  </si>
  <si>
    <t>Grodno</t>
  </si>
  <si>
    <t>c_jacwiez</t>
  </si>
  <si>
    <t>Podlasie</t>
  </si>
  <si>
    <t>Volhynia</t>
  </si>
  <si>
    <t>Galicia-Volhynia</t>
  </si>
  <si>
    <t>c_podlasie</t>
  </si>
  <si>
    <t>Kaunas</t>
  </si>
  <si>
    <t>c_yatvyagi</t>
  </si>
  <si>
    <t>Galindia</t>
  </si>
  <si>
    <t>c_galindia</t>
  </si>
  <si>
    <t>Kujawy</t>
  </si>
  <si>
    <t>Kuyavia</t>
  </si>
  <si>
    <t>Poland</t>
  </si>
  <si>
    <t>Polish</t>
  </si>
  <si>
    <t>c_kujawy</t>
  </si>
  <si>
    <t>Naklo</t>
  </si>
  <si>
    <t>Greater Poland</t>
  </si>
  <si>
    <t>Gnesen</t>
  </si>
  <si>
    <t>c_gnieznienskie</t>
  </si>
  <si>
    <t>Lubusz</t>
  </si>
  <si>
    <t>Lebus</t>
  </si>
  <si>
    <t>c_lubusz</t>
  </si>
  <si>
    <t>Poznan</t>
  </si>
  <si>
    <t>Posen</t>
  </si>
  <si>
    <t>c_poznanskie</t>
  </si>
  <si>
    <t>Kalisz</t>
  </si>
  <si>
    <t>c_kaliskie</t>
  </si>
  <si>
    <t>Upper Silesia</t>
  </si>
  <si>
    <t>Silesia</t>
  </si>
  <si>
    <t>Uppeln</t>
  </si>
  <si>
    <t>c_opole</t>
  </si>
  <si>
    <t>Lower Silesia</t>
  </si>
  <si>
    <t>c_lower_silesia</t>
  </si>
  <si>
    <t>Wroclaw</t>
  </si>
  <si>
    <t>c_upper_silesia</t>
  </si>
  <si>
    <t>Naberezhnye</t>
  </si>
  <si>
    <t>Bolghar</t>
  </si>
  <si>
    <t>Tengri</t>
  </si>
  <si>
    <t>c_naberezhnye</t>
  </si>
  <si>
    <t>Prague</t>
  </si>
  <si>
    <t>Prag, Praha</t>
  </si>
  <si>
    <t>c_praha</t>
  </si>
  <si>
    <t>Hradec</t>
  </si>
  <si>
    <t>Moravia</t>
  </si>
  <si>
    <t>c_hradec</t>
  </si>
  <si>
    <t>Plzen</t>
  </si>
  <si>
    <t>Pilsen</t>
  </si>
  <si>
    <t>c_plzen</t>
  </si>
  <si>
    <t>Olomouc</t>
  </si>
  <si>
    <t>c_olomouc</t>
  </si>
  <si>
    <t>Brno</t>
  </si>
  <si>
    <t>c_brno</t>
  </si>
  <si>
    <t>Trencín</t>
  </si>
  <si>
    <t>Nyitra</t>
  </si>
  <si>
    <t>Hungary</t>
  </si>
  <si>
    <t>Carpathia</t>
  </si>
  <si>
    <t>Hungarian</t>
  </si>
  <si>
    <t>c_trencin</t>
  </si>
  <si>
    <t>Nitra</t>
  </si>
  <si>
    <t>Neutra</t>
  </si>
  <si>
    <t>c_nitra</t>
  </si>
  <si>
    <t>Esztergom</t>
  </si>
  <si>
    <t>Avar</t>
  </si>
  <si>
    <t>Gran, Ostrihom, Ostrogon</t>
  </si>
  <si>
    <t>c_esztergom</t>
  </si>
  <si>
    <t>Pressburg</t>
  </si>
  <si>
    <t>Pozsony, Presporok</t>
  </si>
  <si>
    <t>c_pressburg</t>
  </si>
  <si>
    <t>Znojmo</t>
  </si>
  <si>
    <t>c_znojmo</t>
  </si>
  <si>
    <t>Passau</t>
  </si>
  <si>
    <t>Austria</t>
  </si>
  <si>
    <t>c_passau</t>
  </si>
  <si>
    <t>Salzburg</t>
  </si>
  <si>
    <t>c_salzburg</t>
  </si>
  <si>
    <t>Wien</t>
  </si>
  <si>
    <t>Carantanian</t>
  </si>
  <si>
    <t>Wenen, Dunaj, Víden, Bec</t>
  </si>
  <si>
    <t>c_osterreich</t>
  </si>
  <si>
    <t>Sopron</t>
  </si>
  <si>
    <t>Ödenburg</t>
  </si>
  <si>
    <t>c_sopron</t>
  </si>
  <si>
    <t>Fejer</t>
  </si>
  <si>
    <t>Pecs</t>
  </si>
  <si>
    <t>Stuhlweiss, Bila</t>
  </si>
  <si>
    <t>c_fejer</t>
  </si>
  <si>
    <t>Pecuh, Pecuj, Fünfkirchen, Balaton</t>
  </si>
  <si>
    <t>c_pecs</t>
  </si>
  <si>
    <t>Szekesfehervar</t>
  </si>
  <si>
    <t>Somogy, Stuhlweissenburg</t>
  </si>
  <si>
    <t>c_szekezfehervar</t>
  </si>
  <si>
    <t>Vas</t>
  </si>
  <si>
    <t>Eisenburg, Zelezna</t>
  </si>
  <si>
    <t>c_vas</t>
  </si>
  <si>
    <t>Steyr</t>
  </si>
  <si>
    <t>c_steiermark</t>
  </si>
  <si>
    <t>Villach</t>
  </si>
  <si>
    <t>c_karnten</t>
  </si>
  <si>
    <t>Chreina</t>
  </si>
  <si>
    <t>Carniola</t>
  </si>
  <si>
    <t>c_krain</t>
  </si>
  <si>
    <t>Istria</t>
  </si>
  <si>
    <t>Croatian</t>
  </si>
  <si>
    <t>c_istria</t>
  </si>
  <si>
    <t>Veglia</t>
  </si>
  <si>
    <t>Croatia</t>
  </si>
  <si>
    <t>Kyrikon, Vegl</t>
  </si>
  <si>
    <t>c_veglia</t>
  </si>
  <si>
    <t>Varazdin</t>
  </si>
  <si>
    <t>Slavonia</t>
  </si>
  <si>
    <t>c_varadzin</t>
  </si>
  <si>
    <t>Zagreb</t>
  </si>
  <si>
    <t>c_zagreb</t>
  </si>
  <si>
    <t>Krizevci</t>
  </si>
  <si>
    <t>c_krizevci</t>
  </si>
  <si>
    <t>Donji Kraji</t>
  </si>
  <si>
    <t>Bosnia</t>
  </si>
  <si>
    <t>Bosnian</t>
  </si>
  <si>
    <t>c_usora</t>
  </si>
  <si>
    <t>Senj</t>
  </si>
  <si>
    <t>Attienities, Segna, Zengg, Zeng</t>
  </si>
  <si>
    <t>c_senj</t>
  </si>
  <si>
    <t>Zadar</t>
  </si>
  <si>
    <t>Dalmatian</t>
  </si>
  <si>
    <t>Zara, Diadora</t>
  </si>
  <si>
    <t>c_zadar</t>
  </si>
  <si>
    <t>Zachlumia</t>
  </si>
  <si>
    <t>Hum</t>
  </si>
  <si>
    <t>c_zachlumia</t>
  </si>
  <si>
    <t>Split</t>
  </si>
  <si>
    <t>Spalato, Spalathos</t>
  </si>
  <si>
    <t>c_split</t>
  </si>
  <si>
    <t>Ragusa</t>
  </si>
  <si>
    <t>Dioclea</t>
  </si>
  <si>
    <t>Serbia</t>
  </si>
  <si>
    <t>Raugia, Dubrovnik</t>
  </si>
  <si>
    <t>c_ragusa</t>
  </si>
  <si>
    <t>Zeta</t>
  </si>
  <si>
    <t>Serbian</t>
  </si>
  <si>
    <t>c_zeta</t>
  </si>
  <si>
    <t>Dyrrachion</t>
  </si>
  <si>
    <t>Greece</t>
  </si>
  <si>
    <t>Arberian</t>
  </si>
  <si>
    <t>Durazzo, Drac, Drach</t>
  </si>
  <si>
    <t>c_dyrrachion</t>
  </si>
  <si>
    <t>Ohrid</t>
  </si>
  <si>
    <t>Orhid</t>
  </si>
  <si>
    <t>Lychnidos</t>
  </si>
  <si>
    <t>c_ochrid</t>
  </si>
  <si>
    <t>Épeiros</t>
  </si>
  <si>
    <t>Epirus</t>
  </si>
  <si>
    <t>c_epeiros</t>
  </si>
  <si>
    <t>Árta</t>
  </si>
  <si>
    <t>c_arta</t>
  </si>
  <si>
    <t>Cephalonia</t>
  </si>
  <si>
    <t>Iyonya</t>
  </si>
  <si>
    <t>c_cephalonia</t>
  </si>
  <si>
    <t>Thebes</t>
  </si>
  <si>
    <t>Hellas</t>
  </si>
  <si>
    <t>c_hellas</t>
  </si>
  <si>
    <t>Achaia</t>
  </si>
  <si>
    <t>c_achaia</t>
  </si>
  <si>
    <t>Methone</t>
  </si>
  <si>
    <t>c_methone</t>
  </si>
  <si>
    <t>Monemvasia</t>
  </si>
  <si>
    <t>Hellenic</t>
  </si>
  <si>
    <t>c_monemvasia</t>
  </si>
  <si>
    <t>Kaneia</t>
  </si>
  <si>
    <t>Krete</t>
  </si>
  <si>
    <t>Al-Hanim, Hanya</t>
  </si>
  <si>
    <t>c_kaneia</t>
  </si>
  <si>
    <t>Chandax</t>
  </si>
  <si>
    <t>Gortyn</t>
  </si>
  <si>
    <t>c_chandax</t>
  </si>
  <si>
    <t>Korinthos</t>
  </si>
  <si>
    <t>c_korinthos</t>
  </si>
  <si>
    <t>Atheniai</t>
  </si>
  <si>
    <t>c_atheniai</t>
  </si>
  <si>
    <t>Rhodos</t>
  </si>
  <si>
    <t>Cibyrrhaeot</t>
  </si>
  <si>
    <t>Anatolia</t>
  </si>
  <si>
    <t>c_rhodos</t>
  </si>
  <si>
    <t>Naxos</t>
  </si>
  <si>
    <t>Aegean Islands</t>
  </si>
  <si>
    <t>Kiklad, Egeopelagi</t>
  </si>
  <si>
    <t>c_naxos</t>
  </si>
  <si>
    <t>Euboia</t>
  </si>
  <si>
    <t>Negroponte, Egriboz</t>
  </si>
  <si>
    <t>c_euboia</t>
  </si>
  <si>
    <t>Chios</t>
  </si>
  <si>
    <t>Samos</t>
  </si>
  <si>
    <t>Sisam</t>
  </si>
  <si>
    <t>c_chios</t>
  </si>
  <si>
    <t>Lesbos</t>
  </si>
  <si>
    <t>Abydos</t>
  </si>
  <si>
    <t>Thrace</t>
  </si>
  <si>
    <t>Midilli</t>
  </si>
  <si>
    <t>c_lesbos</t>
  </si>
  <si>
    <t>Demetrias</t>
  </si>
  <si>
    <t>c_demetrias</t>
  </si>
  <si>
    <t>Thessalia</t>
  </si>
  <si>
    <t>Tesalya</t>
  </si>
  <si>
    <t>c_thessalia</t>
  </si>
  <si>
    <t>Thessalonike</t>
  </si>
  <si>
    <t>Thessalonika</t>
  </si>
  <si>
    <t>Salonika</t>
  </si>
  <si>
    <t>c_thessalonike</t>
  </si>
  <si>
    <t>Chalkidike</t>
  </si>
  <si>
    <t>c_chalkidike</t>
  </si>
  <si>
    <t>Strymon</t>
  </si>
  <si>
    <t>Bulgaria</t>
  </si>
  <si>
    <t>Bulgarian</t>
  </si>
  <si>
    <t>c_strymon</t>
  </si>
  <si>
    <t>Philippopolis</t>
  </si>
  <si>
    <t>Adrianopolis</t>
  </si>
  <si>
    <t>Paulician</t>
  </si>
  <si>
    <t>Filibe</t>
  </si>
  <si>
    <t>c_philippopolis</t>
  </si>
  <si>
    <t>Edirne</t>
  </si>
  <si>
    <t>c_adrianopolis</t>
  </si>
  <si>
    <t>Kaliopolis</t>
  </si>
  <si>
    <t>Gelibolu</t>
  </si>
  <si>
    <t>c_kaliopolis</t>
  </si>
  <si>
    <t>Constantinople</t>
  </si>
  <si>
    <t>Kostantiniyye</t>
  </si>
  <si>
    <t>c_byzantion</t>
  </si>
  <si>
    <t>Thrake</t>
  </si>
  <si>
    <t>Trakya</t>
  </si>
  <si>
    <t>c_thrake</t>
  </si>
  <si>
    <t>Mesembria</t>
  </si>
  <si>
    <t>Karvuna</t>
  </si>
  <si>
    <t>c_mesembria</t>
  </si>
  <si>
    <t>Tyrnovo</t>
  </si>
  <si>
    <t>Moesia</t>
  </si>
  <si>
    <t>c_tyrnovo</t>
  </si>
  <si>
    <t>Serdica</t>
  </si>
  <si>
    <t>Sofia</t>
  </si>
  <si>
    <t>c_serdica</t>
  </si>
  <si>
    <t>Naissos</t>
  </si>
  <si>
    <t>Vidin</t>
  </si>
  <si>
    <t>Vlach</t>
  </si>
  <si>
    <t>Nish</t>
  </si>
  <si>
    <t>c_naissus</t>
  </si>
  <si>
    <t>Rashka</t>
  </si>
  <si>
    <t>Rascia</t>
  </si>
  <si>
    <t>c_rashka</t>
  </si>
  <si>
    <t>Ras</t>
  </si>
  <si>
    <t>Bogomilist</t>
  </si>
  <si>
    <t>Arsa</t>
  </si>
  <si>
    <t>c_hum</t>
  </si>
  <si>
    <t>Soli</t>
  </si>
  <si>
    <t>c_rama</t>
  </si>
  <si>
    <t>Belgrade</t>
  </si>
  <si>
    <t>Belgrad, Singidounon</t>
  </si>
  <si>
    <t>c_belgrade</t>
  </si>
  <si>
    <t>Bononia</t>
  </si>
  <si>
    <t>c_vidin</t>
  </si>
  <si>
    <t>Nikopolis</t>
  </si>
  <si>
    <t>c_nikopolis</t>
  </si>
  <si>
    <t>Dorostotum</t>
  </si>
  <si>
    <t>c_dorostotum</t>
  </si>
  <si>
    <t>Krounoi</t>
  </si>
  <si>
    <t>c_karvuna</t>
  </si>
  <si>
    <t>Constantia</t>
  </si>
  <si>
    <t>c_constantia</t>
  </si>
  <si>
    <t>Galati</t>
  </si>
  <si>
    <t>Wallachia</t>
  </si>
  <si>
    <t>c_galaz</t>
  </si>
  <si>
    <t>Belgorod</t>
  </si>
  <si>
    <t>Bessarabia</t>
  </si>
  <si>
    <t>Pecheneg</t>
  </si>
  <si>
    <t>c_belgorod</t>
  </si>
  <si>
    <t>Bârlad</t>
  </si>
  <si>
    <t>c_birlad</t>
  </si>
  <si>
    <t>Turnu</t>
  </si>
  <si>
    <t>c_turnu</t>
  </si>
  <si>
    <t>Târgoviste</t>
  </si>
  <si>
    <t>c_tirgoviste</t>
  </si>
  <si>
    <t>Severin</t>
  </si>
  <si>
    <t>c_severin</t>
  </si>
  <si>
    <t>Temes</t>
  </si>
  <si>
    <t>Timis, Tamis</t>
  </si>
  <si>
    <t>c_temes</t>
  </si>
  <si>
    <t>Bacs</t>
  </si>
  <si>
    <t>c_bacs</t>
  </si>
  <si>
    <t>Feher</t>
  </si>
  <si>
    <t>Transylvania</t>
  </si>
  <si>
    <t>Unterweissenburg</t>
  </si>
  <si>
    <t>c_feher</t>
  </si>
  <si>
    <t>Bihar</t>
  </si>
  <si>
    <t>Bihor</t>
  </si>
  <si>
    <t>c_bihar</t>
  </si>
  <si>
    <t>Csanad</t>
  </si>
  <si>
    <t>Pest</t>
  </si>
  <si>
    <t>c_csanad</t>
  </si>
  <si>
    <t>c_pest</t>
  </si>
  <si>
    <t>Heves</t>
  </si>
  <si>
    <t>c_heves</t>
  </si>
  <si>
    <t>Gemer</t>
  </si>
  <si>
    <t>Gömör</t>
  </si>
  <si>
    <t>c_gemer</t>
  </si>
  <si>
    <t>Zvolen</t>
  </si>
  <si>
    <t>Arwa, Árva</t>
  </si>
  <si>
    <t>c_orava</t>
  </si>
  <si>
    <t>Cieszyn</t>
  </si>
  <si>
    <t>Teschen</t>
  </si>
  <si>
    <t>c_cieszyn</t>
  </si>
  <si>
    <t>Krakow</t>
  </si>
  <si>
    <t>Lesser Poland</t>
  </si>
  <si>
    <t>Krakau</t>
  </si>
  <si>
    <t>c_krakowskie</t>
  </si>
  <si>
    <t>Gostynin</t>
  </si>
  <si>
    <t>Mazovia</t>
  </si>
  <si>
    <t>Schieratz</t>
  </si>
  <si>
    <t>c_sieradzko-leczyckie</t>
  </si>
  <si>
    <t>Plock</t>
  </si>
  <si>
    <t>c_plock</t>
  </si>
  <si>
    <t>Liw</t>
  </si>
  <si>
    <t>c_czersk</t>
  </si>
  <si>
    <t>Sandomierz</t>
  </si>
  <si>
    <t>c_sandomierskie</t>
  </si>
  <si>
    <t>Sacz</t>
  </si>
  <si>
    <t>Sandez</t>
  </si>
  <si>
    <t>c_sacz</t>
  </si>
  <si>
    <t>Spis</t>
  </si>
  <si>
    <t>Ungvar</t>
  </si>
  <si>
    <t>Scharosch</t>
  </si>
  <si>
    <t>c_saris</t>
  </si>
  <si>
    <t>Peremyshl</t>
  </si>
  <si>
    <t>Red Rutnehia</t>
  </si>
  <si>
    <t>Volhynian</t>
  </si>
  <si>
    <t>c_peremyshl</t>
  </si>
  <si>
    <t>Vladimir Volynsky</t>
  </si>
  <si>
    <t>c_vladimir_volynsky</t>
  </si>
  <si>
    <t>Galich</t>
  </si>
  <si>
    <t>c_galich</t>
  </si>
  <si>
    <t>Bereg</t>
  </si>
  <si>
    <t>Berg</t>
  </si>
  <si>
    <t>c_bereg</t>
  </si>
  <si>
    <t>Abauj</t>
  </si>
  <si>
    <t>Neuburg, Abov</t>
  </si>
  <si>
    <t>c_abauj</t>
  </si>
  <si>
    <t>Marmaros</t>
  </si>
  <si>
    <t>Maramuresch</t>
  </si>
  <si>
    <t>c_marmaros</t>
  </si>
  <si>
    <t>Szekelyföld</t>
  </si>
  <si>
    <t>Szeklerland</t>
  </si>
  <si>
    <t>c_szekelyfold</t>
  </si>
  <si>
    <t>Peresechen</t>
  </si>
  <si>
    <t>Moldau</t>
  </si>
  <si>
    <t>c_peresechen</t>
  </si>
  <si>
    <t>Olvia</t>
  </si>
  <si>
    <t>Etelköz</t>
  </si>
  <si>
    <t>c_olvia</t>
  </si>
  <si>
    <t>Lower Dniepr</t>
  </si>
  <si>
    <t>Crimea</t>
  </si>
  <si>
    <t>Khazaria</t>
  </si>
  <si>
    <t>Tartaria</t>
  </si>
  <si>
    <t>c_oleshye</t>
  </si>
  <si>
    <t>Korsun</t>
  </si>
  <si>
    <t>Kiev</t>
  </si>
  <si>
    <t>c_korsun</t>
  </si>
  <si>
    <t>Suceava</t>
  </si>
  <si>
    <t>c_torki</t>
  </si>
  <si>
    <t>Terebovl</t>
  </si>
  <si>
    <t>c_terebovl</t>
  </si>
  <si>
    <t>Könugarðr, Könugård, Kønugård</t>
  </si>
  <si>
    <t>c_kiev</t>
  </si>
  <si>
    <t>Pinsk</t>
  </si>
  <si>
    <t>Turov</t>
  </si>
  <si>
    <t>c_pinsk</t>
  </si>
  <si>
    <t>Beresty</t>
  </si>
  <si>
    <t>c_beresty</t>
  </si>
  <si>
    <t>Minsk</t>
  </si>
  <si>
    <t>c_minsk</t>
  </si>
  <si>
    <t>Mstislavl</t>
  </si>
  <si>
    <t>Severian</t>
  </si>
  <si>
    <t>c_mstislavl</t>
  </si>
  <si>
    <t>c_turov</t>
  </si>
  <si>
    <t>Lyubech</t>
  </si>
  <si>
    <t>Chernigov</t>
  </si>
  <si>
    <t>c_lyubech</t>
  </si>
  <si>
    <t>c_chernigov</t>
  </si>
  <si>
    <t>Pereyaslavl</t>
  </si>
  <si>
    <t>c_pereyaslavl</t>
  </si>
  <si>
    <t>Chortitza</t>
  </si>
  <si>
    <t>c_chortitza</t>
  </si>
  <si>
    <t>Lukomorie</t>
  </si>
  <si>
    <t>Pontic Steppe</t>
  </si>
  <si>
    <t>Khazar</t>
  </si>
  <si>
    <t>c_lukomorie</t>
  </si>
  <si>
    <t>Oleshye</t>
  </si>
  <si>
    <t>c_lower_dniepr</t>
  </si>
  <si>
    <t>Cuman</t>
  </si>
  <si>
    <t>c_crimea</t>
  </si>
  <si>
    <t>Cherson</t>
  </si>
  <si>
    <t>Crimean Gothic</t>
  </si>
  <si>
    <t>c_cherson</t>
  </si>
  <si>
    <t>Theodosia</t>
  </si>
  <si>
    <t>c_theodosia</t>
  </si>
  <si>
    <t>Korchev</t>
  </si>
  <si>
    <t>c_korchev</t>
  </si>
  <si>
    <t>Lower Don</t>
  </si>
  <si>
    <t>c_lower_don</t>
  </si>
  <si>
    <t>Desht-i-Kipchak</t>
  </si>
  <si>
    <t>Sarkel</t>
  </si>
  <si>
    <t>c_desht-i-kipchak</t>
  </si>
  <si>
    <t>Sharukan</t>
  </si>
  <si>
    <t>c_sharukan</t>
  </si>
  <si>
    <t>Sugrov</t>
  </si>
  <si>
    <t>c_sugrov</t>
  </si>
  <si>
    <t>Novgorod Seversky</t>
  </si>
  <si>
    <t>Turkish</t>
  </si>
  <si>
    <t>c_novgorod_seversky</t>
  </si>
  <si>
    <t>Smaleskja</t>
  </si>
  <si>
    <t>c_smolensk</t>
  </si>
  <si>
    <t>Vyazma</t>
  </si>
  <si>
    <t>c_vyazma</t>
  </si>
  <si>
    <t>Tver</t>
  </si>
  <si>
    <t>c_tver</t>
  </si>
  <si>
    <t>Uglich</t>
  </si>
  <si>
    <t>c_uglich</t>
  </si>
  <si>
    <t>Yaroslavl</t>
  </si>
  <si>
    <t>c_yaroslavl</t>
  </si>
  <si>
    <t>Pereyaslavl Zalessky</t>
  </si>
  <si>
    <t>Meshchera</t>
  </si>
  <si>
    <t>c_pereyaslavl_zalessky</t>
  </si>
  <si>
    <t>Radstofa, Merya</t>
  </si>
  <si>
    <t>c_rostov</t>
  </si>
  <si>
    <t>Moskva</t>
  </si>
  <si>
    <t>Mochkava</t>
  </si>
  <si>
    <t>c_moskva</t>
  </si>
  <si>
    <t>Bryansk</t>
  </si>
  <si>
    <t>c_bryansk</t>
  </si>
  <si>
    <t>Pronsk</t>
  </si>
  <si>
    <t>Ryazan</t>
  </si>
  <si>
    <t>c_pronsk</t>
  </si>
  <si>
    <t>Tula</t>
  </si>
  <si>
    <t>c_kolomna</t>
  </si>
  <si>
    <t>Mordva</t>
  </si>
  <si>
    <t>c_mordva</t>
  </si>
  <si>
    <t>c_ryazan</t>
  </si>
  <si>
    <t>Murom</t>
  </si>
  <si>
    <t>Moramar</t>
  </si>
  <si>
    <t>c_murom</t>
  </si>
  <si>
    <t>c_vladimir</t>
  </si>
  <si>
    <t>Suzdal</t>
  </si>
  <si>
    <t>Sursdalar</t>
  </si>
  <si>
    <t>c_suzdal</t>
  </si>
  <si>
    <t>Nizhny Novgorod</t>
  </si>
  <si>
    <t>Obran Osh</t>
  </si>
  <si>
    <t>c_nizhny_novgorod</t>
  </si>
  <si>
    <t>Gorodets</t>
  </si>
  <si>
    <t>c_gorodez</t>
  </si>
  <si>
    <t>Galich Mersky</t>
  </si>
  <si>
    <t>c_galich_mersky</t>
  </si>
  <si>
    <t>Mozhaysk</t>
  </si>
  <si>
    <t>c_mozhaysk</t>
  </si>
  <si>
    <t>c_merya</t>
  </si>
  <si>
    <t>Kerzhenets</t>
  </si>
  <si>
    <t>Cheremisa</t>
  </si>
  <si>
    <t>c_grassland_cheremisa</t>
  </si>
  <si>
    <t>Chuvash</t>
  </si>
  <si>
    <t>c_chuvash</t>
  </si>
  <si>
    <t>c_mountain_cheremisa</t>
  </si>
  <si>
    <t>Burtasy</t>
  </si>
  <si>
    <t>c_burtasy</t>
  </si>
  <si>
    <t>Khopyor</t>
  </si>
  <si>
    <t>c_khopyor</t>
  </si>
  <si>
    <t>c_sarkel</t>
  </si>
  <si>
    <t>Don-Portage</t>
  </si>
  <si>
    <t>c_don_portage</t>
  </si>
  <si>
    <t>Tana</t>
  </si>
  <si>
    <t>Azov</t>
  </si>
  <si>
    <t>Alania</t>
  </si>
  <si>
    <t>c_tana</t>
  </si>
  <si>
    <t>c_azov</t>
  </si>
  <si>
    <t>Tmutarakan</t>
  </si>
  <si>
    <t>c_tmutarakan</t>
  </si>
  <si>
    <t>Kuban</t>
  </si>
  <si>
    <t>c_kuban</t>
  </si>
  <si>
    <t>Abkhazia</t>
  </si>
  <si>
    <t>Georgia</t>
  </si>
  <si>
    <t>Georgian</t>
  </si>
  <si>
    <t>c_abkhazia</t>
  </si>
  <si>
    <t>Imeretia</t>
  </si>
  <si>
    <t>Kartli</t>
  </si>
  <si>
    <t>c_imeretia</t>
  </si>
  <si>
    <t>Kasogia</t>
  </si>
  <si>
    <t>Alan</t>
  </si>
  <si>
    <t>c_kasogs</t>
  </si>
  <si>
    <t>c_alania</t>
  </si>
  <si>
    <t>Kuma</t>
  </si>
  <si>
    <t>c_kuma</t>
  </si>
  <si>
    <t>Manych</t>
  </si>
  <si>
    <t>c_manych</t>
  </si>
  <si>
    <t>Yegorlyk</t>
  </si>
  <si>
    <t>c_yegorlyk</t>
  </si>
  <si>
    <t>Sarpa</t>
  </si>
  <si>
    <t>c_sarpa</t>
  </si>
  <si>
    <t>Lower Volga</t>
  </si>
  <si>
    <t>Bandja</t>
  </si>
  <si>
    <t>c_lower_volga</t>
  </si>
  <si>
    <t>Syrt</t>
  </si>
  <si>
    <t>c_syrt</t>
  </si>
  <si>
    <t>c_bulgar</t>
  </si>
  <si>
    <t>Qazan</t>
  </si>
  <si>
    <t>c_qazan</t>
  </si>
  <si>
    <t>Votyaki</t>
  </si>
  <si>
    <t>Vota</t>
  </si>
  <si>
    <t>Komi</t>
  </si>
  <si>
    <t>c_votyaki</t>
  </si>
  <si>
    <t>Bilyar</t>
  </si>
  <si>
    <t>c_bilyar</t>
  </si>
  <si>
    <t>Ashli</t>
  </si>
  <si>
    <t>c_ashli</t>
  </si>
  <si>
    <t>Bashkiria</t>
  </si>
  <si>
    <t>c_bashkirs</t>
  </si>
  <si>
    <t>c_pecheneg</t>
  </si>
  <si>
    <t>Uzen</t>
  </si>
  <si>
    <t>Itil</t>
  </si>
  <si>
    <t>c_uzens</t>
  </si>
  <si>
    <t>Atyrau</t>
  </si>
  <si>
    <t>c_guryev</t>
  </si>
  <si>
    <t>Saray</t>
  </si>
  <si>
    <t>c_saray</t>
  </si>
  <si>
    <t>Jewish</t>
  </si>
  <si>
    <t>c_itil</t>
  </si>
  <si>
    <t>Kangly</t>
  </si>
  <si>
    <t>Emba</t>
  </si>
  <si>
    <t>Oghuz</t>
  </si>
  <si>
    <t>Turan</t>
  </si>
  <si>
    <t>c_kangly</t>
  </si>
  <si>
    <t>Aral</t>
  </si>
  <si>
    <t>c_turkestan</t>
  </si>
  <si>
    <t>Kutan Bulak</t>
  </si>
  <si>
    <t>Zoroastrian</t>
  </si>
  <si>
    <t>c_aral</t>
  </si>
  <si>
    <t>Mangyshlak</t>
  </si>
  <si>
    <t>Usturt</t>
  </si>
  <si>
    <t>c_mangyshlak</t>
  </si>
  <si>
    <t>c_usturt</t>
  </si>
  <si>
    <t>Khiva</t>
  </si>
  <si>
    <t>Transoxiana</t>
  </si>
  <si>
    <t>Persian</t>
  </si>
  <si>
    <t>c_khiva</t>
  </si>
  <si>
    <t>Farava</t>
  </si>
  <si>
    <t>Dihistan</t>
  </si>
  <si>
    <t>Daylam</t>
  </si>
  <si>
    <t>c_kara-kum</t>
  </si>
  <si>
    <t>Bukhara</t>
  </si>
  <si>
    <t>Samarkand</t>
  </si>
  <si>
    <t>Sogdian</t>
  </si>
  <si>
    <t>c_bukhara</t>
  </si>
  <si>
    <t>Konjikala</t>
  </si>
  <si>
    <t>Merv</t>
  </si>
  <si>
    <t>Khorasan</t>
  </si>
  <si>
    <t>c_konjikala</t>
  </si>
  <si>
    <t>c_merv</t>
  </si>
  <si>
    <t>c_dihistan</t>
  </si>
  <si>
    <t>Tus</t>
  </si>
  <si>
    <t>c_tus</t>
  </si>
  <si>
    <t>Gurgan</t>
  </si>
  <si>
    <t>Tabaristan</t>
  </si>
  <si>
    <t>c_gurgan</t>
  </si>
  <si>
    <t>Nishapur</t>
  </si>
  <si>
    <t>c_nishapur</t>
  </si>
  <si>
    <t>Qohistan</t>
  </si>
  <si>
    <t>c_qohistan</t>
  </si>
  <si>
    <t>Mafaza</t>
  </si>
  <si>
    <t>Persia</t>
  </si>
  <si>
    <t>c_lut</t>
  </si>
  <si>
    <t>Jabal Qufs</t>
  </si>
  <si>
    <t>Kerman</t>
  </si>
  <si>
    <t>Baloch</t>
  </si>
  <si>
    <t>c_sistan</t>
  </si>
  <si>
    <t>Yazd</t>
  </si>
  <si>
    <t>c_yazd</t>
  </si>
  <si>
    <t>c_kerman</t>
  </si>
  <si>
    <t>Sirjan</t>
  </si>
  <si>
    <t>c_sirjan</t>
  </si>
  <si>
    <t>Hormuz</t>
  </si>
  <si>
    <t>c_hormuz</t>
  </si>
  <si>
    <t>Darabjerd</t>
  </si>
  <si>
    <t>Fars</t>
  </si>
  <si>
    <t>c_ladistan</t>
  </si>
  <si>
    <t>Dashtestan</t>
  </si>
  <si>
    <t>c_fars</t>
  </si>
  <si>
    <t>Shiraz</t>
  </si>
  <si>
    <t>c_shiraz</t>
  </si>
  <si>
    <t>Arrajan</t>
  </si>
  <si>
    <t>c_hendjan</t>
  </si>
  <si>
    <t>Esfahan</t>
  </si>
  <si>
    <t>Jibal</t>
  </si>
  <si>
    <t>Mazdaki</t>
  </si>
  <si>
    <t>c_esfahan</t>
  </si>
  <si>
    <t>Ahvaz</t>
  </si>
  <si>
    <t>Khozistan</t>
  </si>
  <si>
    <t>c_avhaz</t>
  </si>
  <si>
    <t>c_khozistan</t>
  </si>
  <si>
    <t>Basra</t>
  </si>
  <si>
    <t>Iraq</t>
  </si>
  <si>
    <t>Bedouin</t>
  </si>
  <si>
    <t>Nestorian</t>
  </si>
  <si>
    <t>Shia</t>
  </si>
  <si>
    <t>c_basra</t>
  </si>
  <si>
    <t>Kuwait</t>
  </si>
  <si>
    <t>Al Bahrein</t>
  </si>
  <si>
    <t>Arabia</t>
  </si>
  <si>
    <t>Arabian Empire</t>
  </si>
  <si>
    <t>c_kuwait</t>
  </si>
  <si>
    <t>Qatif</t>
  </si>
  <si>
    <t>c_damman</t>
  </si>
  <si>
    <t>Al Hasa</t>
  </si>
  <si>
    <t>c_al_hasa</t>
  </si>
  <si>
    <t>Bahrein</t>
  </si>
  <si>
    <t>c_bahrein</t>
  </si>
  <si>
    <t>Ain Said</t>
  </si>
  <si>
    <t>c_rummah</t>
  </si>
  <si>
    <t>Kufa</t>
  </si>
  <si>
    <t>c_kufa</t>
  </si>
  <si>
    <t>Sús</t>
  </si>
  <si>
    <t>Kurdish</t>
  </si>
  <si>
    <t>Chideqel</t>
  </si>
  <si>
    <t>c_tigris</t>
  </si>
  <si>
    <t>Luristan</t>
  </si>
  <si>
    <t>c_luristan</t>
  </si>
  <si>
    <t>Hamadan</t>
  </si>
  <si>
    <t>c_hamadan</t>
  </si>
  <si>
    <t>Qom</t>
  </si>
  <si>
    <t>c_qom</t>
  </si>
  <si>
    <t>Qwivir</t>
  </si>
  <si>
    <t>c_qwivir</t>
  </si>
  <si>
    <t>c_tabaristan</t>
  </si>
  <si>
    <t>Alamut</t>
  </si>
  <si>
    <t>c_alamut</t>
  </si>
  <si>
    <t>Rayy</t>
  </si>
  <si>
    <t>c_rayy</t>
  </si>
  <si>
    <t>Qazwin</t>
  </si>
  <si>
    <t>Gilan</t>
  </si>
  <si>
    <t>c_qazwin</t>
  </si>
  <si>
    <t>c_daylam</t>
  </si>
  <si>
    <t>c_gilan</t>
  </si>
  <si>
    <t>Tabriz</t>
  </si>
  <si>
    <t>c_tabriz</t>
  </si>
  <si>
    <t>Shirvan</t>
  </si>
  <si>
    <t>Azerbaijan</t>
  </si>
  <si>
    <t>c_shirvan</t>
  </si>
  <si>
    <t>Shemakha</t>
  </si>
  <si>
    <t>Miaphysite</t>
  </si>
  <si>
    <t>c_shemakha</t>
  </si>
  <si>
    <t>Armenian</t>
  </si>
  <si>
    <t>c_azerbaijan</t>
  </si>
  <si>
    <t>Suenik</t>
  </si>
  <si>
    <t>Kafan, Syunik</t>
  </si>
  <si>
    <t>c_suenik</t>
  </si>
  <si>
    <t>Dwin</t>
  </si>
  <si>
    <t>Armenia</t>
  </si>
  <si>
    <t>Erivan</t>
  </si>
  <si>
    <t>c_dwin</t>
  </si>
  <si>
    <t>Albania</t>
  </si>
  <si>
    <t>Kakheti</t>
  </si>
  <si>
    <t>Aghvank, Albaneti</t>
  </si>
  <si>
    <t>c_albania</t>
  </si>
  <si>
    <t>Derbent</t>
  </si>
  <si>
    <t>c_derbent</t>
  </si>
  <si>
    <t>Semender</t>
  </si>
  <si>
    <t>c_semender</t>
  </si>
  <si>
    <t>c_kakheti</t>
  </si>
  <si>
    <t>Guria</t>
  </si>
  <si>
    <t>Tao</t>
  </si>
  <si>
    <t>Lazike, Batum, Yeger</t>
  </si>
  <si>
    <t>c_guria</t>
  </si>
  <si>
    <t>Trapezous</t>
  </si>
  <si>
    <t>Trebizond</t>
  </si>
  <si>
    <t>c_trapezous</t>
  </si>
  <si>
    <t>Tiflis</t>
  </si>
  <si>
    <t>c_kartli</t>
  </si>
  <si>
    <t>Ahiska</t>
  </si>
  <si>
    <t>c_tao</t>
  </si>
  <si>
    <t>Ani</t>
  </si>
  <si>
    <t>Kars</t>
  </si>
  <si>
    <t>c_ani</t>
  </si>
  <si>
    <t>Vaspurakan</t>
  </si>
  <si>
    <t>Van, Wan</t>
  </si>
  <si>
    <t>c_vaspurakan</t>
  </si>
  <si>
    <t>Amida</t>
  </si>
  <si>
    <t>Jazira</t>
  </si>
  <si>
    <t>Al-Jazira</t>
  </si>
  <si>
    <t>c_amida</t>
  </si>
  <si>
    <t>Nisibin</t>
  </si>
  <si>
    <t>Mosul</t>
  </si>
  <si>
    <t>c_nisibin</t>
  </si>
  <si>
    <t>Irbil</t>
  </si>
  <si>
    <t>c_oromieh</t>
  </si>
  <si>
    <t>Kurdistan</t>
  </si>
  <si>
    <t>c_kurdistan</t>
  </si>
  <si>
    <t>Kirkuk</t>
  </si>
  <si>
    <t>Samarra</t>
  </si>
  <si>
    <t>c_kirkuk</t>
  </si>
  <si>
    <t>Kermanshah</t>
  </si>
  <si>
    <t>Baghdad</t>
  </si>
  <si>
    <t>c_kermanshah</t>
  </si>
  <si>
    <t>Ilam</t>
  </si>
  <si>
    <t>c_ilam</t>
  </si>
  <si>
    <t>Al Amarah</t>
  </si>
  <si>
    <t>Levantine</t>
  </si>
  <si>
    <t>c_al_amarah</t>
  </si>
  <si>
    <t>Istakhr</t>
  </si>
  <si>
    <t>c_istakhr</t>
  </si>
  <si>
    <t>Al Nadjaf</t>
  </si>
  <si>
    <t>c_al_nadjaf</t>
  </si>
  <si>
    <t>c_baghdad</t>
  </si>
  <si>
    <t>Karbala</t>
  </si>
  <si>
    <t>c_karbala</t>
  </si>
  <si>
    <t>Deir</t>
  </si>
  <si>
    <t>Assyrian</t>
  </si>
  <si>
    <t>c_deir</t>
  </si>
  <si>
    <t>Peros, Perat</t>
  </si>
  <si>
    <t>c_euphrates</t>
  </si>
  <si>
    <t>Niniveh</t>
  </si>
  <si>
    <t>c_mosul</t>
  </si>
  <si>
    <t>Hasakah</t>
  </si>
  <si>
    <t>Mudar</t>
  </si>
  <si>
    <t>c_al_jazira</t>
  </si>
  <si>
    <t>Edessa</t>
  </si>
  <si>
    <t>c_edessa</t>
  </si>
  <si>
    <t>Bira</t>
  </si>
  <si>
    <t>c_bira</t>
  </si>
  <si>
    <t>Taron</t>
  </si>
  <si>
    <t>Mesopotamia</t>
  </si>
  <si>
    <t>c_taron</t>
  </si>
  <si>
    <t>Khliat</t>
  </si>
  <si>
    <t>c_mesopotamia</t>
  </si>
  <si>
    <t>Karin</t>
  </si>
  <si>
    <t>Erzurum</t>
  </si>
  <si>
    <t>c_karin</t>
  </si>
  <si>
    <t>Theodosiopolis</t>
  </si>
  <si>
    <t>c_theodosiopolis</t>
  </si>
  <si>
    <t>Chaldea</t>
  </si>
  <si>
    <t>c_chaldea</t>
  </si>
  <si>
    <t>Koloneia</t>
  </si>
  <si>
    <t>Coloneia</t>
  </si>
  <si>
    <t>c_koloneia</t>
  </si>
  <si>
    <t>Melitene</t>
  </si>
  <si>
    <t>c_melitene</t>
  </si>
  <si>
    <t>Tell Bashir</t>
  </si>
  <si>
    <t>c_tell_bashir</t>
  </si>
  <si>
    <t>Asas</t>
  </si>
  <si>
    <t>Aleppo</t>
  </si>
  <si>
    <t>Syria</t>
  </si>
  <si>
    <t>c_asas</t>
  </si>
  <si>
    <t>Al Bichri</t>
  </si>
  <si>
    <t>c_al_bichri</t>
  </si>
  <si>
    <t>Sinjar</t>
  </si>
  <si>
    <t>c_sinjar</t>
  </si>
  <si>
    <t>Rahbah</t>
  </si>
  <si>
    <t>c_rahbah</t>
  </si>
  <si>
    <t>Druz</t>
  </si>
  <si>
    <t>Palmyra</t>
  </si>
  <si>
    <t>Druze</t>
  </si>
  <si>
    <t>c_druz</t>
  </si>
  <si>
    <t>Az Zarqa</t>
  </si>
  <si>
    <t>Damascus</t>
  </si>
  <si>
    <t>c_az_zarqa</t>
  </si>
  <si>
    <t>Zanjan-Abhar</t>
  </si>
  <si>
    <t>c_zanjan_abhar</t>
  </si>
  <si>
    <t>Jeddah</t>
  </si>
  <si>
    <t>Hijaz</t>
  </si>
  <si>
    <t>c_jeddah</t>
  </si>
  <si>
    <t>Al Jawf</t>
  </si>
  <si>
    <t>c_al_jawf</t>
  </si>
  <si>
    <t>Medina</t>
  </si>
  <si>
    <t>c_medina</t>
  </si>
  <si>
    <t>Mecca</t>
  </si>
  <si>
    <t>c_mecca</t>
  </si>
  <si>
    <t>Al 'Ula</t>
  </si>
  <si>
    <t>c_hijaz</t>
  </si>
  <si>
    <t>Tabuk</t>
  </si>
  <si>
    <t>c_tabuk</t>
  </si>
  <si>
    <t>Al 'Aqabah</t>
  </si>
  <si>
    <t>c_al_aqabah</t>
  </si>
  <si>
    <t>Madaba</t>
  </si>
  <si>
    <t>Oultrejourdain</t>
  </si>
  <si>
    <t>Jerusalem</t>
  </si>
  <si>
    <t>Meidvo, Meidva</t>
  </si>
  <si>
    <t>c_madaba</t>
  </si>
  <si>
    <t>Amman</t>
  </si>
  <si>
    <t>c_amman</t>
  </si>
  <si>
    <t>Irbid</t>
  </si>
  <si>
    <t>c_irbid</t>
  </si>
  <si>
    <t>Al Mafraq</t>
  </si>
  <si>
    <t>c_al_mafraq</t>
  </si>
  <si>
    <t>Bostra</t>
  </si>
  <si>
    <t>c_syria</t>
  </si>
  <si>
    <t>Damashq, Damesheq</t>
  </si>
  <si>
    <t>c_damascus</t>
  </si>
  <si>
    <t>Al-Sukhnah</t>
  </si>
  <si>
    <t>c_tadmor</t>
  </si>
  <si>
    <t>c_palmyra</t>
  </si>
  <si>
    <t>Homs</t>
  </si>
  <si>
    <t>c_homs</t>
  </si>
  <si>
    <t>Hama</t>
  </si>
  <si>
    <t>c_hama</t>
  </si>
  <si>
    <t>Halab, Chalpe, Beroea</t>
  </si>
  <si>
    <t>c_aleppo</t>
  </si>
  <si>
    <t>Aintab</t>
  </si>
  <si>
    <t>c_aintab</t>
  </si>
  <si>
    <t>Teluch</t>
  </si>
  <si>
    <t>Cilicia</t>
  </si>
  <si>
    <t>Doliche, Gâvur</t>
  </si>
  <si>
    <t>c_teluch</t>
  </si>
  <si>
    <t>Lykandos</t>
  </si>
  <si>
    <t>Elbistan</t>
  </si>
  <si>
    <t>c_lykandos</t>
  </si>
  <si>
    <t>Kaisereia</t>
  </si>
  <si>
    <t>Charsianon</t>
  </si>
  <si>
    <t>Kayseri</t>
  </si>
  <si>
    <t>c_kaisereia</t>
  </si>
  <si>
    <t>Amisos</t>
  </si>
  <si>
    <t>Armeniacon</t>
  </si>
  <si>
    <t>Iconoclast</t>
  </si>
  <si>
    <t>Amasya</t>
  </si>
  <si>
    <t>c_amisos</t>
  </si>
  <si>
    <t>Sinope</t>
  </si>
  <si>
    <t>c_sinope</t>
  </si>
  <si>
    <t>Herakleia</t>
  </si>
  <si>
    <t>Optimatoi</t>
  </si>
  <si>
    <t>Eregli</t>
  </si>
  <si>
    <t>c_herakleia</t>
  </si>
  <si>
    <t>Nikomedeia</t>
  </si>
  <si>
    <t>Nikaea</t>
  </si>
  <si>
    <t>Izmit</t>
  </si>
  <si>
    <t>c_nikomedeia</t>
  </si>
  <si>
    <t>Prusa</t>
  </si>
  <si>
    <t>Opsikion</t>
  </si>
  <si>
    <t>Bursa</t>
  </si>
  <si>
    <t>c_prusa</t>
  </si>
  <si>
    <t>Kyzikos</t>
  </si>
  <si>
    <t>Erdek</t>
  </si>
  <si>
    <t>c_kyzikos</t>
  </si>
  <si>
    <t>Balakhisar</t>
  </si>
  <si>
    <t>c_abydos</t>
  </si>
  <si>
    <t>Smyrna</t>
  </si>
  <si>
    <t>Izmir</t>
  </si>
  <si>
    <t>c_smyrna</t>
  </si>
  <si>
    <t>Ephesos</t>
  </si>
  <si>
    <t>Ayasoluk</t>
  </si>
  <si>
    <t>c_ephesos</t>
  </si>
  <si>
    <t>Lykia</t>
  </si>
  <si>
    <t>Mugla</t>
  </si>
  <si>
    <t>c_lykia</t>
  </si>
  <si>
    <t>Laodikeia</t>
  </si>
  <si>
    <t>Thracesia</t>
  </si>
  <si>
    <t>Alasehir</t>
  </si>
  <si>
    <t>c_laodikeia</t>
  </si>
  <si>
    <t>Dorylaion</t>
  </si>
  <si>
    <t>Kütahya</t>
  </si>
  <si>
    <t>c_dorylaion</t>
  </si>
  <si>
    <t>Iznik</t>
  </si>
  <si>
    <t>c_nikaea</t>
  </si>
  <si>
    <t>Paphlagonia</t>
  </si>
  <si>
    <t>Kastamonu</t>
  </si>
  <si>
    <t>c_paphlagonia</t>
  </si>
  <si>
    <t>Galatia</t>
  </si>
  <si>
    <t>Kirsehir</t>
  </si>
  <si>
    <t>c_galatia</t>
  </si>
  <si>
    <t>Ancyra</t>
  </si>
  <si>
    <t>Bucellarian</t>
  </si>
  <si>
    <t>Ankara</t>
  </si>
  <si>
    <t>c_ankyra</t>
  </si>
  <si>
    <t>Sozopolis</t>
  </si>
  <si>
    <t>Isparta</t>
  </si>
  <si>
    <t>c_sozopolis</t>
  </si>
  <si>
    <t>Attaleia</t>
  </si>
  <si>
    <t>Antalya</t>
  </si>
  <si>
    <t>c_attaleia</t>
  </si>
  <si>
    <t>Limisol</t>
  </si>
  <si>
    <t>Cyprus</t>
  </si>
  <si>
    <t>Leymosun</t>
  </si>
  <si>
    <t>c_limisol</t>
  </si>
  <si>
    <t>Famagusta</t>
  </si>
  <si>
    <t>Magusa</t>
  </si>
  <si>
    <t>c_famagusta</t>
  </si>
  <si>
    <t>Seleukeia</t>
  </si>
  <si>
    <t>Silifke</t>
  </si>
  <si>
    <t>c_seleukeia</t>
  </si>
  <si>
    <t>Ikonion</t>
  </si>
  <si>
    <t>Konya</t>
  </si>
  <si>
    <t>c_ikonion</t>
  </si>
  <si>
    <t>Tyana</t>
  </si>
  <si>
    <t>Cappadocia</t>
  </si>
  <si>
    <t>Aksaray</t>
  </si>
  <si>
    <t>c_tyana</t>
  </si>
  <si>
    <t>Tarsos</t>
  </si>
  <si>
    <t>Mersin, Darson</t>
  </si>
  <si>
    <t>c_tarsos</t>
  </si>
  <si>
    <t>Adana</t>
  </si>
  <si>
    <t>c_adana</t>
  </si>
  <si>
    <t>Alexandretta</t>
  </si>
  <si>
    <t>Antioch</t>
  </si>
  <si>
    <t>Iskandarun, Hrosos</t>
  </si>
  <si>
    <t>c_alexandretta</t>
  </si>
  <si>
    <t>c_antiocheia</t>
  </si>
  <si>
    <t>Archa</t>
  </si>
  <si>
    <t>c_archa</t>
  </si>
  <si>
    <t>Tortosa</t>
  </si>
  <si>
    <t>Tripoli</t>
  </si>
  <si>
    <t>c_tortosa</t>
  </si>
  <si>
    <t>Monothelite</t>
  </si>
  <si>
    <t>c_tripoli</t>
  </si>
  <si>
    <t>Baalbek</t>
  </si>
  <si>
    <t>c_baalbek</t>
  </si>
  <si>
    <t>Safed</t>
  </si>
  <si>
    <t>Galilee</t>
  </si>
  <si>
    <t>c_safed</t>
  </si>
  <si>
    <t>Beirut</t>
  </si>
  <si>
    <t>c_beirut</t>
  </si>
  <si>
    <t>Tyrus</t>
  </si>
  <si>
    <t>Sur, Tzoir, Tzor</t>
  </si>
  <si>
    <t>c_tyrus</t>
  </si>
  <si>
    <t>Acre</t>
  </si>
  <si>
    <t>Akkoi, Akko</t>
  </si>
  <si>
    <t>c_acre</t>
  </si>
  <si>
    <t>Tiberias</t>
  </si>
  <si>
    <t>c_tiberias</t>
  </si>
  <si>
    <t>Yerusholaim, Yerushalaim</t>
  </si>
  <si>
    <t>c_jerusalem</t>
  </si>
  <si>
    <t>Jaffa</t>
  </si>
  <si>
    <t>Ascalon</t>
  </si>
  <si>
    <t>Arsuf, Yophoi, Yapho</t>
  </si>
  <si>
    <t>c_jaffa</t>
  </si>
  <si>
    <t>Hebron</t>
  </si>
  <si>
    <t>Hevron</t>
  </si>
  <si>
    <t>c_hebron</t>
  </si>
  <si>
    <t>Kerak</t>
  </si>
  <si>
    <t>Al-Karak</t>
  </si>
  <si>
    <t>c_kerak</t>
  </si>
  <si>
    <t>Monreal</t>
  </si>
  <si>
    <t>Wadi Musa</t>
  </si>
  <si>
    <t>c_monreal</t>
  </si>
  <si>
    <t>Beersheb</t>
  </si>
  <si>
    <t>Beir-Sheva, Ber-Sheva</t>
  </si>
  <si>
    <t>c_beersheb</t>
  </si>
  <si>
    <t>Asqalan, Ashqelon</t>
  </si>
  <si>
    <t>c_ascalon</t>
  </si>
  <si>
    <t>Darum</t>
  </si>
  <si>
    <t>c_darum</t>
  </si>
  <si>
    <t>Negev</t>
  </si>
  <si>
    <t>c_negev</t>
  </si>
  <si>
    <t>Maan</t>
  </si>
  <si>
    <t>c_maan</t>
  </si>
  <si>
    <t>Shahrazur</t>
  </si>
  <si>
    <t>c_shahrazur</t>
  </si>
  <si>
    <t>Sinai</t>
  </si>
  <si>
    <t>Egypt</t>
  </si>
  <si>
    <t>c_sinai</t>
  </si>
  <si>
    <t>Eilat</t>
  </si>
  <si>
    <t>c_eilat</t>
  </si>
  <si>
    <t>El-Arish</t>
  </si>
  <si>
    <t>c_el-arish</t>
  </si>
  <si>
    <t>Farama</t>
  </si>
  <si>
    <t>c_farama</t>
  </si>
  <si>
    <t>Tinnis</t>
  </si>
  <si>
    <t>Damietta</t>
  </si>
  <si>
    <t>Egyptian</t>
  </si>
  <si>
    <t>c_pelusia</t>
  </si>
  <si>
    <t>Bilbays</t>
  </si>
  <si>
    <t>Cairo</t>
  </si>
  <si>
    <t>c_sarqihya</t>
  </si>
  <si>
    <t>Quena</t>
  </si>
  <si>
    <t>Aswan</t>
  </si>
  <si>
    <t>Coptic</t>
  </si>
  <si>
    <t>c_quena</t>
  </si>
  <si>
    <t>Nubia</t>
  </si>
  <si>
    <t>Nobatia</t>
  </si>
  <si>
    <t>Abyssinia</t>
  </si>
  <si>
    <t>Nubian</t>
  </si>
  <si>
    <t>c_nubia</t>
  </si>
  <si>
    <t>Makuria</t>
  </si>
  <si>
    <t>c_makuria</t>
  </si>
  <si>
    <t>c_aswan</t>
  </si>
  <si>
    <t>Asyut</t>
  </si>
  <si>
    <t>c_asyut</t>
  </si>
  <si>
    <t>Fustat</t>
  </si>
  <si>
    <t>c_cairo</t>
  </si>
  <si>
    <t>El-Malhalla</t>
  </si>
  <si>
    <t>c_manupura</t>
  </si>
  <si>
    <t>c_delta</t>
  </si>
  <si>
    <t>Rasheed</t>
  </si>
  <si>
    <t>Alexandria</t>
  </si>
  <si>
    <t>c_gabiyaha</t>
  </si>
  <si>
    <t>Giza</t>
  </si>
  <si>
    <t>c_gizeh</t>
  </si>
  <si>
    <t>Bahariya</t>
  </si>
  <si>
    <t>Faiyum</t>
  </si>
  <si>
    <t>c_buhairya</t>
  </si>
  <si>
    <t>c_alexandria</t>
  </si>
  <si>
    <t>Siwa</t>
  </si>
  <si>
    <t>Siwah</t>
  </si>
  <si>
    <t>c_quattara</t>
  </si>
  <si>
    <t>Zygra</t>
  </si>
  <si>
    <t>Paraetonium</t>
  </si>
  <si>
    <t>c_al_alamayn</t>
  </si>
  <si>
    <t>Tobruk</t>
  </si>
  <si>
    <t>Cyrenaica</t>
  </si>
  <si>
    <t>Africa</t>
  </si>
  <si>
    <t>Maghreb</t>
  </si>
  <si>
    <t>c_tobruk</t>
  </si>
  <si>
    <t>c_cyrenaica</t>
  </si>
  <si>
    <t>Senoussi</t>
  </si>
  <si>
    <t>c_senoussi</t>
  </si>
  <si>
    <t>Benghazi</t>
  </si>
  <si>
    <t>c_benghazi</t>
  </si>
  <si>
    <t>Syrte</t>
  </si>
  <si>
    <t>Tripolitania</t>
  </si>
  <si>
    <t>c_syrte</t>
  </si>
  <si>
    <t>Leptis Magna</t>
  </si>
  <si>
    <t>c_leptis_magna</t>
  </si>
  <si>
    <t>Tripolitana</t>
  </si>
  <si>
    <t>c_tripolitana</t>
  </si>
  <si>
    <t>Malta</t>
  </si>
  <si>
    <t>c_malta</t>
  </si>
  <si>
    <t>Djerba</t>
  </si>
  <si>
    <t>Ibadi</t>
  </si>
  <si>
    <t>c_djerba</t>
  </si>
  <si>
    <t>Gabes</t>
  </si>
  <si>
    <t>Tunis</t>
  </si>
  <si>
    <t>c_gabes</t>
  </si>
  <si>
    <t>Kairouan</t>
  </si>
  <si>
    <t>c_kairwan</t>
  </si>
  <si>
    <t>Mahdia</t>
  </si>
  <si>
    <t>c_mahdia</t>
  </si>
  <si>
    <t>c_tunis</t>
  </si>
  <si>
    <t>Medjerda</t>
  </si>
  <si>
    <t>c_medjerda</t>
  </si>
  <si>
    <t>Bizerte</t>
  </si>
  <si>
    <t>c_bizerte</t>
  </si>
  <si>
    <t>Annaba</t>
  </si>
  <si>
    <t>Kabylia</t>
  </si>
  <si>
    <t>c_annaba</t>
  </si>
  <si>
    <t>Constantine</t>
  </si>
  <si>
    <t>c_constantine</t>
  </si>
  <si>
    <t>Bejaija</t>
  </si>
  <si>
    <t>c_bejaija</t>
  </si>
  <si>
    <t>Biskra</t>
  </si>
  <si>
    <t>Alger</t>
  </si>
  <si>
    <t>Kharijite</t>
  </si>
  <si>
    <t>c_biskra</t>
  </si>
  <si>
    <t>Setif</t>
  </si>
  <si>
    <t>c_tell_atlas</t>
  </si>
  <si>
    <t>Beni Yanni</t>
  </si>
  <si>
    <t>c_beni_yanni</t>
  </si>
  <si>
    <t>Menorca</t>
  </si>
  <si>
    <t>Mallorca</t>
  </si>
  <si>
    <t>Manurqa</t>
  </si>
  <si>
    <t>c_menorca</t>
  </si>
  <si>
    <t>Mayurqa</t>
  </si>
  <si>
    <t>c_mallorca</t>
  </si>
  <si>
    <t>Laghouat</t>
  </si>
  <si>
    <t>c_ouled_nail</t>
  </si>
  <si>
    <t>Ghardaia</t>
  </si>
  <si>
    <t>c_mzab</t>
  </si>
  <si>
    <t>Tahert</t>
  </si>
  <si>
    <t>c_lemdiyya</t>
  </si>
  <si>
    <t>Al Djazair</t>
  </si>
  <si>
    <t>c_al_djazair</t>
  </si>
  <si>
    <t>Orania</t>
  </si>
  <si>
    <t>Tlemcen</t>
  </si>
  <si>
    <t>c_orania</t>
  </si>
  <si>
    <t>Askedal</t>
  </si>
  <si>
    <t>c_atlas_mnt</t>
  </si>
  <si>
    <t>c_tlemcen</t>
  </si>
  <si>
    <t>Yalála</t>
  </si>
  <si>
    <t>c_hanyan</t>
  </si>
  <si>
    <t>Wajda</t>
  </si>
  <si>
    <t>c_snassen</t>
  </si>
  <si>
    <t>Tendara</t>
  </si>
  <si>
    <t>Fes</t>
  </si>
  <si>
    <t>c_figuig</t>
  </si>
  <si>
    <t>El Rif</t>
  </si>
  <si>
    <t>c_el_rif</t>
  </si>
  <si>
    <t>Ceuta</t>
  </si>
  <si>
    <t>Tangier</t>
  </si>
  <si>
    <t>c_cebta</t>
  </si>
  <si>
    <t>c_fes</t>
  </si>
  <si>
    <t>c_tangiers</t>
  </si>
  <si>
    <t>Infa</t>
  </si>
  <si>
    <t>c_infa</t>
  </si>
  <si>
    <t>Marrakech</t>
  </si>
  <si>
    <t>c_marrakech</t>
  </si>
  <si>
    <t>Anfa</t>
  </si>
  <si>
    <t>c_massat</t>
  </si>
  <si>
    <t>Safi</t>
  </si>
  <si>
    <t>c_anti-atlas</t>
  </si>
  <si>
    <t>Taroudant</t>
  </si>
  <si>
    <t>c_ifni</t>
  </si>
  <si>
    <t>Sous</t>
  </si>
  <si>
    <t>c_tharasset</t>
  </si>
  <si>
    <t>Hadeln</t>
  </si>
  <si>
    <t>c_bremen</t>
  </si>
  <si>
    <t>Canarias</t>
  </si>
  <si>
    <t>West African</t>
  </si>
  <si>
    <t>c_canarias</t>
  </si>
  <si>
    <t>Kantalahti</t>
  </si>
  <si>
    <t>Kandalax</t>
  </si>
  <si>
    <t>c_kandalax</t>
  </si>
  <si>
    <t>Gaeta</t>
  </si>
  <si>
    <t>c_capua</t>
  </si>
  <si>
    <t>Zahedan</t>
  </si>
  <si>
    <t>c_zahedan</t>
  </si>
  <si>
    <t>Bam</t>
  </si>
  <si>
    <t>c_bam</t>
  </si>
  <si>
    <t>Zamindawar</t>
  </si>
  <si>
    <t>Zabulistan</t>
  </si>
  <si>
    <t>Kabulistan</t>
  </si>
  <si>
    <t>c_zamindawar</t>
  </si>
  <si>
    <t>Mahra</t>
  </si>
  <si>
    <t>Hadramut</t>
  </si>
  <si>
    <t>Yemen</t>
  </si>
  <si>
    <t>c_mahra</t>
  </si>
  <si>
    <t>Kathiri</t>
  </si>
  <si>
    <t>Hadramawt</t>
  </si>
  <si>
    <t>c_kathiri</t>
  </si>
  <si>
    <t>Bayda</t>
  </si>
  <si>
    <t>Taizz</t>
  </si>
  <si>
    <t>c_bayda</t>
  </si>
  <si>
    <t>Aden</t>
  </si>
  <si>
    <t>c_aden</t>
  </si>
  <si>
    <t>c_taizz</t>
  </si>
  <si>
    <t>Sanaa</t>
  </si>
  <si>
    <t>c_sanaa</t>
  </si>
  <si>
    <t>Asir</t>
  </si>
  <si>
    <t>c_asir</t>
  </si>
  <si>
    <t>Halaban</t>
  </si>
  <si>
    <t>Nefoud</t>
  </si>
  <si>
    <t>c_halaban</t>
  </si>
  <si>
    <t>Hajr</t>
  </si>
  <si>
    <t>c_hajr</t>
  </si>
  <si>
    <t>Hail</t>
  </si>
  <si>
    <t>c_hail</t>
  </si>
  <si>
    <t>Rafha</t>
  </si>
  <si>
    <t>c_rafha</t>
  </si>
  <si>
    <t>Dhofar</t>
  </si>
  <si>
    <t>c_dhofar</t>
  </si>
  <si>
    <t>Nizwa</t>
  </si>
  <si>
    <t>Oman</t>
  </si>
  <si>
    <t>c_duqm</t>
  </si>
  <si>
    <t>Muscat</t>
  </si>
  <si>
    <t>c_muscat</t>
  </si>
  <si>
    <t>Suhár</t>
  </si>
  <si>
    <t>c_hajar</t>
  </si>
  <si>
    <t>Julfar</t>
  </si>
  <si>
    <t>c_dhu_zabi</t>
  </si>
  <si>
    <t>Busaso</t>
  </si>
  <si>
    <t>Berbera</t>
  </si>
  <si>
    <t>Somali</t>
  </si>
  <si>
    <t>c_busaso</t>
  </si>
  <si>
    <t>c_berbera</t>
  </si>
  <si>
    <t>Harer</t>
  </si>
  <si>
    <t>Afar</t>
  </si>
  <si>
    <t>Ethiopian</t>
  </si>
  <si>
    <t>c_harer</t>
  </si>
  <si>
    <t>Tadjoura</t>
  </si>
  <si>
    <t>c_tadjoura</t>
  </si>
  <si>
    <t>Aksum</t>
  </si>
  <si>
    <t>Axum</t>
  </si>
  <si>
    <t>c_aksum</t>
  </si>
  <si>
    <t>Akordat</t>
  </si>
  <si>
    <t>c_akordat</t>
  </si>
  <si>
    <t>Kassala</t>
  </si>
  <si>
    <t>Blemmyia</t>
  </si>
  <si>
    <t>c_kassala</t>
  </si>
  <si>
    <t>Hayya</t>
  </si>
  <si>
    <t>c_hayya</t>
  </si>
  <si>
    <t>Atbara</t>
  </si>
  <si>
    <t>c_atbara</t>
  </si>
  <si>
    <t>Sennar</t>
  </si>
  <si>
    <t>Alodia</t>
  </si>
  <si>
    <t>c_sennar</t>
  </si>
  <si>
    <t>Asosa</t>
  </si>
  <si>
    <t>Damot</t>
  </si>
  <si>
    <t>c_asosa</t>
  </si>
  <si>
    <t>Ankober</t>
  </si>
  <si>
    <t>Shewa</t>
  </si>
  <si>
    <t>c_ankober</t>
  </si>
  <si>
    <t>Gondar</t>
  </si>
  <si>
    <t>c_gondar</t>
  </si>
  <si>
    <t>Antalo</t>
  </si>
  <si>
    <t>c_antalo</t>
  </si>
  <si>
    <t>Matamma</t>
  </si>
  <si>
    <t>Gojjam</t>
  </si>
  <si>
    <t>c_matamma</t>
  </si>
  <si>
    <t>c_perm</t>
  </si>
  <si>
    <t>Yamalia</t>
  </si>
  <si>
    <t>Yugra</t>
  </si>
  <si>
    <t>Sibir</t>
  </si>
  <si>
    <t>Khanty</t>
  </si>
  <si>
    <t>c_yamalia</t>
  </si>
  <si>
    <t>Pil'va</t>
  </si>
  <si>
    <t>c_komi</t>
  </si>
  <si>
    <t>Ural</t>
  </si>
  <si>
    <t>c_ural</t>
  </si>
  <si>
    <t>Khantia</t>
  </si>
  <si>
    <t>c_khantia</t>
  </si>
  <si>
    <t>Chimgi-Tira</t>
  </si>
  <si>
    <t>Tobol</t>
  </si>
  <si>
    <t>Chimgi-Tura</t>
  </si>
  <si>
    <t>c_tyumen</t>
  </si>
  <si>
    <t>Mansia</t>
  </si>
  <si>
    <t>c_mansia</t>
  </si>
  <si>
    <t>c_sibir</t>
  </si>
  <si>
    <t>Saravan</t>
  </si>
  <si>
    <t>Makran</t>
  </si>
  <si>
    <t>c_saravan</t>
  </si>
  <si>
    <t>Yaik</t>
  </si>
  <si>
    <t>Cumania</t>
  </si>
  <si>
    <t>c_yaik</t>
  </si>
  <si>
    <t>Aqtobe</t>
  </si>
  <si>
    <t>c_aqtobe</t>
  </si>
  <si>
    <t>Ilek</t>
  </si>
  <si>
    <t>c_inder</t>
  </si>
  <si>
    <t>c_tobol</t>
  </si>
  <si>
    <t>Tis</t>
  </si>
  <si>
    <t>c_tis</t>
  </si>
  <si>
    <t>Syganak</t>
  </si>
  <si>
    <t>Syr Darya</t>
  </si>
  <si>
    <t>Manichean</t>
  </si>
  <si>
    <t>c_syr_darya</t>
  </si>
  <si>
    <t>Kyzyl-Kum</t>
  </si>
  <si>
    <t>c_kyzylkum</t>
  </si>
  <si>
    <t>Dashhowuz</t>
  </si>
  <si>
    <t>c_dashhowuz</t>
  </si>
  <si>
    <t>c_samarkand</t>
  </si>
  <si>
    <t>Balkh</t>
  </si>
  <si>
    <t>c_balkh</t>
  </si>
  <si>
    <t>Herat</t>
  </si>
  <si>
    <t>c_herat</t>
  </si>
  <si>
    <t>Birjand</t>
  </si>
  <si>
    <t>c_birjand</t>
  </si>
  <si>
    <t>Mandesh</t>
  </si>
  <si>
    <t>c_mandesh</t>
  </si>
  <si>
    <t>Timbuktu</t>
  </si>
  <si>
    <t>Ghana</t>
  </si>
  <si>
    <t>Mali</t>
  </si>
  <si>
    <t>Soninke</t>
  </si>
  <si>
    <t>c_timbuktu</t>
  </si>
  <si>
    <t>Aoudaghost</t>
  </si>
  <si>
    <t>c_aoudaghost</t>
  </si>
  <si>
    <t>Wagadu</t>
  </si>
  <si>
    <t>c_ghana</t>
  </si>
  <si>
    <t>Gao</t>
  </si>
  <si>
    <t>Songhay</t>
  </si>
  <si>
    <t>c_gao</t>
  </si>
  <si>
    <t>Djenné</t>
  </si>
  <si>
    <t>c_djenne</t>
  </si>
  <si>
    <t>Taghaza</t>
  </si>
  <si>
    <t>c_taghaza</t>
  </si>
  <si>
    <t>Araouane</t>
  </si>
  <si>
    <t>c_araouane</t>
  </si>
  <si>
    <t>Sijilmasa</t>
  </si>
  <si>
    <t>c_sijilmasa</t>
  </si>
  <si>
    <t>Oualata</t>
  </si>
  <si>
    <t>c_oualata</t>
  </si>
  <si>
    <t>Ouadane</t>
  </si>
  <si>
    <t>c_ouadane</t>
  </si>
  <si>
    <t>Bir Um Grein</t>
  </si>
  <si>
    <t>c_idjil</t>
  </si>
  <si>
    <t>Tadmekka</t>
  </si>
  <si>
    <t>c_tadmekka</t>
  </si>
  <si>
    <t>Niani</t>
  </si>
  <si>
    <t>Manding</t>
  </si>
  <si>
    <t>Mandé</t>
  </si>
  <si>
    <t>c_mali</t>
  </si>
  <si>
    <t>Bambuk</t>
  </si>
  <si>
    <t>c_bambuk</t>
  </si>
  <si>
    <t>Yuari</t>
  </si>
  <si>
    <t>c_zarma</t>
  </si>
  <si>
    <t>Gurma</t>
  </si>
  <si>
    <t>c_gurma</t>
  </si>
  <si>
    <t>Aquila</t>
  </si>
  <si>
    <t>Abruzzo</t>
  </si>
  <si>
    <t>Interamnion</t>
  </si>
  <si>
    <t>c_aprutium</t>
  </si>
  <si>
    <t>Bar</t>
  </si>
  <si>
    <t>c_bar</t>
  </si>
  <si>
    <t>Möre</t>
  </si>
  <si>
    <t>Møre</t>
  </si>
  <si>
    <t>c_more</t>
  </si>
  <si>
    <t>Tjust</t>
  </si>
  <si>
    <t>c_tjust</t>
  </si>
  <si>
    <t>Roslavl</t>
  </si>
  <si>
    <t>c_roslavl</t>
  </si>
  <si>
    <t>Lukoml</t>
  </si>
  <si>
    <t>c_lepiel</t>
  </si>
  <si>
    <t>Amalfi</t>
  </si>
  <si>
    <t>c_amalfi</t>
  </si>
  <si>
    <t>Lori</t>
  </si>
  <si>
    <t>c_lori</t>
  </si>
  <si>
    <t>Madurai</t>
  </si>
  <si>
    <t>Pandya Nadu</t>
  </si>
  <si>
    <t>Tamilakam</t>
  </si>
  <si>
    <t>Deccan Empire</t>
  </si>
  <si>
    <t>Tamil</t>
  </si>
  <si>
    <t>c_madurai</t>
  </si>
  <si>
    <t>Chagai</t>
  </si>
  <si>
    <t>c_chagai</t>
  </si>
  <si>
    <t>Mahoyadapuram</t>
  </si>
  <si>
    <t>Chera Nadu</t>
  </si>
  <si>
    <t>c_mahoyadapuram</t>
  </si>
  <si>
    <t>Cholamandalam</t>
  </si>
  <si>
    <t>Chola Nadu</t>
  </si>
  <si>
    <t>c_cholamandalam</t>
  </si>
  <si>
    <t>Tenkasi</t>
  </si>
  <si>
    <t>c_tenkasi</t>
  </si>
  <si>
    <t>Qalqut</t>
  </si>
  <si>
    <t>Kallikkottai</t>
  </si>
  <si>
    <t>c_qalqut</t>
  </si>
  <si>
    <t>Manyapura</t>
  </si>
  <si>
    <t>Gangavadi</t>
  </si>
  <si>
    <t>Karnata</t>
  </si>
  <si>
    <t>Kannada</t>
  </si>
  <si>
    <t>c_manyapura</t>
  </si>
  <si>
    <t>Kanchipuram</t>
  </si>
  <si>
    <t>Tondai Nadu</t>
  </si>
  <si>
    <t>c_kanchipuram</t>
  </si>
  <si>
    <t>Tagadur</t>
  </si>
  <si>
    <t>c_tagadur</t>
  </si>
  <si>
    <t>Uchangidurga</t>
  </si>
  <si>
    <t>Nulambavadi</t>
  </si>
  <si>
    <t>c_uchangidurga</t>
  </si>
  <si>
    <t>Udayagiri</t>
  </si>
  <si>
    <t>Andhra</t>
  </si>
  <si>
    <t>Telugu</t>
  </si>
  <si>
    <t>c_udayagiri</t>
  </si>
  <si>
    <t>Vengipura</t>
  </si>
  <si>
    <t>Vengi</t>
  </si>
  <si>
    <t>c_vengipura</t>
  </si>
  <si>
    <t>Honnore</t>
  </si>
  <si>
    <t>Konkana</t>
  </si>
  <si>
    <t>Maharastra</t>
  </si>
  <si>
    <t>c_honnore</t>
  </si>
  <si>
    <t>Thana</t>
  </si>
  <si>
    <t>Marathi</t>
  </si>
  <si>
    <t>c_thana</t>
  </si>
  <si>
    <t>Daman</t>
  </si>
  <si>
    <t>Lata</t>
  </si>
  <si>
    <t>Gujarat</t>
  </si>
  <si>
    <t>Rajastan</t>
  </si>
  <si>
    <t>Gujarati</t>
  </si>
  <si>
    <t>c_daman</t>
  </si>
  <si>
    <t>Navasarika</t>
  </si>
  <si>
    <t>c_navasarika</t>
  </si>
  <si>
    <t>Vizagipatam</t>
  </si>
  <si>
    <t>Kalinga</t>
  </si>
  <si>
    <t>Orissa</t>
  </si>
  <si>
    <t>Bengal Empire</t>
  </si>
  <si>
    <t>c_vizagipatam</t>
  </si>
  <si>
    <t>Kataka</t>
  </si>
  <si>
    <t>Tosali</t>
  </si>
  <si>
    <t>Oriya</t>
  </si>
  <si>
    <t>c_kataka</t>
  </si>
  <si>
    <t>Mandavyapura</t>
  </si>
  <si>
    <t>Maru</t>
  </si>
  <si>
    <t>Rajputana</t>
  </si>
  <si>
    <t>Rajput</t>
  </si>
  <si>
    <t>c_mandavyapura</t>
  </si>
  <si>
    <t>Karmanta</t>
  </si>
  <si>
    <t>Vanga</t>
  </si>
  <si>
    <t>Bengal</t>
  </si>
  <si>
    <t>Bengali</t>
  </si>
  <si>
    <t>c_karmanta</t>
  </si>
  <si>
    <t>Irtysh</t>
  </si>
  <si>
    <t>Kirghiz</t>
  </si>
  <si>
    <t>c_kirghiz</t>
  </si>
  <si>
    <t>Vadodara</t>
  </si>
  <si>
    <t>c_vadodara</t>
  </si>
  <si>
    <t>Bhumilka</t>
  </si>
  <si>
    <t>Saurashtra</t>
  </si>
  <si>
    <t>c_bhumilka</t>
  </si>
  <si>
    <t>Valabhi</t>
  </si>
  <si>
    <t>c_valabhi</t>
  </si>
  <si>
    <t>Dvaraka</t>
  </si>
  <si>
    <t>Anartta</t>
  </si>
  <si>
    <t>c_dvaraka</t>
  </si>
  <si>
    <t>Mansura</t>
  </si>
  <si>
    <t>Sauvira</t>
  </si>
  <si>
    <t>Sindh</t>
  </si>
  <si>
    <t>Sindhi</t>
  </si>
  <si>
    <t>c_mansura</t>
  </si>
  <si>
    <t>Bhakkar</t>
  </si>
  <si>
    <t>c_bhakkar</t>
  </si>
  <si>
    <t>c_makran</t>
  </si>
  <si>
    <t>Banavasi</t>
  </si>
  <si>
    <t>Raichur Doab</t>
  </si>
  <si>
    <t>c_banavasi</t>
  </si>
  <si>
    <t>Kol</t>
  </si>
  <si>
    <t>Mathura</t>
  </si>
  <si>
    <t>Delhi</t>
  </si>
  <si>
    <t>Hindustani</t>
  </si>
  <si>
    <t>c_kol</t>
  </si>
  <si>
    <t>Pratishthana</t>
  </si>
  <si>
    <t>Devagiri</t>
  </si>
  <si>
    <t>c_pratishthana</t>
  </si>
  <si>
    <t>Kalyani</t>
  </si>
  <si>
    <t>c_kalyani</t>
  </si>
  <si>
    <t>Kollipake</t>
  </si>
  <si>
    <t>Racakonda</t>
  </si>
  <si>
    <t>Telingana</t>
  </si>
  <si>
    <t>c_kollipake</t>
  </si>
  <si>
    <t>c_devagiri</t>
  </si>
  <si>
    <t>Naldurg</t>
  </si>
  <si>
    <t>Rattapadi</t>
  </si>
  <si>
    <t>c_naldurg</t>
  </si>
  <si>
    <t>Mandapika</t>
  </si>
  <si>
    <t>Anupa</t>
  </si>
  <si>
    <t>Malwa</t>
  </si>
  <si>
    <t>c_mandapika</t>
  </si>
  <si>
    <t>Dasapura</t>
  </si>
  <si>
    <t>Avanti</t>
  </si>
  <si>
    <t>c_dasapura</t>
  </si>
  <si>
    <t>Dhara</t>
  </si>
  <si>
    <t>c_dhara</t>
  </si>
  <si>
    <t>Sarangpur</t>
  </si>
  <si>
    <t>Akara-Dasarna</t>
  </si>
  <si>
    <t>c_sarangpur</t>
  </si>
  <si>
    <t>Laksmanavati</t>
  </si>
  <si>
    <t>Gauda</t>
  </si>
  <si>
    <t>c_laksmanavati</t>
  </si>
  <si>
    <t>Mudgagiri</t>
  </si>
  <si>
    <t>Magadha</t>
  </si>
  <si>
    <t>c_mudgagiri</t>
  </si>
  <si>
    <t>Kotivarsa</t>
  </si>
  <si>
    <t>c_kotivarsa</t>
  </si>
  <si>
    <t>c_magadha</t>
  </si>
  <si>
    <t>Sripuri</t>
  </si>
  <si>
    <t>Daksina Kosala</t>
  </si>
  <si>
    <t>c_sripuri</t>
  </si>
  <si>
    <t>Kodalaka Mandala</t>
  </si>
  <si>
    <t>c_kodalaka_mandala</t>
  </si>
  <si>
    <t>Balkonda</t>
  </si>
  <si>
    <t>Warangal</t>
  </si>
  <si>
    <t>c_balkonda</t>
  </si>
  <si>
    <t>Bidar</t>
  </si>
  <si>
    <t>c_bidar</t>
  </si>
  <si>
    <t>Ramagiri</t>
  </si>
  <si>
    <t>Vidharba</t>
  </si>
  <si>
    <t>c_ramagiri</t>
  </si>
  <si>
    <t>Rayapura</t>
  </si>
  <si>
    <t>c_rayapura</t>
  </si>
  <si>
    <t>Kasmira</t>
  </si>
  <si>
    <t>Kashmir</t>
  </si>
  <si>
    <t>Tibet</t>
  </si>
  <si>
    <t>Panjabi</t>
  </si>
  <si>
    <t>c_kasmira</t>
  </si>
  <si>
    <t>Kusinagara</t>
  </si>
  <si>
    <t>Tirabhukti</t>
  </si>
  <si>
    <t>c_kusinagara</t>
  </si>
  <si>
    <t>Varanasi</t>
  </si>
  <si>
    <t>Kasi</t>
  </si>
  <si>
    <t>c_varanasi</t>
  </si>
  <si>
    <t>Chauragarh</t>
  </si>
  <si>
    <t>Dahala</t>
  </si>
  <si>
    <t>Gondwana</t>
  </si>
  <si>
    <t>c_chauragarh</t>
  </si>
  <si>
    <t>Bandhugadha</t>
  </si>
  <si>
    <t>Ratanpur</t>
  </si>
  <si>
    <t>c_bandhugadha</t>
  </si>
  <si>
    <t>Jaunpur</t>
  </si>
  <si>
    <t>c_jaunpur</t>
  </si>
  <si>
    <t>Lakhnau</t>
  </si>
  <si>
    <t>Kanyakubja</t>
  </si>
  <si>
    <t>Kosala</t>
  </si>
  <si>
    <t>c_lakhnau</t>
  </si>
  <si>
    <t>Katehar</t>
  </si>
  <si>
    <t>Vodamayutja</t>
  </si>
  <si>
    <t>c_katehar</t>
  </si>
  <si>
    <t>Kalpi</t>
  </si>
  <si>
    <t>c_kalpi</t>
  </si>
  <si>
    <t>Vidisa</t>
  </si>
  <si>
    <t>c_vidisa</t>
  </si>
  <si>
    <t>Kalanjara</t>
  </si>
  <si>
    <t>Jejakabhukti</t>
  </si>
  <si>
    <t>c_kalanjara</t>
  </si>
  <si>
    <t>Gwalior</t>
  </si>
  <si>
    <t>Ajmer</t>
  </si>
  <si>
    <t>c_gwalior</t>
  </si>
  <si>
    <t>Sambhal</t>
  </si>
  <si>
    <t>c_sambhal</t>
  </si>
  <si>
    <t>Godwad</t>
  </si>
  <si>
    <t>c_godwad</t>
  </si>
  <si>
    <t>Aror</t>
  </si>
  <si>
    <t>c_aror</t>
  </si>
  <si>
    <t>Medantaka</t>
  </si>
  <si>
    <t>c_medantaka</t>
  </si>
  <si>
    <t>Kundina</t>
  </si>
  <si>
    <t>Sutiya</t>
  </si>
  <si>
    <t>Kamarupa</t>
  </si>
  <si>
    <t>Assamese</t>
  </si>
  <si>
    <t>c_kundina</t>
  </si>
  <si>
    <t>Karur</t>
  </si>
  <si>
    <t>Multan</t>
  </si>
  <si>
    <t>Punjab</t>
  </si>
  <si>
    <t>c_karur</t>
  </si>
  <si>
    <t>Sakala</t>
  </si>
  <si>
    <t>Trigarta</t>
  </si>
  <si>
    <t>c_sakala</t>
  </si>
  <si>
    <t>Udabhanda</t>
  </si>
  <si>
    <t>Gandhara</t>
  </si>
  <si>
    <t>c_udabhanda</t>
  </si>
  <si>
    <t>Oshrusana</t>
  </si>
  <si>
    <t>Khurmazta</t>
  </si>
  <si>
    <t>c_oshrusana</t>
  </si>
  <si>
    <t>Ghazna</t>
  </si>
  <si>
    <t>c_ghazna</t>
  </si>
  <si>
    <t>Bost</t>
  </si>
  <si>
    <t>c_bost</t>
  </si>
  <si>
    <t>Kalat</t>
  </si>
  <si>
    <t>c_kalat</t>
  </si>
  <si>
    <t>Kabul</t>
  </si>
  <si>
    <t>c_kabul</t>
  </si>
  <si>
    <t>Chach</t>
  </si>
  <si>
    <t>c_chach</t>
  </si>
  <si>
    <t>Kunduz</t>
  </si>
  <si>
    <t>c_kunduz</t>
  </si>
  <si>
    <t>Khuttal</t>
  </si>
  <si>
    <t>c_khuttal</t>
  </si>
  <si>
    <t>Bamiyan</t>
  </si>
  <si>
    <t>c_bamiyan</t>
  </si>
  <si>
    <t>Gurjaratra</t>
  </si>
  <si>
    <t>c_gurjaratra</t>
  </si>
  <si>
    <t>Bannu</t>
  </si>
  <si>
    <t>c_bannu</t>
  </si>
  <si>
    <t>Bhera</t>
  </si>
  <si>
    <t>Lahore</t>
  </si>
  <si>
    <t>c_bhera</t>
  </si>
  <si>
    <t>c_trigarta</t>
  </si>
  <si>
    <t>Nagadipa</t>
  </si>
  <si>
    <t>Sinhala</t>
  </si>
  <si>
    <t>Lanka</t>
  </si>
  <si>
    <t>c_nagadipa</t>
  </si>
  <si>
    <t>Pihiti</t>
  </si>
  <si>
    <t>c_phiti</t>
  </si>
  <si>
    <t>Srirangapatna</t>
  </si>
  <si>
    <t>c_srirangapatna</t>
  </si>
  <si>
    <t>Dwarasamudra</t>
  </si>
  <si>
    <t>c_dwarasamudra</t>
  </si>
  <si>
    <t>Vatapi</t>
  </si>
  <si>
    <t>c_vatapi</t>
  </si>
  <si>
    <t>Penugonda</t>
  </si>
  <si>
    <t>c_penugonda</t>
  </si>
  <si>
    <t>Kanara</t>
  </si>
  <si>
    <t>c_kanara</t>
  </si>
  <si>
    <t>Kongu</t>
  </si>
  <si>
    <t>c_kongu</t>
  </si>
  <si>
    <t>Kudalasangama</t>
  </si>
  <si>
    <t>c_kudalasangama</t>
  </si>
  <si>
    <t>Idatarainadu</t>
  </si>
  <si>
    <t>c_idatarainadu</t>
  </si>
  <si>
    <t>Nellore</t>
  </si>
  <si>
    <t>c_nellore</t>
  </si>
  <si>
    <t>Narim</t>
  </si>
  <si>
    <t>Om</t>
  </si>
  <si>
    <t>c_narim</t>
  </si>
  <si>
    <t>Taradavadi</t>
  </si>
  <si>
    <t>c_taradavadi</t>
  </si>
  <si>
    <t>Amaravati</t>
  </si>
  <si>
    <t>c_amaravati</t>
  </si>
  <si>
    <t>Kambampet</t>
  </si>
  <si>
    <t>c_kambampet</t>
  </si>
  <si>
    <t>c_racakonda</t>
  </si>
  <si>
    <t>Manyakheta</t>
  </si>
  <si>
    <t>c_manyakheta</t>
  </si>
  <si>
    <t>Pannagallu</t>
  </si>
  <si>
    <t>c_pannagallu</t>
  </si>
  <si>
    <t>Lattalura</t>
  </si>
  <si>
    <t>c_lattalura</t>
  </si>
  <si>
    <t>Kondana</t>
  </si>
  <si>
    <t>Nasikya</t>
  </si>
  <si>
    <t>c_kondana</t>
  </si>
  <si>
    <t>Tirunelveli</t>
  </si>
  <si>
    <t>c_tirunelveli</t>
  </si>
  <si>
    <t>Dakhina Desa</t>
  </si>
  <si>
    <t>c_dakhina_desa</t>
  </si>
  <si>
    <t>Talakad</t>
  </si>
  <si>
    <t>c_talakad</t>
  </si>
  <si>
    <t>Nandagiri</t>
  </si>
  <si>
    <t>c_nandagiri</t>
  </si>
  <si>
    <t>Alampur</t>
  </si>
  <si>
    <t>c_alampur</t>
  </si>
  <si>
    <t>Potapi</t>
  </si>
  <si>
    <t>c_potapi</t>
  </si>
  <si>
    <t>Goa</t>
  </si>
  <si>
    <t>c_goa</t>
  </si>
  <si>
    <t>Vijayawada</t>
  </si>
  <si>
    <t>c_vijayawada</t>
  </si>
  <si>
    <t>Rajamahendravaram</t>
  </si>
  <si>
    <t>c_rajamahendravaram</t>
  </si>
  <si>
    <t>Ishim</t>
  </si>
  <si>
    <t>c_ishim</t>
  </si>
  <si>
    <t>Kalinganagar</t>
  </si>
  <si>
    <t>c_kalinganagar</t>
  </si>
  <si>
    <t>Puri</t>
  </si>
  <si>
    <t>c_puri</t>
  </si>
  <si>
    <t>Nandapur</t>
  </si>
  <si>
    <t>Dandakaranya</t>
  </si>
  <si>
    <t>c_nandapur</t>
  </si>
  <si>
    <t>Cakrakuta</t>
  </si>
  <si>
    <t>c_cakrakuta</t>
  </si>
  <si>
    <t>Swetaka Mandala</t>
  </si>
  <si>
    <t>c_swetaka_mandala</t>
  </si>
  <si>
    <t>Khinjali Mandala</t>
  </si>
  <si>
    <t>c_khinjali_mandala</t>
  </si>
  <si>
    <t>Suvarnapura</t>
  </si>
  <si>
    <t>c_suvarnapura</t>
  </si>
  <si>
    <t>Viraja</t>
  </si>
  <si>
    <t>c_viraja</t>
  </si>
  <si>
    <t>Midnapore</t>
  </si>
  <si>
    <t>Suhma</t>
  </si>
  <si>
    <t>c_midnapore</t>
  </si>
  <si>
    <t>Saptagrama</t>
  </si>
  <si>
    <t>Nadia</t>
  </si>
  <si>
    <t>c_saptagrama</t>
  </si>
  <si>
    <t>Damin-i-koh</t>
  </si>
  <si>
    <t>Jharkand</t>
  </si>
  <si>
    <t>c_damin_i_koh</t>
  </si>
  <si>
    <t>Tamralipti</t>
  </si>
  <si>
    <t>c_tamralipti</t>
  </si>
  <si>
    <t>Candradvipa</t>
  </si>
  <si>
    <t>c_candradvipa</t>
  </si>
  <si>
    <t>Rajrappa</t>
  </si>
  <si>
    <t>c_rajrappa</t>
  </si>
  <si>
    <t>Mallabhum</t>
  </si>
  <si>
    <t>c_mallabhum</t>
  </si>
  <si>
    <t>Vijayapura</t>
  </si>
  <si>
    <t>c_vijayapura</t>
  </si>
  <si>
    <t>Kumara Mandala</t>
  </si>
  <si>
    <t>c_kumara_mandala</t>
  </si>
  <si>
    <t>c_jharkand</t>
  </si>
  <si>
    <t>Radha</t>
  </si>
  <si>
    <t>c_radha</t>
  </si>
  <si>
    <t>c_gauda</t>
  </si>
  <si>
    <t>Kamatapur</t>
  </si>
  <si>
    <t>Kamarupanagara</t>
  </si>
  <si>
    <t>c_kamatapur</t>
  </si>
  <si>
    <t>Srihatta</t>
  </si>
  <si>
    <t>Para-Lauhitya</t>
  </si>
  <si>
    <t>c_srihatta</t>
  </si>
  <si>
    <t>Goalpara</t>
  </si>
  <si>
    <t>c_goalpara</t>
  </si>
  <si>
    <t>Khijjingakota</t>
  </si>
  <si>
    <t>c_khijjingakota</t>
  </si>
  <si>
    <t>Munda</t>
  </si>
  <si>
    <t>c_munda</t>
  </si>
  <si>
    <t>Sambalpur</t>
  </si>
  <si>
    <t>c_sambalpur</t>
  </si>
  <si>
    <t>Ayodhya</t>
  </si>
  <si>
    <t>Saryupara</t>
  </si>
  <si>
    <t>c_ayodhya</t>
  </si>
  <si>
    <t>Sasaram</t>
  </si>
  <si>
    <t>c_sasaram</t>
  </si>
  <si>
    <t>Barasuru</t>
  </si>
  <si>
    <t>c_barasuru</t>
  </si>
  <si>
    <t>Nilagiri</t>
  </si>
  <si>
    <t>c_nilagiri</t>
  </si>
  <si>
    <t>Vairagara</t>
  </si>
  <si>
    <t>c_vairagara</t>
  </si>
  <si>
    <t>Vemulavada</t>
  </si>
  <si>
    <t>c_vemulavada</t>
  </si>
  <si>
    <t>Orangallu</t>
  </si>
  <si>
    <t>c_orangallu</t>
  </si>
  <si>
    <t>Medak</t>
  </si>
  <si>
    <t>c_medak</t>
  </si>
  <si>
    <t>Nanded</t>
  </si>
  <si>
    <t>c_nanded</t>
  </si>
  <si>
    <t>Vatsagulma</t>
  </si>
  <si>
    <t>c_vatsagulma</t>
  </si>
  <si>
    <t>c_nasikya</t>
  </si>
  <si>
    <t>Parnakheta</t>
  </si>
  <si>
    <t>c_parnakheta</t>
  </si>
  <si>
    <t>Thalner</t>
  </si>
  <si>
    <t>c_thalner</t>
  </si>
  <si>
    <t>Burhanpur</t>
  </si>
  <si>
    <t>c_burhanpur</t>
  </si>
  <si>
    <t>Nandurbar</t>
  </si>
  <si>
    <t>c_nandurbar</t>
  </si>
  <si>
    <t>Sagar</t>
  </si>
  <si>
    <t>c_sagar</t>
  </si>
  <si>
    <t>Somnath</t>
  </si>
  <si>
    <t>c_somnath</t>
  </si>
  <si>
    <t>Vardhamana</t>
  </si>
  <si>
    <t>c_vardhamana</t>
  </si>
  <si>
    <t>Dhamalpur</t>
  </si>
  <si>
    <t>c_dhamalpur</t>
  </si>
  <si>
    <t>Canda</t>
  </si>
  <si>
    <t>c_canda</t>
  </si>
  <si>
    <t>Kiranapura</t>
  </si>
  <si>
    <t>c_kiranapura</t>
  </si>
  <si>
    <t>Tripuri</t>
  </si>
  <si>
    <t>c_tripuri</t>
  </si>
  <si>
    <t>c_ratanpur</t>
  </si>
  <si>
    <t>Turgay</t>
  </si>
  <si>
    <t>c_turgay</t>
  </si>
  <si>
    <t>Damoh</t>
  </si>
  <si>
    <t>c_damoh</t>
  </si>
  <si>
    <t>Zaranj</t>
  </si>
  <si>
    <t>c_zaranj</t>
  </si>
  <si>
    <t>Gaya</t>
  </si>
  <si>
    <t>c_gaya</t>
  </si>
  <si>
    <t>Tummana</t>
  </si>
  <si>
    <t>c_tummana</t>
  </si>
  <si>
    <t>Gurgi</t>
  </si>
  <si>
    <t>c_gurgi</t>
  </si>
  <si>
    <t>Rohana</t>
  </si>
  <si>
    <t>c_rohana</t>
  </si>
  <si>
    <t>c_gojjam</t>
  </si>
  <si>
    <t>Chunar</t>
  </si>
  <si>
    <t>c_chunar</t>
  </si>
  <si>
    <t>Dotawo</t>
  </si>
  <si>
    <t>c_dotawo</t>
  </si>
  <si>
    <t>Asni</t>
  </si>
  <si>
    <t>c_asni</t>
  </si>
  <si>
    <t>Bharauli</t>
  </si>
  <si>
    <t>c_bharauli</t>
  </si>
  <si>
    <t>Acalapura</t>
  </si>
  <si>
    <t>c_acalapura</t>
  </si>
  <si>
    <t>Kherla</t>
  </si>
  <si>
    <t>c_kherla</t>
  </si>
  <si>
    <t>Asirgarh</t>
  </si>
  <si>
    <t>c_asirgarh</t>
  </si>
  <si>
    <t>Ujjayini</t>
  </si>
  <si>
    <t>c_ujjayini</t>
  </si>
  <si>
    <t>Dadhipadra</t>
  </si>
  <si>
    <t>c_dadhipadra</t>
  </si>
  <si>
    <t>Khetaka</t>
  </si>
  <si>
    <t>Gurjara Mandala</t>
  </si>
  <si>
    <t>c_khetaka</t>
  </si>
  <si>
    <t>Mohadavasaka</t>
  </si>
  <si>
    <t>c_mohadavasaka</t>
  </si>
  <si>
    <t>Sarasvata Mandala</t>
  </si>
  <si>
    <t>c_sarasvata_mandala</t>
  </si>
  <si>
    <t>Satyapura</t>
  </si>
  <si>
    <t>Stravani</t>
  </si>
  <si>
    <t>c_satyapura</t>
  </si>
  <si>
    <t>Kutch</t>
  </si>
  <si>
    <t>c_kutch</t>
  </si>
  <si>
    <t>Dimapur</t>
  </si>
  <si>
    <t>c_dimapur</t>
  </si>
  <si>
    <t>Debul</t>
  </si>
  <si>
    <t>c_debul</t>
  </si>
  <si>
    <t>Chanderi</t>
  </si>
  <si>
    <t>c_chanderi</t>
  </si>
  <si>
    <t>Candhoba</t>
  </si>
  <si>
    <t>c_candhoba</t>
  </si>
  <si>
    <t>Kota</t>
  </si>
  <si>
    <t>Medapata</t>
  </si>
  <si>
    <t>c_kota</t>
  </si>
  <si>
    <t>Mahoba</t>
  </si>
  <si>
    <t>c_mahoba</t>
  </si>
  <si>
    <t>Chitrakut</t>
  </si>
  <si>
    <t>c_chitrakut</t>
  </si>
  <si>
    <t>Ranikot</t>
  </si>
  <si>
    <t>c_ranikot</t>
  </si>
  <si>
    <t>Ludrava</t>
  </si>
  <si>
    <t>c_ludrava</t>
  </si>
  <si>
    <t>Tura</t>
  </si>
  <si>
    <t>c_tura</t>
  </si>
  <si>
    <t>Samatata</t>
  </si>
  <si>
    <t>c_samatata</t>
  </si>
  <si>
    <t>Bikrampur</t>
  </si>
  <si>
    <t>c_bikrampur</t>
  </si>
  <si>
    <t>Aydhab</t>
  </si>
  <si>
    <t>c_aydhab</t>
  </si>
  <si>
    <t>c_kamarupanagara</t>
  </si>
  <si>
    <t>c_nobatia</t>
  </si>
  <si>
    <t>Nabadwipa</t>
  </si>
  <si>
    <t>c_nabadwipa</t>
  </si>
  <si>
    <t>Suvarnagram</t>
  </si>
  <si>
    <t>Varendra</t>
  </si>
  <si>
    <t>c_suvarnagram</t>
  </si>
  <si>
    <t>Madhupur</t>
  </si>
  <si>
    <t>c_madhupur</t>
  </si>
  <si>
    <t>Napata</t>
  </si>
  <si>
    <t>c_napata</t>
  </si>
  <si>
    <t>Rothas</t>
  </si>
  <si>
    <t>c_rothas</t>
  </si>
  <si>
    <t>Prayaga</t>
  </si>
  <si>
    <t>c_prayaga</t>
  </si>
  <si>
    <t>Anuy</t>
  </si>
  <si>
    <t>Ob</t>
  </si>
  <si>
    <t>c_ket</t>
  </si>
  <si>
    <t>Suakin</t>
  </si>
  <si>
    <t>c_suakin</t>
  </si>
  <si>
    <t>Sonda</t>
  </si>
  <si>
    <t>c_sonda</t>
  </si>
  <si>
    <t>Trinkitat</t>
  </si>
  <si>
    <t>c_trinkitat</t>
  </si>
  <si>
    <t>Siwistan</t>
  </si>
  <si>
    <t>c_siwistan</t>
  </si>
  <si>
    <t>c_alodia</t>
  </si>
  <si>
    <t>Kosti</t>
  </si>
  <si>
    <t>c_kosti</t>
  </si>
  <si>
    <t>Vijnot</t>
  </si>
  <si>
    <t>c_vijnot</t>
  </si>
  <si>
    <t>Uch</t>
  </si>
  <si>
    <t>c_uch</t>
  </si>
  <si>
    <t>c_multan</t>
  </si>
  <si>
    <t>Rajanpur</t>
  </si>
  <si>
    <t>c_rajanpur</t>
  </si>
  <si>
    <t>Karor</t>
  </si>
  <si>
    <t>c_karor</t>
  </si>
  <si>
    <t>Nandana</t>
  </si>
  <si>
    <t>c_nandana</t>
  </si>
  <si>
    <t>Purushapura</t>
  </si>
  <si>
    <t>c_purushapura</t>
  </si>
  <si>
    <t>Massawa</t>
  </si>
  <si>
    <t>c_massawa</t>
  </si>
  <si>
    <t>Zeila</t>
  </si>
  <si>
    <t>c_zeila</t>
  </si>
  <si>
    <t>c_medapata</t>
  </si>
  <si>
    <t>Ajayameru</t>
  </si>
  <si>
    <t>c_ajayameru</t>
  </si>
  <si>
    <t>Vikramapura</t>
  </si>
  <si>
    <t>Jangladesh</t>
  </si>
  <si>
    <t>c_vikramapura</t>
  </si>
  <si>
    <t>Reni</t>
  </si>
  <si>
    <t>c_reni</t>
  </si>
  <si>
    <t>Nagchu</t>
  </si>
  <si>
    <t>Ü-Tsang</t>
  </si>
  <si>
    <t>Sumpa</t>
  </si>
  <si>
    <t>Bödpa</t>
  </si>
  <si>
    <t>Bön</t>
  </si>
  <si>
    <t>Naqu</t>
  </si>
  <si>
    <t>c_nagchu</t>
  </si>
  <si>
    <t>Sarasvati</t>
  </si>
  <si>
    <t>Haritanaka</t>
  </si>
  <si>
    <t>c_sarasvati</t>
  </si>
  <si>
    <t>Vairata</t>
  </si>
  <si>
    <t>c_vairata</t>
  </si>
  <si>
    <t>Nagauda</t>
  </si>
  <si>
    <t>c_nagauda</t>
  </si>
  <si>
    <t>Ranthambore</t>
  </si>
  <si>
    <t>c_ranthambore</t>
  </si>
  <si>
    <t>c_kanyakubja</t>
  </si>
  <si>
    <t>Sripatha</t>
  </si>
  <si>
    <t>c_sripatha</t>
  </si>
  <si>
    <t>c_vodamayutja</t>
  </si>
  <si>
    <t>c_mathura</t>
  </si>
  <si>
    <t>Maldives</t>
  </si>
  <si>
    <t>c_maldives</t>
  </si>
  <si>
    <t>Shorkot</t>
  </si>
  <si>
    <t>c_shorkot</t>
  </si>
  <si>
    <t>Lahur</t>
  </si>
  <si>
    <t>c_lahur</t>
  </si>
  <si>
    <t>Dipalpur</t>
  </si>
  <si>
    <t>c_dipalpur</t>
  </si>
  <si>
    <t>Tribandapura</t>
  </si>
  <si>
    <t>c_tribandapura</t>
  </si>
  <si>
    <t>Kuru</t>
  </si>
  <si>
    <t>c_delhi</t>
  </si>
  <si>
    <t>Hisar</t>
  </si>
  <si>
    <t>c_hisar</t>
  </si>
  <si>
    <t>Sthanisvara</t>
  </si>
  <si>
    <t>c_sthanisvara</t>
  </si>
  <si>
    <t>Hastinapura</t>
  </si>
  <si>
    <t>c_hastinapura</t>
  </si>
  <si>
    <t>Socotra</t>
  </si>
  <si>
    <t>c_socotra</t>
  </si>
  <si>
    <t>Armail</t>
  </si>
  <si>
    <t>c_armail</t>
  </si>
  <si>
    <t>Quzdar</t>
  </si>
  <si>
    <t>c_quzdar</t>
  </si>
  <si>
    <t>Kandail</t>
  </si>
  <si>
    <t>c_kandail</t>
  </si>
  <si>
    <t>Assab</t>
  </si>
  <si>
    <t>c_assab</t>
  </si>
  <si>
    <t>Sibi</t>
  </si>
  <si>
    <t>c_sibi</t>
  </si>
  <si>
    <t>Kafirkot</t>
  </si>
  <si>
    <t>c_kafirkot</t>
  </si>
  <si>
    <t>Bori</t>
  </si>
  <si>
    <t>c_wana</t>
  </si>
  <si>
    <t>Maymana</t>
  </si>
  <si>
    <t>c_maymana</t>
  </si>
  <si>
    <t>Madminiya</t>
  </si>
  <si>
    <t>c_urgench</t>
  </si>
  <si>
    <t>Asayita</t>
  </si>
  <si>
    <t>c_asayita</t>
  </si>
  <si>
    <t>Semien</t>
  </si>
  <si>
    <t>c_semien</t>
  </si>
  <si>
    <t>Pundravardhana</t>
  </si>
  <si>
    <t>c_pundravardhana</t>
  </si>
  <si>
    <t>Anxi</t>
  </si>
  <si>
    <t>Jiuquan</t>
  </si>
  <si>
    <t>Xia</t>
  </si>
  <si>
    <t>Han</t>
  </si>
  <si>
    <t>Tangut</t>
  </si>
  <si>
    <t>c_anxi</t>
  </si>
  <si>
    <t>Venadu</t>
  </si>
  <si>
    <t>c_venadu</t>
  </si>
  <si>
    <t>Kotthasara</t>
  </si>
  <si>
    <t>c_kotthasara</t>
  </si>
  <si>
    <t>Pithapuram</t>
  </si>
  <si>
    <t>c_pithapuram</t>
  </si>
  <si>
    <t>Kolhapur</t>
  </si>
  <si>
    <t>c_kolhapur</t>
  </si>
  <si>
    <t>Wag</t>
  </si>
  <si>
    <t>c_wag</t>
  </si>
  <si>
    <t>Haruppeswara</t>
  </si>
  <si>
    <t>c_haruppeswara</t>
  </si>
  <si>
    <t>Mithila</t>
  </si>
  <si>
    <t>c_mithila</t>
  </si>
  <si>
    <t>Simaramapura</t>
  </si>
  <si>
    <t>c_simaramapura</t>
  </si>
  <si>
    <t>Sravasti</t>
  </si>
  <si>
    <t>c_sravasti</t>
  </si>
  <si>
    <t>Naimisa</t>
  </si>
  <si>
    <t>c_naimisa</t>
  </si>
  <si>
    <t>Fergana</t>
  </si>
  <si>
    <t>Karluk</t>
  </si>
  <si>
    <t>c_fergana</t>
  </si>
  <si>
    <t>Balasagun</t>
  </si>
  <si>
    <t>Chuy</t>
  </si>
  <si>
    <t>Zhetysu</t>
  </si>
  <si>
    <t>c_chuy</t>
  </si>
  <si>
    <t>Ili</t>
  </si>
  <si>
    <t>c_ili</t>
  </si>
  <si>
    <t>Karatal</t>
  </si>
  <si>
    <t>c_zhetysu</t>
  </si>
  <si>
    <t>Ayakoz</t>
  </si>
  <si>
    <t>c_urzhar</t>
  </si>
  <si>
    <t>c_damot</t>
  </si>
  <si>
    <t>Begemder</t>
  </si>
  <si>
    <t>c_begemder</t>
  </si>
  <si>
    <t>Tengiz</t>
  </si>
  <si>
    <t>c_kipchak</t>
  </si>
  <si>
    <t>Otrar</t>
  </si>
  <si>
    <t>c_otrar</t>
  </si>
  <si>
    <t>c_karluk</t>
  </si>
  <si>
    <t>Kazakh</t>
  </si>
  <si>
    <t>c_kazakh</t>
  </si>
  <si>
    <t>Balkhash</t>
  </si>
  <si>
    <t>c_balkhash</t>
  </si>
  <si>
    <t>Karasor</t>
  </si>
  <si>
    <t>c_kimak</t>
  </si>
  <si>
    <t>Lakomelza</t>
  </si>
  <si>
    <t>c_lakomelza</t>
  </si>
  <si>
    <t>Tigrinya</t>
  </si>
  <si>
    <t>c_tigrinya</t>
  </si>
  <si>
    <t>Yarkand</t>
  </si>
  <si>
    <t>Khotan</t>
  </si>
  <si>
    <t>Saka</t>
  </si>
  <si>
    <t>Yarkam, Suoju</t>
  </si>
  <si>
    <t>c_yarkand</t>
  </si>
  <si>
    <t>Kashgar</t>
  </si>
  <si>
    <t>Kasake, Shule, Su-lig</t>
  </si>
  <si>
    <t>c_kashgar</t>
  </si>
  <si>
    <t>Hotan, Yutian, Hvamna</t>
  </si>
  <si>
    <t>c_khotan</t>
  </si>
  <si>
    <t>Cherchen</t>
  </si>
  <si>
    <t>Tocharian</t>
  </si>
  <si>
    <t>Uyghur</t>
  </si>
  <si>
    <t>Qarqan, Jemotwona, Calmandana, Qiemo</t>
  </si>
  <si>
    <t>c_cherchen</t>
  </si>
  <si>
    <t>Charkliq</t>
  </si>
  <si>
    <t>Kumul</t>
  </si>
  <si>
    <t>Narubho, Ruoqiang</t>
  </si>
  <si>
    <t>c_charkliq</t>
  </si>
  <si>
    <t>Karashar</t>
  </si>
  <si>
    <t>Arsi, Agnidesa, Yanghi, Yanqi</t>
  </si>
  <si>
    <t>c_karashar</t>
  </si>
  <si>
    <t>Kucha</t>
  </si>
  <si>
    <t>Kuci, Kucina, Qiuci</t>
  </si>
  <si>
    <t>c_kucha</t>
  </si>
  <si>
    <t>Aksu</t>
  </si>
  <si>
    <t>Bharuka</t>
  </si>
  <si>
    <t>c_aksu</t>
  </si>
  <si>
    <t>Kara Khoja</t>
  </si>
  <si>
    <t>Qocho, Turtam, Gaochang</t>
  </si>
  <si>
    <t>c_kara_khoja</t>
  </si>
  <si>
    <t>Loulan</t>
  </si>
  <si>
    <t>Krorän, Qroran</t>
  </si>
  <si>
    <t>c_loulan</t>
  </si>
  <si>
    <t>Dunhuang</t>
  </si>
  <si>
    <t>Dukhan</t>
  </si>
  <si>
    <t>c_dunhuang</t>
  </si>
  <si>
    <t>Luntai</t>
  </si>
  <si>
    <t>Ürümqi, Urabo</t>
  </si>
  <si>
    <t>c_luntai</t>
  </si>
  <si>
    <t>Qamil, Kunlyu, Yizhou</t>
  </si>
  <si>
    <t>c_kumul</t>
  </si>
  <si>
    <t>Ulungur</t>
  </si>
  <si>
    <t>Beshbaliq</t>
  </si>
  <si>
    <t>Mongolia</t>
  </si>
  <si>
    <t>c_altay</t>
  </si>
  <si>
    <t>Beshbalik</t>
  </si>
  <si>
    <t>c_beshbaliq</t>
  </si>
  <si>
    <t>Aj Bogd</t>
  </si>
  <si>
    <t>Barkul</t>
  </si>
  <si>
    <t>c_aj_bogd</t>
  </si>
  <si>
    <t>Western Sayan</t>
  </si>
  <si>
    <t>Altay</t>
  </si>
  <si>
    <t>c_muztau</t>
  </si>
  <si>
    <t>Zavkhan</t>
  </si>
  <si>
    <t>Gobi Altay</t>
  </si>
  <si>
    <t>c_tsagaannuur</t>
  </si>
  <si>
    <t>Ikh Bogd</t>
  </si>
  <si>
    <t>c_ikh_bogd</t>
  </si>
  <si>
    <t>Kara Khorum</t>
  </si>
  <si>
    <t>Mongol</t>
  </si>
  <si>
    <t>Ordu Baliq, Karabalgasun</t>
  </si>
  <si>
    <t>c_kara_khorum</t>
  </si>
  <si>
    <t>Khangai</t>
  </si>
  <si>
    <t>c_khangai</t>
  </si>
  <si>
    <t>Khyargas</t>
  </si>
  <si>
    <t>Uvs</t>
  </si>
  <si>
    <t>c_kyzyl</t>
  </si>
  <si>
    <t>Baygal</t>
  </si>
  <si>
    <t>c_baygal</t>
  </si>
  <si>
    <t>Ötüken</t>
  </si>
  <si>
    <t>Ötÿken</t>
  </si>
  <si>
    <t>c_otuken</t>
  </si>
  <si>
    <t>Yenisei</t>
  </si>
  <si>
    <t>c_gorgol</t>
  </si>
  <si>
    <t>Ket</t>
  </si>
  <si>
    <t>Abakan</t>
  </si>
  <si>
    <t>c_erchis</t>
  </si>
  <si>
    <t>Gilgit</t>
  </si>
  <si>
    <t>c_gilgit</t>
  </si>
  <si>
    <t>Tashkurgan</t>
  </si>
  <si>
    <t>Pamir</t>
  </si>
  <si>
    <t>Sarikol</t>
  </si>
  <si>
    <t>c_tashkurgan</t>
  </si>
  <si>
    <t>Skardu</t>
  </si>
  <si>
    <t>Zhangzhung</t>
  </si>
  <si>
    <t>c_skardu</t>
  </si>
  <si>
    <t>Diskit</t>
  </si>
  <si>
    <t>Ladakh</t>
  </si>
  <si>
    <t>Guge</t>
  </si>
  <si>
    <t>Disikete</t>
  </si>
  <si>
    <t>c_diskit</t>
  </si>
  <si>
    <t>Leh</t>
  </si>
  <si>
    <t>Lie</t>
  </si>
  <si>
    <t>c_leh</t>
  </si>
  <si>
    <t>Kangra</t>
  </si>
  <si>
    <t>Uttaranchal</t>
  </si>
  <si>
    <t>c_kangra</t>
  </si>
  <si>
    <t>Garhwal</t>
  </si>
  <si>
    <t>c_garhwal</t>
  </si>
  <si>
    <t>Kurmanchal</t>
  </si>
  <si>
    <t>c_kurmanchal</t>
  </si>
  <si>
    <t>Jumla</t>
  </si>
  <si>
    <t>Gorkha</t>
  </si>
  <si>
    <t>Nepal</t>
  </si>
  <si>
    <t>Nepali</t>
  </si>
  <si>
    <t>c_jumla</t>
  </si>
  <si>
    <t>Doti</t>
  </si>
  <si>
    <t>c_doti</t>
  </si>
  <si>
    <t>Lumbini</t>
  </si>
  <si>
    <t>Lanpini</t>
  </si>
  <si>
    <t>c_lumbini</t>
  </si>
  <si>
    <t>Pokhara</t>
  </si>
  <si>
    <t>Bokala</t>
  </si>
  <si>
    <t>c_pokhara</t>
  </si>
  <si>
    <t>Mangyul</t>
  </si>
  <si>
    <t>Shigatse</t>
  </si>
  <si>
    <t>Mangyül, Mangyu, Keruna</t>
  </si>
  <si>
    <t>c_mangyul</t>
  </si>
  <si>
    <t>Janakpur</t>
  </si>
  <si>
    <t>Kathmandu</t>
  </si>
  <si>
    <t>Jianakebu'er</t>
  </si>
  <si>
    <t>c_janakpur</t>
  </si>
  <si>
    <t>Jiademandu</t>
  </si>
  <si>
    <t>c_kathmandu</t>
  </si>
  <si>
    <t>Limbuwan</t>
  </si>
  <si>
    <t>c_limbuwan</t>
  </si>
  <si>
    <t>Sikkim</t>
  </si>
  <si>
    <t>Denzong</t>
  </si>
  <si>
    <t>c_sikkim</t>
  </si>
  <si>
    <t>Paro</t>
  </si>
  <si>
    <t>Bhutan</t>
  </si>
  <si>
    <t>c_paro</t>
  </si>
  <si>
    <t>Bumthang</t>
  </si>
  <si>
    <t>Bumutang</t>
  </si>
  <si>
    <t>c_bumthang</t>
  </si>
  <si>
    <t>Monyul</t>
  </si>
  <si>
    <t>c_monyul</t>
  </si>
  <si>
    <t>Lhoyu</t>
  </si>
  <si>
    <t>c_lhoyu</t>
  </si>
  <si>
    <t>Rutog</t>
  </si>
  <si>
    <t>Ngari</t>
  </si>
  <si>
    <t>Ritu</t>
  </si>
  <si>
    <t>c_rutog</t>
  </si>
  <si>
    <t>Tsaparang</t>
  </si>
  <si>
    <t>Purang</t>
  </si>
  <si>
    <t>c_tsaparang</t>
  </si>
  <si>
    <t>Gar</t>
  </si>
  <si>
    <t>Ga'er</t>
  </si>
  <si>
    <t>c_gar</t>
  </si>
  <si>
    <t>Pangong</t>
  </si>
  <si>
    <t>Bangong</t>
  </si>
  <si>
    <t>c_pangong</t>
  </si>
  <si>
    <t>Kunlun</t>
  </si>
  <si>
    <t>Kulung, Khöndlön</t>
  </si>
  <si>
    <t>c_kunlun</t>
  </si>
  <si>
    <t>Kyunglung</t>
  </si>
  <si>
    <t>Qulong</t>
  </si>
  <si>
    <t>c_kyunglung</t>
  </si>
  <si>
    <t>Pulan, Taklakot, Puhrang</t>
  </si>
  <si>
    <t>c_purang</t>
  </si>
  <si>
    <t>Sakya</t>
  </si>
  <si>
    <t>Sajia</t>
  </si>
  <si>
    <t>c_sakya</t>
  </si>
  <si>
    <t>Coqen</t>
  </si>
  <si>
    <t>Coqên, Cuoqin</t>
  </si>
  <si>
    <t>c_coqen</t>
  </si>
  <si>
    <t>Gerze</t>
  </si>
  <si>
    <t>Gêrzê, Gaize</t>
  </si>
  <si>
    <t>c_gerze</t>
  </si>
  <si>
    <t>Samtho</t>
  </si>
  <si>
    <t>Sumparu</t>
  </si>
  <si>
    <t>Sunpo, Hoh Xil</t>
  </si>
  <si>
    <t>c_samtho</t>
  </si>
  <si>
    <t>Taktse</t>
  </si>
  <si>
    <t>Yarlung</t>
  </si>
  <si>
    <t>Taktsé, Dazi</t>
  </si>
  <si>
    <t>c_taktse</t>
  </si>
  <si>
    <t>Gyantse</t>
  </si>
  <si>
    <t>Gyangzê, Jiangze</t>
  </si>
  <si>
    <t>c_gyantse</t>
  </si>
  <si>
    <t>Lhasa</t>
  </si>
  <si>
    <t>Lasa</t>
  </si>
  <si>
    <t>c_lhasa</t>
  </si>
  <si>
    <t>Xigazê, Rikaze</t>
  </si>
  <si>
    <t>c_shigatse</t>
  </si>
  <si>
    <t>Nyingchi</t>
  </si>
  <si>
    <t>Kham</t>
  </si>
  <si>
    <t>Linzhi</t>
  </si>
  <si>
    <t>c_nyingchi</t>
  </si>
  <si>
    <t>Nagormo</t>
  </si>
  <si>
    <t>Golmud, Ge'ermu</t>
  </si>
  <si>
    <t>c_nagormo</t>
  </si>
  <si>
    <t>Fuqi</t>
  </si>
  <si>
    <t>Qinghai</t>
  </si>
  <si>
    <t>c_fuqi</t>
  </si>
  <si>
    <t>Nangqen</t>
  </si>
  <si>
    <t>Nangqên, Nangqian</t>
  </si>
  <si>
    <t>c_nangqen</t>
  </si>
  <si>
    <t>Lingtsang</t>
  </si>
  <si>
    <t>Liangsong</t>
  </si>
  <si>
    <t>c_lingtsang</t>
  </si>
  <si>
    <t>Markam</t>
  </si>
  <si>
    <t>Dege</t>
  </si>
  <si>
    <t>Mangkang</t>
  </si>
  <si>
    <t>c_markam</t>
  </si>
  <si>
    <t>Dêgê</t>
  </si>
  <si>
    <t>c_dege</t>
  </si>
  <si>
    <t>Nyima</t>
  </si>
  <si>
    <t>Nima</t>
  </si>
  <si>
    <t>c_nyima</t>
  </si>
  <si>
    <t>Qamdo</t>
  </si>
  <si>
    <t>Changdu</t>
  </si>
  <si>
    <t>c_qamdo</t>
  </si>
  <si>
    <t>c_pamir</t>
  </si>
  <si>
    <t>c_jiuquan</t>
  </si>
  <si>
    <t>Ejin</t>
  </si>
  <si>
    <t>Juyan</t>
  </si>
  <si>
    <t>c_ejin</t>
  </si>
  <si>
    <t>Yangguan</t>
  </si>
  <si>
    <t>c_yungguan</t>
  </si>
  <si>
    <t>c_barkul</t>
  </si>
  <si>
    <t>Dünkheger</t>
  </si>
  <si>
    <t>c_dunkheger</t>
  </si>
  <si>
    <t>Kumtag</t>
  </si>
  <si>
    <t>c_kumtag</t>
  </si>
  <si>
    <t>Lop Nor</t>
  </si>
  <si>
    <t>c_lopnor</t>
  </si>
  <si>
    <t>Yüni</t>
  </si>
  <si>
    <t>c_yuni</t>
  </si>
  <si>
    <t>Mingoi</t>
  </si>
  <si>
    <t>c_mingoi</t>
  </si>
  <si>
    <t>Cadota</t>
  </si>
  <si>
    <t>c_cadota</t>
  </si>
  <si>
    <t>Keriya</t>
  </si>
  <si>
    <t>c_keriya</t>
  </si>
  <si>
    <t>Karghalik</t>
  </si>
  <si>
    <t>c_karghalik</t>
  </si>
  <si>
    <t>Yopurga</t>
  </si>
  <si>
    <t>c_yopurga</t>
  </si>
  <si>
    <t>Artux</t>
  </si>
  <si>
    <t>c_artux</t>
  </si>
  <si>
    <t>Uchturpan</t>
  </si>
  <si>
    <t>c_uchturpan</t>
  </si>
  <si>
    <t>Kubera</t>
  </si>
  <si>
    <t>c_kubera</t>
  </si>
  <si>
    <t>Dariya</t>
  </si>
  <si>
    <t>c_dariya</t>
  </si>
  <si>
    <t>Uwal</t>
  </si>
  <si>
    <t>c_uwal</t>
  </si>
  <si>
    <t>Zabid</t>
  </si>
  <si>
    <t>c_zabid</t>
  </si>
  <si>
    <t>Najran</t>
  </si>
  <si>
    <t>c_najran</t>
  </si>
  <si>
    <t>al-Ahqaf</t>
  </si>
  <si>
    <t>c_al_ahqaf</t>
  </si>
  <si>
    <t>Tihama</t>
  </si>
  <si>
    <t>c_tihama</t>
  </si>
  <si>
    <t>Khaybar</t>
  </si>
  <si>
    <t>c_khaybar</t>
  </si>
  <si>
    <t>Maragha</t>
  </si>
  <si>
    <t>c_maragha</t>
  </si>
  <si>
    <t>Badghis</t>
  </si>
  <si>
    <t>c_badghis</t>
  </si>
  <si>
    <t>Kanj Rustaq</t>
  </si>
  <si>
    <t>c_kanj_rustaq</t>
  </si>
  <si>
    <t>Guzgan</t>
  </si>
  <si>
    <t>c_guzgan</t>
  </si>
  <si>
    <t>Amol</t>
  </si>
  <si>
    <t>c_amol</t>
  </si>
  <si>
    <t>Sarakhs</t>
  </si>
  <si>
    <t>c_sarakhs</t>
  </si>
  <si>
    <t>Vakhan</t>
  </si>
  <si>
    <t>c_vakhan</t>
  </si>
  <si>
    <t>Chaghaniyan</t>
  </si>
  <si>
    <t>c_chaghaniyan</t>
  </si>
  <si>
    <t>Nakhshab</t>
  </si>
  <si>
    <t>c_nakhshab</t>
  </si>
  <si>
    <t>Khojand</t>
  </si>
  <si>
    <t>c_khojand</t>
  </si>
  <si>
    <t>Badakhshan</t>
  </si>
  <si>
    <t>c_badakhshan</t>
  </si>
  <si>
    <t>Khaylam</t>
  </si>
  <si>
    <t>c_khaylam</t>
  </si>
  <si>
    <t>Lhatok</t>
  </si>
  <si>
    <t>Laduo</t>
  </si>
  <si>
    <t>c_lhatok</t>
  </si>
  <si>
    <t>Mustang</t>
  </si>
  <si>
    <t>Manthang, Yangtang</t>
  </si>
  <si>
    <t>c_mustang</t>
  </si>
  <si>
    <t>Lhunze</t>
  </si>
  <si>
    <t>Lhünzê, Longzi</t>
  </si>
  <si>
    <t>c_lhunze</t>
  </si>
  <si>
    <t>Bome</t>
  </si>
  <si>
    <t>Bomê, Bomi</t>
  </si>
  <si>
    <t>c_bome</t>
  </si>
  <si>
    <t>Banbar</t>
  </si>
  <si>
    <t>Bianba</t>
  </si>
  <si>
    <t>c_banbar</t>
  </si>
  <si>
    <t>Medog</t>
  </si>
  <si>
    <t>Mêdog, Motuo</t>
  </si>
  <si>
    <t>c_medog</t>
  </si>
  <si>
    <t>Lhunzhub</t>
  </si>
  <si>
    <t>Lhünzhub, Linzhou</t>
  </si>
  <si>
    <t>c_lhunzhub</t>
  </si>
  <si>
    <t>Kunggar</t>
  </si>
  <si>
    <t>Gongka</t>
  </si>
  <si>
    <t>c_kunggar</t>
  </si>
  <si>
    <t>Amdo</t>
  </si>
  <si>
    <t>Anduo</t>
  </si>
  <si>
    <t>c_amdo</t>
  </si>
  <si>
    <t>Xainza</t>
  </si>
  <si>
    <t>Shenzha</t>
  </si>
  <si>
    <t>c_xainza</t>
  </si>
  <si>
    <t>Ogliastra</t>
  </si>
  <si>
    <t>c_ogliastra</t>
  </si>
  <si>
    <t>Lhatse</t>
  </si>
  <si>
    <t>Lhazê, Lazi</t>
  </si>
  <si>
    <t>c_lhatse</t>
  </si>
  <si>
    <t>Zhongba</t>
  </si>
  <si>
    <t>c_zhongba</t>
  </si>
  <si>
    <t>Gegyai</t>
  </si>
  <si>
    <t>Gê'gyai, Geji</t>
  </si>
  <si>
    <t>c_gegyai</t>
  </si>
  <si>
    <t>Qangtang</t>
  </si>
  <si>
    <t>Changtang</t>
  </si>
  <si>
    <t>c_qangtang</t>
  </si>
  <si>
    <t>Tsakha</t>
  </si>
  <si>
    <t>Caka</t>
  </si>
  <si>
    <t>c_tsakha</t>
  </si>
  <si>
    <t>Gyesar</t>
  </si>
  <si>
    <t>Gyêsar, Jiesa</t>
  </si>
  <si>
    <t>c_gyesar</t>
  </si>
  <si>
    <t>Mainling</t>
  </si>
  <si>
    <t>Milin</t>
  </si>
  <si>
    <t>c_mainling</t>
  </si>
  <si>
    <t>Yumen</t>
  </si>
  <si>
    <t>c_yumen</t>
  </si>
  <si>
    <t>Delingha</t>
  </si>
  <si>
    <t>Dêrlênka, Delhi</t>
  </si>
  <si>
    <t>c_delingha</t>
  </si>
  <si>
    <t>Qaidam</t>
  </si>
  <si>
    <t>Chaidan, Cheba'i, Tsaydmyn</t>
  </si>
  <si>
    <t>c_qaidam</t>
  </si>
  <si>
    <t>Lenghu</t>
  </si>
  <si>
    <t>Lenghu'u, Lyenkhyn</t>
  </si>
  <si>
    <t>c_lenghu</t>
  </si>
  <si>
    <t>Arjin</t>
  </si>
  <si>
    <t>A'erjin, Altyn, Altun</t>
  </si>
  <si>
    <t>c_arjin</t>
  </si>
  <si>
    <t>Tanggula</t>
  </si>
  <si>
    <t>Dangla</t>
  </si>
  <si>
    <t>c_tanggula</t>
  </si>
  <si>
    <t>Gallura</t>
  </si>
  <si>
    <t>c_gallura</t>
  </si>
  <si>
    <t>Zadoi</t>
  </si>
  <si>
    <t>Zaduo</t>
  </si>
  <si>
    <t>c_zadoi</t>
  </si>
  <si>
    <t>Torres</t>
  </si>
  <si>
    <t>Logudoro</t>
  </si>
  <si>
    <t>c_torres</t>
  </si>
  <si>
    <t>Cinarca</t>
  </si>
  <si>
    <t>c_cinarca</t>
  </si>
  <si>
    <t>Dulan</t>
  </si>
  <si>
    <t>c_dulan</t>
  </si>
  <si>
    <t>Nedong</t>
  </si>
  <si>
    <t>Nêdong, Naidong</t>
  </si>
  <si>
    <t>c_nedong</t>
  </si>
  <si>
    <t>Dobrzyn</t>
  </si>
  <si>
    <t>c_dobrzynska</t>
  </si>
  <si>
    <t>Sieradz</t>
  </si>
  <si>
    <t>c_sieradzka</t>
  </si>
  <si>
    <t>Lomza</t>
  </si>
  <si>
    <t>Lomzynska</t>
  </si>
  <si>
    <t>c_lomzynska</t>
  </si>
  <si>
    <t>Lublin</t>
  </si>
  <si>
    <t>Lubelska</t>
  </si>
  <si>
    <t>c_lubelska</t>
  </si>
  <si>
    <t>Stezyca</t>
  </si>
  <si>
    <t>c_stezycka</t>
  </si>
  <si>
    <t>Wielun</t>
  </si>
  <si>
    <t>Wielunska</t>
  </si>
  <si>
    <t>c_wielunska</t>
  </si>
  <si>
    <t>Bytow</t>
  </si>
  <si>
    <t>Pommeranian</t>
  </si>
  <si>
    <t>c_bytow</t>
  </si>
  <si>
    <t>Neumark</t>
  </si>
  <si>
    <t>c_neumark</t>
  </si>
  <si>
    <t>Gorlitz</t>
  </si>
  <si>
    <t>c_gorlitz</t>
  </si>
  <si>
    <t>Nalsia</t>
  </si>
  <si>
    <t>c_nalsia</t>
  </si>
  <si>
    <t>Selija</t>
  </si>
  <si>
    <t>c_selija</t>
  </si>
  <si>
    <t>Tukums</t>
  </si>
  <si>
    <t>c_tukums</t>
  </si>
  <si>
    <t>Vanema</t>
  </si>
  <si>
    <t>c_vanema</t>
  </si>
  <si>
    <t>Jersika</t>
  </si>
  <si>
    <t>c_jersika</t>
  </si>
  <si>
    <t>Talava</t>
  </si>
  <si>
    <t>c_talava</t>
  </si>
  <si>
    <t>c_riga</t>
  </si>
  <si>
    <t>Deltuva</t>
  </si>
  <si>
    <t>c_deltuva</t>
  </si>
  <si>
    <t>Järva</t>
  </si>
  <si>
    <t>c_jarva</t>
  </si>
  <si>
    <t>Joensuu</t>
  </si>
  <si>
    <t>Savonia</t>
  </si>
  <si>
    <t>c_joensuu</t>
  </si>
  <si>
    <t>Oulu</t>
  </si>
  <si>
    <t>Pohjanmaa</t>
  </si>
  <si>
    <t>c_oulu</t>
  </si>
  <si>
    <t>Kainuu</t>
  </si>
  <si>
    <t>c_kajaani</t>
  </si>
  <si>
    <t>Sortavala</t>
  </si>
  <si>
    <t>c_sortavala</t>
  </si>
  <si>
    <t>Pomorye</t>
  </si>
  <si>
    <t>c_east_karelia</t>
  </si>
  <si>
    <t>Rovaniemi</t>
  </si>
  <si>
    <t>c_rovaniemi</t>
  </si>
  <si>
    <t>Kallavesi</t>
  </si>
  <si>
    <t>c_kuopio</t>
  </si>
  <si>
    <t>Karjaa</t>
  </si>
  <si>
    <t>c_siuntio</t>
  </si>
  <si>
    <t>Keitele</t>
  </si>
  <si>
    <t>c_laukaa</t>
  </si>
  <si>
    <t>Montbéliard</t>
  </si>
  <si>
    <t>c_montbeliard</t>
  </si>
  <si>
    <t>Vesoul</t>
  </si>
  <si>
    <t>c_vesoul</t>
  </si>
  <si>
    <t>Aosta</t>
  </si>
  <si>
    <t>c_aosta</t>
  </si>
  <si>
    <t>Vaud</t>
  </si>
  <si>
    <t>Upper Burgundy</t>
  </si>
  <si>
    <t>c_vaud</t>
  </si>
  <si>
    <t>Bellinzona</t>
  </si>
  <si>
    <t>c_leventina</t>
  </si>
  <si>
    <t>Bolzano</t>
  </si>
  <si>
    <t>c_bolzano</t>
  </si>
  <si>
    <t>Escuens</t>
  </si>
  <si>
    <t>c_escuens</t>
  </si>
  <si>
    <t>Amous</t>
  </si>
  <si>
    <t>c_amous</t>
  </si>
  <si>
    <t>Norðland</t>
  </si>
  <si>
    <t>c_nordlendingafjordungur</t>
  </si>
  <si>
    <t>Suðurland</t>
  </si>
  <si>
    <t>c_sunnlendingafjordungur</t>
  </si>
  <si>
    <t>Romerike</t>
  </si>
  <si>
    <t>Oppland</t>
  </si>
  <si>
    <t>c_romerike</t>
  </si>
  <si>
    <t>Gudbrandsdalen</t>
  </si>
  <si>
    <t>c_gudbrandsdal</t>
  </si>
  <si>
    <t>Romsdal</t>
  </si>
  <si>
    <t>c_romsdal</t>
  </si>
  <si>
    <t>Sunnmøre</t>
  </si>
  <si>
    <t>c_sunnmore</t>
  </si>
  <si>
    <t>Førde</t>
  </si>
  <si>
    <t>c_forde</t>
  </si>
  <si>
    <t>Sogn</t>
  </si>
  <si>
    <t>c_sogn</t>
  </si>
  <si>
    <t>Zaslav</t>
  </si>
  <si>
    <t>c_zaslav</t>
  </si>
  <si>
    <t>Belz</t>
  </si>
  <si>
    <t>Red Ruthenia</t>
  </si>
  <si>
    <t>c_belz</t>
  </si>
  <si>
    <t>Lutsk</t>
  </si>
  <si>
    <t>c_lutsk</t>
  </si>
  <si>
    <t>Novosil</t>
  </si>
  <si>
    <t>c_novosil</t>
  </si>
  <si>
    <t>Cherven</t>
  </si>
  <si>
    <t>c_cherven</t>
  </si>
  <si>
    <t>Zvenyhorod</t>
  </si>
  <si>
    <t>c_zvenyhorod</t>
  </si>
  <si>
    <t>Ushytsia</t>
  </si>
  <si>
    <t>c_ushytsia</t>
  </si>
  <si>
    <t>Iasi</t>
  </si>
  <si>
    <t>c_iasi</t>
  </si>
  <si>
    <t>Bacau</t>
  </si>
  <si>
    <t>c_bacau</t>
  </si>
  <si>
    <t>Chilia</t>
  </si>
  <si>
    <t>Bloghar</t>
  </si>
  <si>
    <t>c_chilia</t>
  </si>
  <si>
    <t>Bratslav</t>
  </si>
  <si>
    <t>c_bratslav</t>
  </si>
  <si>
    <t>Calarasi</t>
  </si>
  <si>
    <t>Romanian</t>
  </si>
  <si>
    <t>c_calarasi</t>
  </si>
  <si>
    <t>Craiova</t>
  </si>
  <si>
    <t>Oltenia</t>
  </si>
  <si>
    <t>c_craiova</t>
  </si>
  <si>
    <t>Câmpulung</t>
  </si>
  <si>
    <t>Targu Jiu</t>
  </si>
  <si>
    <t>c_targu_jiu</t>
  </si>
  <si>
    <t>Odessa</t>
  </si>
  <si>
    <t>c_odessa</t>
  </si>
  <si>
    <t>Vinnytsia</t>
  </si>
  <si>
    <t>c_vinnytsia</t>
  </si>
  <si>
    <t>Medjybij</t>
  </si>
  <si>
    <t>c_medjybij</t>
  </si>
  <si>
    <t>Korosten</t>
  </si>
  <si>
    <t>c_korosten</t>
  </si>
  <si>
    <t>Vorotynsk</t>
  </si>
  <si>
    <t>c_vorotynsk</t>
  </si>
  <si>
    <t>Vozviahel</t>
  </si>
  <si>
    <t>c_vozviahel</t>
  </si>
  <si>
    <t>Borovichi</t>
  </si>
  <si>
    <t>c_borovichi</t>
  </si>
  <si>
    <t>Slutsk</t>
  </si>
  <si>
    <t>c_slutsk</t>
  </si>
  <si>
    <t>Novogrodek</t>
  </si>
  <si>
    <t>c_novogrodek</t>
  </si>
  <si>
    <t>Volkovysk</t>
  </si>
  <si>
    <t>c_volkovysk</t>
  </si>
  <si>
    <t>Starodub</t>
  </si>
  <si>
    <t>c_starodub</t>
  </si>
  <si>
    <t>Voin</t>
  </si>
  <si>
    <t>c_voin</t>
  </si>
  <si>
    <t>Hradyzk</t>
  </si>
  <si>
    <t>c_hradyzk</t>
  </si>
  <si>
    <t>Drutsk</t>
  </si>
  <si>
    <t>c_drutsk</t>
  </si>
  <si>
    <t>Chlisselbourg</t>
  </si>
  <si>
    <t>c_chlisselbourg</t>
  </si>
  <si>
    <t>Gdov</t>
  </si>
  <si>
    <t>c_gdov</t>
  </si>
  <si>
    <t>Rusa</t>
  </si>
  <si>
    <t>c_rusa</t>
  </si>
  <si>
    <t>Izborsk</t>
  </si>
  <si>
    <t>c_izborsk</t>
  </si>
  <si>
    <t>Tikhvine</t>
  </si>
  <si>
    <t>c_tikhvine</t>
  </si>
  <si>
    <t>Yelets</t>
  </si>
  <si>
    <t>c_yelets</t>
  </si>
  <si>
    <t>Karachev</t>
  </si>
  <si>
    <t>c_karachev</t>
  </si>
  <si>
    <t>Kholm</t>
  </si>
  <si>
    <t>c_kholm</t>
  </si>
  <si>
    <t>Rzheva</t>
  </si>
  <si>
    <t>c_rzheva</t>
  </si>
  <si>
    <t>Kashin</t>
  </si>
  <si>
    <t>c_kashin</t>
  </si>
  <si>
    <t>Bezichy</t>
  </si>
  <si>
    <t>c_bezichy</t>
  </si>
  <si>
    <t>Rylsk</t>
  </si>
  <si>
    <t>c_rylsk</t>
  </si>
  <si>
    <t>Zubtsov</t>
  </si>
  <si>
    <t>c_zoubtsov</t>
  </si>
  <si>
    <t>Priluk</t>
  </si>
  <si>
    <t>c_priluk</t>
  </si>
  <si>
    <t>Kromy</t>
  </si>
  <si>
    <t>c_kromy</t>
  </si>
  <si>
    <t>Naro-Fominsk</t>
  </si>
  <si>
    <t>c_naro-fominsk</t>
  </si>
  <si>
    <t>Orekhovo-Zuyevo</t>
  </si>
  <si>
    <t>c_orekhovo-zouievo</t>
  </si>
  <si>
    <t>Serpukhov</t>
  </si>
  <si>
    <t>c_serpukhov</t>
  </si>
  <si>
    <t>Yuryev</t>
  </si>
  <si>
    <t>c_yuryev</t>
  </si>
  <si>
    <t>Kursk</t>
  </si>
  <si>
    <t>c_kursk</t>
  </si>
  <si>
    <t>Kozelsk</t>
  </si>
  <si>
    <t>c_kozelsk</t>
  </si>
  <si>
    <t>Varde</t>
  </si>
  <si>
    <t>c_hardsyssel</t>
  </si>
  <si>
    <t>Aarhus</t>
  </si>
  <si>
    <t>c_abosyssel</t>
  </si>
  <si>
    <t>Aalborg</t>
  </si>
  <si>
    <t>c_himmersyssel</t>
  </si>
  <si>
    <t>Lolland</t>
  </si>
  <si>
    <t>Sjaelland</t>
  </si>
  <si>
    <t>c_lolland</t>
  </si>
  <si>
    <t>Dithmarschen</t>
  </si>
  <si>
    <t>c_dithmarschen</t>
  </si>
  <si>
    <t>Pongau</t>
  </si>
  <si>
    <t>c_pongau</t>
  </si>
  <si>
    <t>Traungau</t>
  </si>
  <si>
    <t>c_traungau</t>
  </si>
  <si>
    <t>Pettau</t>
  </si>
  <si>
    <t>c_pettau</t>
  </si>
  <si>
    <t>Eppenstein</t>
  </si>
  <si>
    <t>Styria</t>
  </si>
  <si>
    <t>c_leoben</t>
  </si>
  <si>
    <t>Graz</t>
  </si>
  <si>
    <t>c_graz</t>
  </si>
  <si>
    <t>Pitten</t>
  </si>
  <si>
    <t>Slovieni</t>
  </si>
  <si>
    <t>c_pitten</t>
  </si>
  <si>
    <t>Udine</t>
  </si>
  <si>
    <t>c_udine</t>
  </si>
  <si>
    <t>Friesach</t>
  </si>
  <si>
    <t>c_friesach</t>
  </si>
  <si>
    <t>Chremis</t>
  </si>
  <si>
    <t>c_krems</t>
  </si>
  <si>
    <t>Freistadt</t>
  </si>
  <si>
    <t>c_freistadt</t>
  </si>
  <si>
    <t>Medelike</t>
  </si>
  <si>
    <t>c_medelike</t>
  </si>
  <si>
    <t>Regensburg</t>
  </si>
  <si>
    <t>c_regensburg</t>
  </si>
  <si>
    <t>Vista</t>
  </si>
  <si>
    <t>Östergötland</t>
  </si>
  <si>
    <t>c_vista</t>
  </si>
  <si>
    <t>Finnveden</t>
  </si>
  <si>
    <t>c_finnveden</t>
  </si>
  <si>
    <t>Njudung</t>
  </si>
  <si>
    <t>c_njudung</t>
  </si>
  <si>
    <t>Sevede</t>
  </si>
  <si>
    <t>Smáland</t>
  </si>
  <si>
    <t>c_sevede</t>
  </si>
  <si>
    <t>Kinda</t>
  </si>
  <si>
    <t>c_kinda</t>
  </si>
  <si>
    <t>Skara</t>
  </si>
  <si>
    <t>Västergötland</t>
  </si>
  <si>
    <t>c_skara</t>
  </si>
  <si>
    <t>Chieti</t>
  </si>
  <si>
    <t>c_chieti</t>
  </si>
  <si>
    <t>Perugia</t>
  </si>
  <si>
    <t>c_perugia</t>
  </si>
  <si>
    <t>Como</t>
  </si>
  <si>
    <t>c_como</t>
  </si>
  <si>
    <t>Ivrea</t>
  </si>
  <si>
    <t>c_ivrea</t>
  </si>
  <si>
    <t>Rimini</t>
  </si>
  <si>
    <t>c_rimini</t>
  </si>
  <si>
    <t>Catanzaro</t>
  </si>
  <si>
    <t>c_catanzaro</t>
  </si>
  <si>
    <t>Arezzo</t>
  </si>
  <si>
    <t>c_arezzo</t>
  </si>
  <si>
    <t>Noli</t>
  </si>
  <si>
    <t>c_noli</t>
  </si>
  <si>
    <t>Vetluga</t>
  </si>
  <si>
    <t>c_vetluga</t>
  </si>
  <si>
    <t>Kremenchuk</t>
  </si>
  <si>
    <t>c_kremenchuk</t>
  </si>
  <si>
    <t>Alabuga</t>
  </si>
  <si>
    <t>c_alabuga</t>
  </si>
  <si>
    <t>Khlynov</t>
  </si>
  <si>
    <t>c_khlynov</t>
  </si>
  <si>
    <t>Udmurts</t>
  </si>
  <si>
    <t>c_udmurts</t>
  </si>
  <si>
    <t>Kudymkar</t>
  </si>
  <si>
    <t>c_kudymkar</t>
  </si>
  <si>
    <t>Ajadabiya</t>
  </si>
  <si>
    <t>c_ajadabiya</t>
  </si>
  <si>
    <t>Tadjrift</t>
  </si>
  <si>
    <t>c_tadjrift</t>
  </si>
  <si>
    <t>Nafusa</t>
  </si>
  <si>
    <t>c_nafusa</t>
  </si>
  <si>
    <t>Nalut</t>
  </si>
  <si>
    <t>c_nalut</t>
  </si>
  <si>
    <t>Suf</t>
  </si>
  <si>
    <t>Jerid</t>
  </si>
  <si>
    <t>c_suf</t>
  </si>
  <si>
    <t>Gafsa</t>
  </si>
  <si>
    <t>c_gafsa</t>
  </si>
  <si>
    <t>Arigh</t>
  </si>
  <si>
    <t>Mzab</t>
  </si>
  <si>
    <t>c_arigh</t>
  </si>
  <si>
    <t>Tébessa</t>
  </si>
  <si>
    <t>c_tebessa</t>
  </si>
  <si>
    <t>Tuggurt</t>
  </si>
  <si>
    <t>c_tuggurt</t>
  </si>
  <si>
    <t>Murzuk</t>
  </si>
  <si>
    <t>Fezzan</t>
  </si>
  <si>
    <t>Kanem</t>
  </si>
  <si>
    <t>Kanem-Bornu</t>
  </si>
  <si>
    <t>c_murzuk</t>
  </si>
  <si>
    <t>Zawila</t>
  </si>
  <si>
    <t>c_zawila</t>
  </si>
  <si>
    <t>Djado</t>
  </si>
  <si>
    <t>c_djado</t>
  </si>
  <si>
    <t>Muluja</t>
  </si>
  <si>
    <t>c_muluja</t>
  </si>
  <si>
    <t>Ashir</t>
  </si>
  <si>
    <t>c_ashir</t>
  </si>
  <si>
    <t>Bilma</t>
  </si>
  <si>
    <t>c_bilma</t>
  </si>
  <si>
    <t>Manan</t>
  </si>
  <si>
    <t>Kanuri</t>
  </si>
  <si>
    <t>c_manan</t>
  </si>
  <si>
    <t>Fachi</t>
  </si>
  <si>
    <t>Air</t>
  </si>
  <si>
    <t>Hausaland</t>
  </si>
  <si>
    <t>c_fachi</t>
  </si>
  <si>
    <t>c_air</t>
  </si>
  <si>
    <t>Djimi</t>
  </si>
  <si>
    <t>Zaghawa</t>
  </si>
  <si>
    <t>c_djimi</t>
  </si>
  <si>
    <t>Masseniya</t>
  </si>
  <si>
    <t>Bornu</t>
  </si>
  <si>
    <t>c_masseniya</t>
  </si>
  <si>
    <t>Makari</t>
  </si>
  <si>
    <t>c_makari</t>
  </si>
  <si>
    <t>Kagha</t>
  </si>
  <si>
    <t>c_kagha</t>
  </si>
  <si>
    <t>c_bornu</t>
  </si>
  <si>
    <t>Munio</t>
  </si>
  <si>
    <t>c_munio</t>
  </si>
  <si>
    <t>Bauchi</t>
  </si>
  <si>
    <t>c_bauchi</t>
  </si>
  <si>
    <t>Kano</t>
  </si>
  <si>
    <t>Hausa</t>
  </si>
  <si>
    <t>c_kano</t>
  </si>
  <si>
    <t>Daura</t>
  </si>
  <si>
    <t>c_daura</t>
  </si>
  <si>
    <t>Gobir</t>
  </si>
  <si>
    <t>c_gobir</t>
  </si>
  <si>
    <t>Tahoua</t>
  </si>
  <si>
    <t>Kebbi</t>
  </si>
  <si>
    <t>c_tahoua</t>
  </si>
  <si>
    <t>Zamfara</t>
  </si>
  <si>
    <t>c_zamfara</t>
  </si>
  <si>
    <t>Katsina</t>
  </si>
  <si>
    <t>c_katsina</t>
  </si>
  <si>
    <t>c_kebbi</t>
  </si>
  <si>
    <t>Dyamare</t>
  </si>
  <si>
    <t>c_dyamare</t>
  </si>
  <si>
    <t>c_songhay</t>
  </si>
  <si>
    <t>Dendi</t>
  </si>
  <si>
    <t>c_dendi</t>
  </si>
  <si>
    <t>Kurumba</t>
  </si>
  <si>
    <t>c_kurumba</t>
  </si>
  <si>
    <t>Yatenga</t>
  </si>
  <si>
    <t>c_yatenga</t>
  </si>
  <si>
    <t>Bobo Dyulasso</t>
  </si>
  <si>
    <t>c_bobo_dyulasso</t>
  </si>
  <si>
    <t>Wagadougou</t>
  </si>
  <si>
    <t>c_wagadougou</t>
  </si>
  <si>
    <t>Kiri</t>
  </si>
  <si>
    <t>c_kiri</t>
  </si>
  <si>
    <t>Bure</t>
  </si>
  <si>
    <t>c_bure</t>
  </si>
  <si>
    <t>Tagant</t>
  </si>
  <si>
    <t>c_tagant</t>
  </si>
  <si>
    <t>Dodugu</t>
  </si>
  <si>
    <t>c_dodugu</t>
  </si>
  <si>
    <t>Diafunu</t>
  </si>
  <si>
    <t>c_diafunu</t>
  </si>
  <si>
    <t>Kantor</t>
  </si>
  <si>
    <t>c_kantor</t>
  </si>
  <si>
    <t>Mema</t>
  </si>
  <si>
    <t>c_mema</t>
  </si>
  <si>
    <t>Fitri</t>
  </si>
  <si>
    <t>Wadai</t>
  </si>
  <si>
    <t>c_fitri</t>
  </si>
  <si>
    <t>Daju</t>
  </si>
  <si>
    <t>c_wadai</t>
  </si>
  <si>
    <t>Ennedi</t>
  </si>
  <si>
    <t>c_ennedi</t>
  </si>
  <si>
    <t>Darfur</t>
  </si>
  <si>
    <t>c_darfur</t>
  </si>
  <si>
    <t>Taza</t>
  </si>
  <si>
    <t>c_taza</t>
  </si>
  <si>
    <t>Meknes</t>
  </si>
  <si>
    <t>c_meknes</t>
  </si>
  <si>
    <t>Tudgha</t>
  </si>
  <si>
    <t>c_tudgha</t>
  </si>
  <si>
    <t>Warzazat</t>
  </si>
  <si>
    <t>Shiite</t>
  </si>
  <si>
    <t>c_warzazat</t>
  </si>
  <si>
    <t>Tadla</t>
  </si>
  <si>
    <t>c_tadla</t>
  </si>
  <si>
    <t>Tinmallal</t>
  </si>
  <si>
    <t>c_tinmallal</t>
  </si>
  <si>
    <t>Draa</t>
  </si>
  <si>
    <t>c_draa</t>
  </si>
  <si>
    <t>Ziz</t>
  </si>
  <si>
    <t>c_ziz</t>
  </si>
  <si>
    <t>al-Qusair</t>
  </si>
  <si>
    <t>c_alqusair</t>
  </si>
  <si>
    <t>Kharga</t>
  </si>
  <si>
    <t>c_kharga</t>
  </si>
  <si>
    <t>Buzachi</t>
  </si>
  <si>
    <t>c_buzachi</t>
  </si>
  <si>
    <t>Kara Bogaz</t>
  </si>
  <si>
    <t>c_kara_bogaz</t>
  </si>
  <si>
    <t>Kyzyl Su</t>
  </si>
  <si>
    <t>c_kyzyl-su</t>
  </si>
  <si>
    <t>Urgench</t>
  </si>
  <si>
    <t>c_gurganj</t>
  </si>
  <si>
    <t>Kusbulak</t>
  </si>
  <si>
    <t>c_kusbulak</t>
  </si>
  <si>
    <t>Emba Steppe</t>
  </si>
  <si>
    <t>c_emba</t>
  </si>
  <si>
    <t>Yangikent</t>
  </si>
  <si>
    <t>c_yangikent</t>
  </si>
  <si>
    <t>Talas</t>
  </si>
  <si>
    <t>c_talas</t>
  </si>
  <si>
    <t>Barskhan</t>
  </si>
  <si>
    <t>c_barskhan</t>
  </si>
  <si>
    <t>Almaty</t>
  </si>
  <si>
    <t>c_almaty</t>
  </si>
  <si>
    <t>Almaliq</t>
  </si>
  <si>
    <t>c_almaliq</t>
  </si>
  <si>
    <t>Qayaliq</t>
  </si>
  <si>
    <t>c_qayaliq</t>
  </si>
  <si>
    <t>Balanjar</t>
  </si>
  <si>
    <t>c_balanjar</t>
  </si>
  <si>
    <t>Egrisi</t>
  </si>
  <si>
    <t>c_egrisi</t>
  </si>
  <si>
    <t>Klarjeti</t>
  </si>
  <si>
    <t>c_klarjeti</t>
  </si>
  <si>
    <t>Mtshketa</t>
  </si>
  <si>
    <t>c_mtskheta</t>
  </si>
  <si>
    <t>Durdzukia</t>
  </si>
  <si>
    <t>c_durdzukia</t>
  </si>
  <si>
    <t>Terek</t>
  </si>
  <si>
    <t>Caspian Steppe</t>
  </si>
  <si>
    <t>c_terek</t>
  </si>
  <si>
    <t>Kalaus</t>
  </si>
  <si>
    <t>c_kalaus</t>
  </si>
  <si>
    <t>Saqsin</t>
  </si>
  <si>
    <t>c_saqsin</t>
  </si>
  <si>
    <t>Ryn</t>
  </si>
  <si>
    <t>c_ryn</t>
  </si>
  <si>
    <t>Uvek</t>
  </si>
  <si>
    <t>c_uvek</t>
  </si>
  <si>
    <t>Yeruslan</t>
  </si>
  <si>
    <t>c_yeruslan</t>
  </si>
  <si>
    <t>Belaya</t>
  </si>
  <si>
    <t>c_belaya</t>
  </si>
  <si>
    <t>Syktyvkar</t>
  </si>
  <si>
    <t>Samoyed</t>
  </si>
  <si>
    <t>c_syktyvkar</t>
  </si>
  <si>
    <t>Viled</t>
  </si>
  <si>
    <t>c_bolshaya</t>
  </si>
  <si>
    <t>c_kargopol</t>
  </si>
  <si>
    <t>Kanin</t>
  </si>
  <si>
    <t>c_kanin</t>
  </si>
  <si>
    <t>Onega Peninsula</t>
  </si>
  <si>
    <t>Bjharmia</t>
  </si>
  <si>
    <t>c_onega_peninsula</t>
  </si>
  <si>
    <t>Kuloy</t>
  </si>
  <si>
    <t>c_pinega</t>
  </si>
  <si>
    <t>c_mezen</t>
  </si>
  <si>
    <t>Pinega</t>
  </si>
  <si>
    <t>c_yezhuga</t>
  </si>
  <si>
    <t>Vashka</t>
  </si>
  <si>
    <t>c_vashka</t>
  </si>
  <si>
    <t>c_velsk</t>
  </si>
  <si>
    <t>Lyzha</t>
  </si>
  <si>
    <t>c_lyzha</t>
  </si>
  <si>
    <t>Zavarot</t>
  </si>
  <si>
    <t>c_zavarot</t>
  </si>
  <si>
    <t>Kolguyev</t>
  </si>
  <si>
    <t>c_kolguyev</t>
  </si>
  <si>
    <t>Indiga</t>
  </si>
  <si>
    <t>c_soyma</t>
  </si>
  <si>
    <t>Koshma</t>
  </si>
  <si>
    <t>Pechora</t>
  </si>
  <si>
    <t>c_koshma</t>
  </si>
  <si>
    <t>Tobysh</t>
  </si>
  <si>
    <t>c_tobysh</t>
  </si>
  <si>
    <t>Tsilma</t>
  </si>
  <si>
    <t>c_tsilma</t>
  </si>
  <si>
    <t>Kozhva</t>
  </si>
  <si>
    <t>c_kozhva</t>
  </si>
  <si>
    <t>Izhma</t>
  </si>
  <si>
    <t>c_izhma</t>
  </si>
  <si>
    <t>Vel</t>
  </si>
  <si>
    <t>c_vel</t>
  </si>
  <si>
    <t>Severnaya</t>
  </si>
  <si>
    <t>c_severnaya</t>
  </si>
  <si>
    <t>Vychegda</t>
  </si>
  <si>
    <t>Zyriane</t>
  </si>
  <si>
    <t>c_vychegda</t>
  </si>
  <si>
    <t>Vym</t>
  </si>
  <si>
    <t>c_yolva</t>
  </si>
  <si>
    <t>Sedyu</t>
  </si>
  <si>
    <t>c_sedyu</t>
  </si>
  <si>
    <t>Kolva</t>
  </si>
  <si>
    <t>c_kolva</t>
  </si>
  <si>
    <t>Keltma</t>
  </si>
  <si>
    <t>c_keltma</t>
  </si>
  <si>
    <t>Thisageta</t>
  </si>
  <si>
    <t>c_thisageta</t>
  </si>
  <si>
    <t>Vishera</t>
  </si>
  <si>
    <t>c_vishera</t>
  </si>
  <si>
    <t>Tynea</t>
  </si>
  <si>
    <t>c_tynea</t>
  </si>
  <si>
    <t>Sakmara</t>
  </si>
  <si>
    <t>c_sakmara</t>
  </si>
  <si>
    <t>Irtek</t>
  </si>
  <si>
    <t>c_irtek</t>
  </si>
  <si>
    <t>Or</t>
  </si>
  <si>
    <t>c_or</t>
  </si>
  <si>
    <t>Mughalzhar</t>
  </si>
  <si>
    <t>c_mughalzhar</t>
  </si>
  <si>
    <t>Utva</t>
  </si>
  <si>
    <t>c_utva</t>
  </si>
  <si>
    <t>Magnitaya</t>
  </si>
  <si>
    <t>c_magnitaya</t>
  </si>
  <si>
    <t>Kartaly-Ayat</t>
  </si>
  <si>
    <t>Ubagan</t>
  </si>
  <si>
    <t>c_kartaly</t>
  </si>
  <si>
    <t>c_ubagan</t>
  </si>
  <si>
    <t>Miass</t>
  </si>
  <si>
    <t>c_miass</t>
  </si>
  <si>
    <t>Tavda</t>
  </si>
  <si>
    <t>c_tavda</t>
  </si>
  <si>
    <t>Bolshoy Yugan</t>
  </si>
  <si>
    <t>Vasyugan</t>
  </si>
  <si>
    <t>c_bolshoy</t>
  </si>
  <si>
    <t>c_vasyugan</t>
  </si>
  <si>
    <t>c_om</t>
  </si>
  <si>
    <t>Tara</t>
  </si>
  <si>
    <t>c_tara</t>
  </si>
  <si>
    <t>Vagay</t>
  </si>
  <si>
    <t>c_vagay</t>
  </si>
  <si>
    <t>Osha</t>
  </si>
  <si>
    <t>c_osha</t>
  </si>
  <si>
    <t>Tui</t>
  </si>
  <si>
    <t>c_tui</t>
  </si>
  <si>
    <t>Shish</t>
  </si>
  <si>
    <t>c_shish</t>
  </si>
  <si>
    <t>Betpaqdala</t>
  </si>
  <si>
    <t>Khazakh</t>
  </si>
  <si>
    <t>Manichaean</t>
  </si>
  <si>
    <t>c_betpaqdala</t>
  </si>
  <si>
    <t>Sarysu</t>
  </si>
  <si>
    <t>c_sarysu</t>
  </si>
  <si>
    <t>Irgiz</t>
  </si>
  <si>
    <t>c_irgiz</t>
  </si>
  <si>
    <t>Boqtybay</t>
  </si>
  <si>
    <t>c_boqtybay</t>
  </si>
  <si>
    <t>Katun</t>
  </si>
  <si>
    <t>c_katun</t>
  </si>
  <si>
    <t>Zaysan</t>
  </si>
  <si>
    <t>c_zaysan</t>
  </si>
  <si>
    <t>c_ob</t>
  </si>
  <si>
    <t>Saur</t>
  </si>
  <si>
    <t>Tarbagatai</t>
  </si>
  <si>
    <t>c_saur</t>
  </si>
  <si>
    <t>Aylik</t>
  </si>
  <si>
    <t>c_aylik</t>
  </si>
  <si>
    <t>c_tarbagatai</t>
  </si>
  <si>
    <t>Buqtirma</t>
  </si>
  <si>
    <t>c_buqtirma</t>
  </si>
  <si>
    <t>Seletyteniz</t>
  </si>
  <si>
    <t>c_seletyteniz</t>
  </si>
  <si>
    <t>Qarazhyrya</t>
  </si>
  <si>
    <t>c_qarazhyrya</t>
  </si>
  <si>
    <t>Soso</t>
  </si>
  <si>
    <t>c_soso</t>
  </si>
  <si>
    <t>Naupaktos</t>
  </si>
  <si>
    <t>c_naupactus</t>
  </si>
  <si>
    <t>Serrae</t>
  </si>
  <si>
    <t>c_seres</t>
  </si>
  <si>
    <t>Kastoria</t>
  </si>
  <si>
    <t>c_kastoria</t>
  </si>
  <si>
    <t>Traianopolis</t>
  </si>
  <si>
    <t>c_traianopolis</t>
  </si>
  <si>
    <t>Maroneia</t>
  </si>
  <si>
    <t>c_maroneia</t>
  </si>
  <si>
    <t>Avlonas</t>
  </si>
  <si>
    <t>c_aulon</t>
  </si>
  <si>
    <t>Bitola</t>
  </si>
  <si>
    <t>c_lyncestis</t>
  </si>
  <si>
    <t>Astibus</t>
  </si>
  <si>
    <t>c_astibus</t>
  </si>
  <si>
    <t>Zakynthos</t>
  </si>
  <si>
    <t>c_zakynthos</t>
  </si>
  <si>
    <t>Korkyra</t>
  </si>
  <si>
    <t>c_corfu</t>
  </si>
  <si>
    <t>Belukha</t>
  </si>
  <si>
    <t>c_belukha</t>
  </si>
  <si>
    <t>Khüiten</t>
  </si>
  <si>
    <t>c_khuiten</t>
  </si>
  <si>
    <t>Mönkh Khairkhan</t>
  </si>
  <si>
    <t>c_monkh_khairkhan</t>
  </si>
  <si>
    <t>Markakol</t>
  </si>
  <si>
    <t>c_markakol</t>
  </si>
  <si>
    <t>c_abakan</t>
  </si>
  <si>
    <t>Tom</t>
  </si>
  <si>
    <t>c_tom</t>
  </si>
  <si>
    <t>Kuznetsk</t>
  </si>
  <si>
    <t>c_kuznetsk</t>
  </si>
  <si>
    <t>Eastern Sayan</t>
  </si>
  <si>
    <t>c_eastern_sayan</t>
  </si>
  <si>
    <t>Khövsgöl</t>
  </si>
  <si>
    <t>c_khovsgol</t>
  </si>
  <si>
    <t>Egiin</t>
  </si>
  <si>
    <t>c_egiin</t>
  </si>
  <si>
    <t>Tannu Ola</t>
  </si>
  <si>
    <t>c_tannu_ola</t>
  </si>
  <si>
    <t>c_uvs</t>
  </si>
  <si>
    <t>Kharkiraa</t>
  </si>
  <si>
    <t>c_kharkhiraa</t>
  </si>
  <si>
    <t>Tsambagarav</t>
  </si>
  <si>
    <t>c_tsambagarav</t>
  </si>
  <si>
    <t>Khökh Serkh</t>
  </si>
  <si>
    <t>c_khokh_serkh</t>
  </si>
  <si>
    <t>Sutai</t>
  </si>
  <si>
    <t>c_sutai</t>
  </si>
  <si>
    <t>Khasagt Khairkhan</t>
  </si>
  <si>
    <t>c_khasagt_khairkhan</t>
  </si>
  <si>
    <t>Otgontenger</t>
  </si>
  <si>
    <t>c_otgontenger</t>
  </si>
  <si>
    <t>Suvraga Khairkhan</t>
  </si>
  <si>
    <t>c_suvraga_khairkhan</t>
  </si>
  <si>
    <t>Tarvagatai</t>
  </si>
  <si>
    <t>c_tarvagatai</t>
  </si>
  <si>
    <t>Terkhiin Tsagaan</t>
  </si>
  <si>
    <t>c_terkhiin_tsagaan</t>
  </si>
  <si>
    <t>Burkhan Buudai</t>
  </si>
  <si>
    <t>c_burkhan_buudai</t>
  </si>
  <si>
    <t>Gurvan Saikhan</t>
  </si>
  <si>
    <t>c_gurvan_saikhan</t>
  </si>
  <si>
    <t>Delgerkhangai</t>
  </si>
  <si>
    <t>c_delgerkhangai</t>
  </si>
  <si>
    <t>c_juyan</t>
  </si>
  <si>
    <t>Orkhon</t>
  </si>
  <si>
    <t>Kara Khorun</t>
  </si>
  <si>
    <t>c_orkhon</t>
  </si>
  <si>
    <t>Selenge</t>
  </si>
  <si>
    <t>c_selenge</t>
  </si>
  <si>
    <t>Uda</t>
  </si>
  <si>
    <t>c_uda</t>
  </si>
  <si>
    <t>Khilok</t>
  </si>
  <si>
    <t>c_khilok</t>
  </si>
  <si>
    <t>Chikoi</t>
  </si>
  <si>
    <t>c_chikoi</t>
  </si>
  <si>
    <t>Tuul</t>
  </si>
  <si>
    <t>c_tuul</t>
  </si>
  <si>
    <t>Zatec</t>
  </si>
  <si>
    <t>c_zatec</t>
  </si>
  <si>
    <t>Opava</t>
  </si>
  <si>
    <t>c_opava</t>
  </si>
  <si>
    <t>Amastris</t>
  </si>
  <si>
    <t>Pahplagonia</t>
  </si>
  <si>
    <t>c_amastris</t>
  </si>
  <si>
    <t>Kastamon</t>
  </si>
  <si>
    <t>c_kastamon</t>
  </si>
  <si>
    <t>Claudiopolis</t>
  </si>
  <si>
    <t>c_claudiopolis</t>
  </si>
  <si>
    <t>Amorion</t>
  </si>
  <si>
    <t>c_amorion</t>
  </si>
  <si>
    <t>Akroinon</t>
  </si>
  <si>
    <t>c_akroinon</t>
  </si>
  <si>
    <t>Nyssa</t>
  </si>
  <si>
    <t>c_nyssa</t>
  </si>
  <si>
    <t>c_charsianon</t>
  </si>
  <si>
    <t>Sardis</t>
  </si>
  <si>
    <t>Sardeis</t>
  </si>
  <si>
    <t>c_sardis</t>
  </si>
  <si>
    <t>Tregor</t>
  </si>
  <si>
    <t>c_tregor</t>
  </si>
  <si>
    <t>Poher</t>
  </si>
  <si>
    <t>c_poher</t>
  </si>
  <si>
    <t>Iarmond</t>
  </si>
  <si>
    <t>Iarmuman, Iarmhumhain, West Munster, Locha Léin</t>
  </si>
  <si>
    <t>c_iarmond</t>
  </si>
  <si>
    <t>Iona</t>
  </si>
  <si>
    <t>c_iona</t>
  </si>
  <si>
    <t>Lindisfarne</t>
  </si>
  <si>
    <t>English</t>
  </si>
  <si>
    <t>c_lindisfarne</t>
  </si>
  <si>
    <t>Hull</t>
  </si>
  <si>
    <t>c_hull</t>
  </si>
  <si>
    <t>Leeds</t>
  </si>
  <si>
    <t>c_leeds</t>
  </si>
  <si>
    <t>Yoredale</t>
  </si>
  <si>
    <t>c_yoredale</t>
  </si>
  <si>
    <t>Bath</t>
  </si>
  <si>
    <t>c_bath</t>
  </si>
  <si>
    <t>Brycheiniog</t>
  </si>
  <si>
    <t>c_brycheiniog</t>
  </si>
  <si>
    <t>Gower</t>
  </si>
  <si>
    <t>Gwyr</t>
  </si>
  <si>
    <t>c_gower</t>
  </si>
  <si>
    <t>Builth</t>
  </si>
  <si>
    <t>c_builth</t>
  </si>
  <si>
    <t>Ceredigion</t>
  </si>
  <si>
    <t>c_ceredigion</t>
  </si>
  <si>
    <t>Anglesey</t>
  </si>
  <si>
    <t>c_anglesey</t>
  </si>
  <si>
    <t>Wight</t>
  </si>
  <si>
    <t>Isle of Wight</t>
  </si>
  <si>
    <t>c_wight</t>
  </si>
  <si>
    <t>c_meath</t>
  </si>
  <si>
    <t>Westmeath</t>
  </si>
  <si>
    <t>c_westmeath</t>
  </si>
  <si>
    <t>Leix</t>
  </si>
  <si>
    <t>c_leix</t>
  </si>
  <si>
    <t>North Connacht</t>
  </si>
  <si>
    <t>Muaidhe</t>
  </si>
  <si>
    <t>c_ui_fiachrach</t>
  </si>
  <si>
    <t>Hy-Many</t>
  </si>
  <si>
    <t>Uí Maine</t>
  </si>
  <si>
    <t>c_hy_many</t>
  </si>
  <si>
    <t>Caen</t>
  </si>
  <si>
    <t>c_caen</t>
  </si>
  <si>
    <t>Retz</t>
  </si>
  <si>
    <t>c_retz</t>
  </si>
  <si>
    <t>Perche</t>
  </si>
  <si>
    <t>c_perche</t>
  </si>
  <si>
    <t>Saumur</t>
  </si>
  <si>
    <t>c_saumur</t>
  </si>
  <si>
    <t>Sancerre</t>
  </si>
  <si>
    <t>c_sancerre</t>
  </si>
  <si>
    <t>Clermont</t>
  </si>
  <si>
    <t>c_clermont</t>
  </si>
  <si>
    <t>Ponthieu</t>
  </si>
  <si>
    <t>c_ponthieu</t>
  </si>
  <si>
    <t>Senlis</t>
  </si>
  <si>
    <t>c_senlis</t>
  </si>
  <si>
    <t>Brie</t>
  </si>
  <si>
    <t>c_brie</t>
  </si>
  <si>
    <t>Dunois</t>
  </si>
  <si>
    <t>c_dunois</t>
  </si>
  <si>
    <t>Aurillac</t>
  </si>
  <si>
    <t>c_aurillac</t>
  </si>
  <si>
    <t>Imotski</t>
  </si>
  <si>
    <t>c_imotski</t>
  </si>
  <si>
    <t>Syrmia</t>
  </si>
  <si>
    <t>c_syrmia</t>
  </si>
  <si>
    <t>Vukovar</t>
  </si>
  <si>
    <t>c_vukovar</t>
  </si>
  <si>
    <t>Usora</t>
  </si>
  <si>
    <t>c_soli</t>
  </si>
  <si>
    <t>Vrhbosna</t>
  </si>
  <si>
    <t>c_bilino_polje</t>
  </si>
  <si>
    <t>Travunia</t>
  </si>
  <si>
    <t>c_travunia</t>
  </si>
  <si>
    <t>Onogost</t>
  </si>
  <si>
    <t>c_onogost</t>
  </si>
  <si>
    <t>Jaen</t>
  </si>
  <si>
    <t>c_jaen</t>
  </si>
  <si>
    <t>Palencia</t>
  </si>
  <si>
    <t>Castillan</t>
  </si>
  <si>
    <t>c_palencia</t>
  </si>
  <si>
    <t>Lugo</t>
  </si>
  <si>
    <t>c_lugo</t>
  </si>
  <si>
    <t>Osma</t>
  </si>
  <si>
    <t>c_osma</t>
  </si>
  <si>
    <t>Alcala</t>
  </si>
  <si>
    <t>c_alcala</t>
  </si>
  <si>
    <t>Minden</t>
  </si>
  <si>
    <t>c_minden</t>
  </si>
  <si>
    <t>Verden</t>
  </si>
  <si>
    <t>c_verden</t>
  </si>
  <si>
    <t>Frankfurt</t>
  </si>
  <si>
    <t>c_frankfurt</t>
  </si>
  <si>
    <t>Magdeburg</t>
  </si>
  <si>
    <t>c_magdeburg</t>
  </si>
  <si>
    <t>c_berg</t>
  </si>
  <si>
    <t>Weinsberg</t>
  </si>
  <si>
    <t>c_rottenburg</t>
  </si>
  <si>
    <t>Eichstadt</t>
  </si>
  <si>
    <t>c_eichstadt</t>
  </si>
  <si>
    <t>Saarbrücken</t>
  </si>
  <si>
    <t>Saarbrucken</t>
  </si>
  <si>
    <t>c_saargau</t>
  </si>
  <si>
    <t>Marburg</t>
  </si>
  <si>
    <t>c_hesse</t>
  </si>
  <si>
    <t>Havelberg</t>
  </si>
  <si>
    <t>c_havelberg</t>
  </si>
  <si>
    <t>Overijssel</t>
  </si>
  <si>
    <t>c_overijssel</t>
  </si>
  <si>
    <t>Gezira</t>
  </si>
  <si>
    <t>c_gezira</t>
  </si>
  <si>
    <t>Bayuda</t>
  </si>
  <si>
    <t>c_bayuda</t>
  </si>
  <si>
    <t>al-Fayyumiya</t>
  </si>
  <si>
    <t>c_faiyum</t>
  </si>
  <si>
    <t>Akhmim</t>
  </si>
  <si>
    <t>al-Ihmimya</t>
  </si>
  <si>
    <t>c_akhmim</t>
  </si>
  <si>
    <t>Esna</t>
  </si>
  <si>
    <t>Isna</t>
  </si>
  <si>
    <t>c_esna</t>
  </si>
  <si>
    <t>Kharibta</t>
  </si>
  <si>
    <t>al-Badaqun</t>
  </si>
  <si>
    <t>c_kharibta</t>
  </si>
  <si>
    <t>Eygptian</t>
  </si>
  <si>
    <t>al-Baretoun</t>
  </si>
  <si>
    <t>c_paraetonium</t>
  </si>
  <si>
    <t>Kolzum</t>
  </si>
  <si>
    <t>al-Kulzum</t>
  </si>
  <si>
    <t>c_kolzum</t>
  </si>
  <si>
    <t>Farafra</t>
  </si>
  <si>
    <t>c_farafra</t>
  </si>
  <si>
    <t>Egitanea</t>
  </si>
  <si>
    <t>c_egitanea</t>
  </si>
  <si>
    <t>Almada</t>
  </si>
  <si>
    <t>c_almada</t>
  </si>
  <si>
    <t>Huelva</t>
  </si>
  <si>
    <t>c_huelva</t>
  </si>
  <si>
    <t>WP culture group</t>
  </si>
  <si>
    <t>Sol culture group</t>
  </si>
  <si>
    <t>Sol group</t>
  </si>
  <si>
    <t>Sol culture</t>
  </si>
  <si>
    <t>WP culture</t>
  </si>
  <si>
    <t>American</t>
  </si>
  <si>
    <t>Mesomerican</t>
  </si>
  <si>
    <t>Murican</t>
  </si>
  <si>
    <t># Do not change tags in here without changing every other reference to them.</t>
  </si>
  <si>
    <t># If adding new groups or cultures, make sure they are unique.</t>
  </si>
  <si>
    <t># Culture-specific opinion can be added to modifiers (E.G., norse_opinion = 5), but the modifier *has* to be defined in 00_modifier_definitions.txt as well. It also needs localisation. Works for groups as well</t>
  </si>
  <si>
    <t># Culture modifiers: modifier (applies to provinces), character_modifier, and settlement modifiers.</t>
  </si>
  <si>
    <t># nomadic_in_alt_start = yes - Will be Nomadic if the "Tribal &amp; Nomadic" option is taken in the alt-start generation</t>
  </si>
  <si>
    <t>north_germanic = {</t>
  </si>
  <si>
    <t>}</t>
  </si>
  <si>
    <t>central_germanic = {</t>
  </si>
  <si>
    <t>west_germanic = {</t>
  </si>
  <si>
    <t>latin = {</t>
  </si>
  <si>
    <t>iberian = {</t>
  </si>
  <si>
    <t xml:space="preserve">        }</t>
  </si>
  <si>
    <t>byzantine = {</t>
  </si>
  <si>
    <t xml:space="preserve">        female_patronym = "tsen"</t>
  </si>
  <si>
    <t xml:space="preserve">        prefix = yes</t>
  </si>
  <si>
    <t>celtic = {</t>
  </si>
  <si>
    <t>finno_ugric = {</t>
  </si>
  <si>
    <t>baltic = {</t>
  </si>
  <si>
    <t>altaic = {</t>
  </si>
  <si>
    <t xml:space="preserve">            Çelgil Aba Baitzas Balgor Batan Batas Bator Bayça Biçkili Bizel Boru Bula Giazis Ildey Ipa Ipaos Kabuksin Karaca Kaydum Kegen Konel  </t>
  </si>
  <si>
    <t xml:space="preserve">            Böritegin Börtil Bülin Bülün Büri Ebiztir Elig Eltugun Elçi Eneligçur Enoz Erdem Eregje Erin Erkin Esdem Eshime Eshinke Etmish Eçshün Hïdïr </t>
  </si>
  <si>
    <t xml:space="preserve">            Iletmish Ilmïsh Ilterish Iltughun Ilçur Inançu Inek Inel Isbar Istämi Jegen Jegin Jelme Jükün Jüküntirig Jürküñ Jürüküm Jüz Jüzyapïq Jüçi Jämï </t>
  </si>
  <si>
    <t xml:space="preserve">            Kara Ketim Keçig Kutsha Kïlïç Kökmish Köksagun Köpek Körtile Kügir Kül Külbilgä Kültegin Kültudun Külçur Külüg Küni Kürebir Kürtel Küçarslan </t>
  </si>
  <si>
    <t xml:space="preserve">            Küçlüg Küçurï Maqaraç Maqraç Mukan Mäñlik Oghlan Oghul Oghulbarïs Oghulcak Ontutuq Ozmush Pülüñ Qapaghan Qarabarïs Qazghaq Qumash Qunï Qutlugh </t>
  </si>
  <si>
    <t xml:space="preserve">            Saghunaq Saghçïq Sagun Satuq Satuqbughra Sebük Sebüktegin Señram Shalçi Shughur Shöñüz Shümül Soge Suluk Süçüg Tabgaç Tadqïsh Tadqïshçor Tafaç </t>
  </si>
  <si>
    <t xml:space="preserve">            Tamgaç Tamghan Tamghançur Tapa Tardu Tardush Tarqan Tatpar Tegin Tekesh Tersin Teñirikän Tinsi Tirig Toghan Toghrïl Togluq Tojgan Torghul Toñga </t>
  </si>
  <si>
    <t xml:space="preserve">            Toñra Toñrategin Toñuz Tugan Tughrul Tugun Tunyuquq Tutuq Töles Tömür Tüzmish Udun Udur Umaç Uqugh Uruñ Ushlik Yaghïzçor Yaghïçi Yamtar </t>
  </si>
  <si>
    <t xml:space="preserve">            Yaraq Yaruq Yaruqtegin Yarïsh Yigençur Yola Yollughtegin Yolluq Yorçïn Yïlqï Çaghrï Çaça Çañ Çeküñ Çeçem Çigshi Çigsü Çor Çuçi Çuçibüri Ïshbara </t>
  </si>
  <si>
    <t xml:space="preserve">            Ïtaçïq Öge Ögüne Örge Özmish Öztoghdï Özyegen Özüge Özünçü Öçen Üge Ülüg Üçsi</t>
  </si>
  <si>
    <t xml:space="preserve">            Umay Yiltïs Yïgash Yïlgun Yïlqï Çeçek Örüñ Ötüken Ükükün</t>
  </si>
  <si>
    <t xml:space="preserve">            Ayaltïn Ayan Ayas Aydaq Aydas Ayçur Bagha Baghïr Barsbeg Barçuq Barïs Barïsbek Bayça Bayïrqu Bilge Bilgä Boyla Bughra Bumin Bumïn Buqa Buqaçuq </t>
  </si>
  <si>
    <t xml:space="preserve">            Buquq Buyruq Bögü Bökiye Böri Börtil Bülin Bülün Büri Ebiztir Elig Eltugun Elçi Eneligçur Enoz Erdem Eregje Erin Erkin Esdem Eshime Eshinke </t>
  </si>
  <si>
    <t xml:space="preserve">            Etmish Eçshün Hozan Iletmish Ilterish Iltughun Ilçur Inançu Inek Inel Isbar Istämi Jaglaqar Jegen Jegin Jelme Jükün Jüküntirig Jürküñ Jürüküm </t>
  </si>
  <si>
    <t xml:space="preserve">            Jüz Jüzyapïq Jüçi Jämï Kanza Kara Karol Ketim Keçig Kokan Kokotoy Kökmish Köpek Körtile Kügir Kül Kültegin Kültudun Külçur Külüg Küni Kürebir </t>
  </si>
  <si>
    <t xml:space="preserve">            Kürtel Küske Küçlüg Küçurï Manas Maqaraç Maqraç Mukan Mukka Mustakkay Mäñlik Oghlan Oghul Oghulbarïs Ontutuq Oudun Ozmush Oçan Parush Pülüñ </t>
  </si>
  <si>
    <t xml:space="preserve">            Qapaghan Qarabarïs Qazghaq Qumash Qunï Qutlugh Saghunaq Saghçïq Sanaan Sappash Seitek Semetei Señram Shadrash Shalçi Shapkay Sheltrek Shughur </t>
  </si>
  <si>
    <t xml:space="preserve">            Shöñüz Shümül Sodan Süçüg Tadqïsh Tadqïshçor Talay Tamghan Tamghançur Tapa Tardu Tardush Tarqan Tatpar Tegin Tekesh Tersin Teñirikän Tinsi Tirig </t>
  </si>
  <si>
    <t xml:space="preserve">            Toghan Toghrïl Togluq Tojgan Tolday Torday Tottolush Toñra Toñrategin Toñuz Tugan Tugun Tunyuquq Tutuq Töles Tömür Tülgü Tüzmish Udun Udur Ulug </t>
  </si>
  <si>
    <t xml:space="preserve">            Ulugbash Umaç Uqugh Uruñ Yaghïzçor Yaghïçi Yamtar Yapïq Yaraq Yaruq Yaruqtegin Yarïsh Yigençur Yola Yollughtegin Yolluq Yorçïn Yïlqï Çabas Çalbah </t>
  </si>
  <si>
    <t xml:space="preserve">            Çama Çarkop Çayah Çaça Çañ Çeküñ Çeçem Çigshi Çigsü Çiis Çola Çolbanah Çor Çortah Çudan Çuhul Çuçi Çuçibüri Çïnma Ïshbara Ïtaçïq Öge Ögüne Örge </t>
  </si>
  <si>
    <t xml:space="preserve">            Özmish Öztoghdï Özyegen Özüge Özünçü Öçen Üge Ülüg Üçsi</t>
  </si>
  <si>
    <t xml:space="preserve">            Teçush Teñriken Tograk Umay Yiltïs Yïgash Yïlgun Yïlqï Çeçek Çibäk Çoonhïs Çüstük Çabalka Çacah Çahayah Çohïray Ïzïgas Ïzïrga Ïzïrgacah Örüñ Ötüken Ükükün</t>
  </si>
  <si>
    <t xml:space="preserve">            Barghut Bars Barçuk Barçuq Barïs Barïsbek Basmil Bayan Bayançur Bayça Bayïrqu Bilge Bilgä Boyla Bughra Bumin Bumïn Buqa Buqaçuq Buquq Buyruq </t>
  </si>
  <si>
    <t xml:space="preserve">            Bögü Bögübilgä Bökiye Böri Börtil Börä Bülin Bülün Büri Ebiztir Elig Eltugun Elçi Eneligçur Enoz Erdem Eregje Erin Erkin Esdem Eshime Eshinke Etmish </t>
  </si>
  <si>
    <t xml:space="preserve">            Eçshün Ilbilgä Iletmish Iltämür Ilterish Iltughun Ilçur Inançu Inek Inel Irkin Isbar Istämi Jegen Jegin Jelme Jükün Jüküntirig Jürküñ Jürüküm Jüz Jüzyapïq </t>
  </si>
  <si>
    <t xml:space="preserve">            Jüçi Jämï Kara Kesmez Ketim Keçig Kiräsiz Kutan Känçiq Kökmish Könçög Köpek Körtile Kügir Kül Kültegin Kültudun Külçur Külüg Küni Kürebir Kürtel </t>
  </si>
  <si>
    <t xml:space="preserve">            Küçlüg Küçurï Mamuraq Maqaraç Maqraç Moyançur Mukan Mänglik Mäñlik Negüril Oghlan Oghul Oghulbarïs Ontutuq Ormïzt Ormuz Ozmush Pülüñ Qapaghan Qarabarïs </t>
  </si>
  <si>
    <t xml:space="preserve">            Qaya Qazghaq Qoshun Qosqar Qumash Qunï Qutadmish Qutlugh Rukshin Saghunaq Saghçïq Salïndï Señgi Señram Shalçi Shughur Shöñüz Shümül Süçüg Süñülug </t>
  </si>
  <si>
    <t xml:space="preserve">            Tadqïsh Tadqïshçor Tamghan Tamghançur Tapa Tardu Tardush Tarkhan Tarqan Tatpar Taypindu Tämirbuqa Tegin Tekesh Tersin Teñribögü Teñirikän Tigin Timür Tinsi </t>
  </si>
  <si>
    <t xml:space="preserve">            Tirig Toghan Toghrïl Togluq Tojgan Toñra Toñrategin Toñuz Tugan Tugun Tunyuquq Tutun Tutuq Tämir Tämirbuqa Töles Tömür Tüzmish Udun Udur Umaç </t>
  </si>
  <si>
    <t xml:space="preserve">            Uqugh Uruñ Yaghïzçor Yaghïçi Yamtar Yapïq Yaraq Yargat Yaruq Yaruqtegin Yarïsh Yasu Yigençur Yola Yollughtegin Yolluq Yorçïn Yïlqï Çaça Çañ </t>
  </si>
  <si>
    <t xml:space="preserve">            Çeküñ Çeçem Çigshi Çigsü Çiñtimür Çor Çuçi Çuçibüri Ïshbara Ïtaçïq Öge Öghrünç Ögüne Örge Özmish Öztoghdï Özyegen Özüge Özünçü Öçen Üge Ülüg Ülük Üçsi</t>
  </si>
  <si>
    <t xml:space="preserve">            Terek Teçush Teñriken Tograk Umay Yiltïs Yïgash Yïlgun Yïlqï Çeçek Örüñ Ötüken Ükükün</t>
  </si>
  <si>
    <t>arabic = {</t>
  </si>
  <si>
    <t>east_slavic = {</t>
  </si>
  <si>
    <t>west_slavic = {</t>
  </si>
  <si>
    <t xml:space="preserve">        male_names = {</t>
  </si>
  <si>
    <t xml:space="preserve">            Bohodar Boleslav Blahomír Blahoslav Bohumil Bozidar Boromír Bohuslav Budimír Bohuš Bratislav Budivoj Bystrik</t>
  </si>
  <si>
    <t xml:space="preserve">        female_names = {</t>
  </si>
  <si>
    <t xml:space="preserve">            Blahomíra Blazena Bohdana Bohumila Bozena Bratromila Ctislava Dobrohneva Dobromila Drzislava Dušana Horislava Jarmila Jaromíra Jaroslava</t>
  </si>
  <si>
    <t>south_slavic = {</t>
  </si>
  <si>
    <t>magyar = {</t>
  </si>
  <si>
    <t>iranian = {</t>
  </si>
  <si>
    <t xml:space="preserve">        graphical_cultures = { persiangfx } #arabicgfx</t>
  </si>
  <si>
    <t xml:space="preserve">        secondary_event_pictures = bedouin_arabic</t>
  </si>
  <si>
    <t xml:space="preserve">        color = { 0.6 0.6 0.1 }</t>
  </si>
  <si>
    <t xml:space="preserve">       male_names = {</t>
  </si>
  <si>
    <t xml:space="preserve">            Aaban Aabdar Aalem Aakrama Aamir Aaqel Aarash Aarif Aarash Aazar Abas_Abbas Abdiesus Abed Abu-zar Afzal Adel</t>
  </si>
  <si>
    <t xml:space="preserve">            Afrooz Afsar_Afshar Afshin Ajmal Akbar_Akbar Akhtar Akram Alaudin Akbarkhan Almeida Amardad Amooz</t>
  </si>
  <si>
    <t xml:space="preserve">            Anoushiravan_Anushirvan Anwaaraddin Ariabood Armeen Aryo Arzhang Asadi Ashtak Azfaar Azoom Azyan Azzami Azzat</t>
  </si>
  <si>
    <t xml:space="preserve">            Baddar Badeed Badih Badilayn Badrawi Baghish Bahiri Bahirun Bahlul Bahnam Dadvar Faireh Farjaad Farzaad_Farzad</t>
  </si>
  <si>
    <t xml:space="preserve">            Futtehkhan Gulraiz Gulrez Gulru Isfandiyar_Esfandiar Jaah Jabroot Jammas Jansher Jehanzaib Kardaar Lodhi Maiwand</t>
  </si>
  <si>
    <t xml:space="preserve">            Mateen Mehrang Mirwais Mohammadi_Muhammad Moinkhan Mukhtar Mursalin Musa_Moses Naseefa Nawaskhan Nouman Painda</t>
  </si>
  <si>
    <t xml:space="preserve">            Parwaiz_Parviz Pazir Poya Qammar Rayi Shahmeer Shahou Shahpar Shahpur_Shapur Shahu Shehzad Soban Tabish Tabsheer</t>
  </si>
  <si>
    <t xml:space="preserve">            Taimur Tajj Tashfeen Wamiq Yar Yesal Zadfar Zakariya_Zachary Zarak Zartash_Zartosht</t>
  </si>
  <si>
    <t xml:space="preserve">            Aabroo Abrisham Afhak Afri Afshaneh Afsoon Anousheh Arezo Armineh Asal Asmaan Azyan Benesh Berezira Chaghama Damsa</t>
  </si>
  <si>
    <t xml:space="preserve">            Darsameen Esin Farahnoush Farkhondeh Farzaneh Ferhana Firouzeh Ghamzeh_Ghamze Gulnoor Gulpari Gulrang Hajira Hamdiya</t>
  </si>
  <si>
    <t xml:space="preserve">            Hesther Hooriyah Hunoon Illiyeen Imama Kaameh Kaamisha Kaamnoosh Kaasheen Kashm Khudeeja Kinaaz Kushaaneh Larmina</t>
  </si>
  <si>
    <t xml:space="preserve">            Mahvash Mehrbano Mehrvash Mojdeh Morsal Moska Nageenah Naghma Nahal Nazy Paksima Parigul Pariwish Permaz Perveen_Parvin</t>
  </si>
  <si>
    <t xml:space="preserve">            Ramineh Samaneh Shabahang Shabana Shadleen Shagufta Shahernaz Shaherzad Shahzadi Shandana Shararah Sharjeela Shokouh</t>
  </si>
  <si>
    <t xml:space="preserve">            Sumbul Taara Tabaan Tasneem Veeda Yalqoot Yamna Yashfa Yasmoon_Yasmin Zaafirah Zahab Zamaair Zarafshan Zargul Zarmisha</t>
  </si>
  <si>
    <t xml:space="preserve">            Zarnish Zartasha Zeeana Zuha </t>
  </si>
  <si>
    <t xml:space="preserve">    </t>
  </si>
  <si>
    <t xml:space="preserve">        dynasty_title_names = yes</t>
  </si>
  <si>
    <t xml:space="preserve">        founder_named_dynasties = yes</t>
  </si>
  <si>
    <t xml:space="preserve">        male_patronym = "zai"</t>
  </si>
  <si>
    <t xml:space="preserve">        female_patronym = "lur"</t>
  </si>
  <si>
    <t xml:space="preserve">        prefix = no</t>
  </si>
  <si>
    <t xml:space="preserve">        modifier = default_culture_modifier</t>
  </si>
  <si>
    <t xml:space="preserve">    }</t>
  </si>
  <si>
    <t xml:space="preserve"> </t>
  </si>
  <si>
    <t xml:space="preserve">    baloch = {</t>
  </si>
  <si>
    <t xml:space="preserve">        color = { 0.4 0.4 0.05 }</t>
  </si>
  <si>
    <t xml:space="preserve">            Aadam_Adam Aadeynag Aali_Ali Aalmaas Adham Allayaar Armaan Baahout Baalaach Baaraan Baarag Bahraam_Bahram Ban'dag Bashshaam</t>
  </si>
  <si>
    <t xml:space="preserve">            Behrouz Beh'zaad Bibagr_Babak Bohaador Buhaa'dor Bouheyr Braanz Chaakar Chaarshambeh Cheerag Delaa'waar Deedag Deleyr</t>
  </si>
  <si>
    <t xml:space="preserve">            Del'shaad Didag Doudaa Dousteyn Gaazi Gam'shaad_Jamshid Gazzi Gishshar Gwahraam Haameyn Ham'bal Hammal Hayaat Haybat Horsond</t>
  </si>
  <si>
    <t xml:space="preserve">            Jaafar Jalab Jehaangir_Jahangir Jiyand Joma Kamaal Kambar Mazaar Mallouk Mayaar Meer'zaad Meraan Meereen Mirbal Mirdoust</t>
  </si>
  <si>
    <t xml:space="preserve">            Mirzaad Oumaan Omeyd Rahmat Rayhaan Rameen Roushen Rozhn Sabzal Sayaad Shaadaan Shaadmaan Shah'sawaar Shah'zaad Shah'daad</t>
  </si>
  <si>
    <t xml:space="preserve">            Shahdoust Shahmir Shanbeh Shakkal Shamsheyr Sharif Sekandar_Alexander Sheyrdel Soubaan Zangi</t>
  </si>
  <si>
    <t xml:space="preserve">            Aarezou Ambar Bahtaawar Bramsh Darmaan Dranna Dorbibi Dorhaatun Dornaaz Emaan Eymen Ezzat Ganjhaatun Gawhar Golandaam Golbaanu</t>
  </si>
  <si>
    <t xml:space="preserve">            Golhaatun Golmalek Golpari Graannaaz Haani Haatun Jannat Mah'deym Mah'taab_Mahtab Maahaan Maahaatun Maahekaan Maaheyn Mahbaanu</t>
  </si>
  <si>
    <t xml:space="preserve">            Mahbibi Mahganj Mahgol Mahjabin Mahlika_Malika Mahnaaz Mahnur Mahrang Mahtaap Mehrnaz Mehrnehal Mehrawar Mehrandaam Mehlab</t>
  </si>
  <si>
    <t xml:space="preserve">            Mor'waared Naazbibi Naazhaatun Naazmalek Nogl Parigol Parinaaz Raheema Rahemal Saccha Sadaaf Sadaf Samul Sanji Seemuk Shaari</t>
  </si>
  <si>
    <t xml:space="preserve">            Shali Sharhaatun Shemshok Shereen_Shirin Sheshalo Sugra Suha Suhenda Waahag Zaaferaan Zarhaatun Zaitun Zaytun Zinat Zomorred</t>
  </si>
  <si>
    <t xml:space="preserve">        male_patronym = "ani"</t>
  </si>
  <si>
    <t xml:space="preserve">        color = { 0.4 0.2 0.75  }</t>
  </si>
  <si>
    <t xml:space="preserve">        </t>
  </si>
  <si>
    <t xml:space="preserve">            Alysanna Arsa Aryamgula Asi Baga Bahudhiva Bamdaka Bhadra Bradaysaa Brika Capastaka Ceguti Chika Daisai Dharma Dum Dzatsi Gostana Gulai Harka </t>
  </si>
  <si>
    <t xml:space="preserve">            Alsamgya Alyonj Armaiti Dharmadasi Khivyaina Maya Nanda Nirmala Praniyata Safali Shandramata Shri Tisyarakshita Vimala Vimalaprabha Yavalac</t>
  </si>
  <si>
    <t xml:space="preserve">        from_dynasty_prefix = "nava "</t>
  </si>
  <si>
    <t xml:space="preserve">        male_patronym = "puri "</t>
  </si>
  <si>
    <t xml:space="preserve">        female_patronym = "duda "</t>
  </si>
  <si>
    <t>east_african = {</t>
  </si>
  <si>
    <t>central_african = {</t>
  </si>
  <si>
    <t>west_african = {</t>
  </si>
  <si>
    <t>mesoamerican = {</t>
  </si>
  <si>
    <t>israelite = {</t>
  </si>
  <si>
    <t>indo_aryan_group = {</t>
  </si>
  <si>
    <t>dravidian_group = {</t>
  </si>
  <si>
    <t>tibetan_group = {</t>
  </si>
  <si>
    <t>chinese_group = {</t>
  </si>
  <si>
    <t># The ID of the modifier can be defined here (E.G., modifier = modifier_name or character_modifier = modifier_name), while the effect of it must be defined in static_modifiers.txt, and the localisation in localisation. For the settlement modifiers you don't need to (and can't) define the ID; it defaults to culture name + settlement type. E.G., norse_temple</t>
  </si>
  <si>
    <t>graphical_cultures = { westerngfx }</t>
  </si>
  <si>
    <t>unit_graphical_cultures = { westerngfx }</t>
  </si>
  <si>
    <t>alternate_start = { NOT = { has_alternate_start_parameter = { key = special_culture value = animal_world } } }</t>
  </si>
  <si>
    <t>norse = {</t>
  </si>
  <si>
    <t>graphical_cultures = { norsegfx }</t>
  </si>
  <si>
    <t>alternate_start = {</t>
  </si>
  <si>
    <t>OR = {</t>
  </si>
  <si>
    <t xml:space="preserve">year &lt; 1000 </t>
  </si>
  <si>
    <t>has_alternate_start_parameter = { key = culture value = full_random }</t>
  </si>
  <si>
    <t>color = { 0.3 0.55 0.8 }</t>
  </si>
  <si>
    <t># Þ 222 þ 254 Ð 208 ð 240 æ</t>
  </si>
  <si>
    <t>male_names = {</t>
  </si>
  <si>
    <t>Ale Alfr_Alf Alfgeir Anders_Andrew Anlaufr Anundr_Anund Arnbjörn Arngrimr Arni_Arne Arnfast Asbjörn_Asbjörn Bagge Baldr_Balder Barid Bengt_Benedict Bersi Bertil_Berthold Birger Björn_Beorn Bo Borkvard Botulfr_Botulf Bragi_Brage Buðli</t>
  </si>
  <si>
    <t>Dag Dan Dyre Eilif Egill_Egil Emund Einarr_Einar Eirikr_Erik Eskild Falki Faste Filip_Philip Fredrik_Frederick Frirek Froði_Frode Freyr_Frej Folki_Folke Gandalfr Geirr Georg_George Gnupa_Gnupa Gorm_Gorm Greger_Gregory Grimr_Grim Guðfrið_Godfrey Guðmundr_Gudmund Guðröðr_Gudröd Gunnarr_Gunnar Hakon_Hakon Halsten Haraldr_Harold Haukr Helgi_Helge</t>
  </si>
  <si>
    <t xml:space="preserve">Hemming Holmger Hrafn Hrolfr_Rolf Hrane Hæsteinn Hjalmar_Hjalmar Hroðgar Hroðulfr Hrörekr_Rurik Hysing Ingólfr_Ingolf Ingemar Ingjald Ivar_Ivar Jedvard_Edward Jon_John Karl_Charles Kettil Kettilmund Kjartan Klas_Nicholas Knut_Knut Kol Kolbjörn Magnus_Magnus Markus_Marcus </t>
  </si>
  <si>
    <t>Magni_Magne Mats_Matthew Nils_Nicholas Niklas_Nicholas Oddr_Odd Ofeig Olafr_Olaf Ormr_Orm Ottarr_Ottar Refr Refil Ragnarr_Rainer Rikulfr Rögnvaldr_Ragnvald Skuli_Skule Snorri Sigbjörn Sigtrygg Sigurðr_Sigurd Starkaðr_Starkad Steinn_Sten Sturla Styrbjörn Styrkar Sumarliði_Somerled Suni_Sune Sveinn_Sven</t>
  </si>
  <si>
    <t>Sverker Sæmundr_Sämund Sölvi_Sölve Sörkver Tjudmund_Tjudmund Toke_Toke Tolir Þorbjörn_Torbjörn Þorfinn_Torfinn Þorbrandr_Torbrand Þordr_Tord Þorgil_Torkel Þorsteinn_Torsten Þorolfr_Thorolf Toste Totil Tryggve Tyke Ulfr_Ulf Vagn Valdemar_Vladimir Åke Yngvar_Ingvar Örvar_Orvar Öysteinn_Eysteinn</t>
  </si>
  <si>
    <t>female_names = {</t>
  </si>
  <si>
    <t>Aleta Alfhildr_Alfhild Alfrið_Alfridh Alvör Anna_Anna Asa_Åsa Aslaug Asta_Asta Astrid_Astrid Beata Birgitta_Brigid Björg Bodil Bothildr_Bothild Cecilia_Cecilia</t>
  </si>
  <si>
    <t>Edla Elin Elisabet_Elizabeth Freyja_Freja Gerðr Gloð Grima Gunnhildr_Gunhild Gurli Guðrun_Gudrun Gyla Gyrið Gyða_Gytha Hafrid Halla Helena_Helen Holmfrid</t>
  </si>
  <si>
    <t>Iliana Inga_Inge Ingfrid Ingibjörg_Ingeborg Ingjerðr_Ingegerd Ingrid_Ingrid Karin_Catherine Katarina_Catherine Kraka Kristina_Christina Linda Maer</t>
  </si>
  <si>
    <t>Malmfrið_Malmfrid Margareta_Margaret Maria_Maria Rikissa Rögnfrið_Ragnfrid Rögnhildr_Ragnhild Saga Sara_Sarah Sif Sigrid_Sigrid Skuld Sofia_Sophia</t>
  </si>
  <si>
    <t>Svanhildr_Svanhild Ulfhildr_Ulvhilde Vigdis Ylva_Ylva Yrsa_Ursula Þora_Thora Þordis_Thordis Þyra_Thyra</t>
  </si>
  <si>
    <t>dukes_called_kings = yes</t>
  </si>
  <si>
    <t>baron_titles_hidden = yes</t>
  </si>
  <si>
    <t>count_titles_hidden = yes</t>
  </si>
  <si>
    <t>from_dynasty_prefix = "af "</t>
  </si>
  <si>
    <t>male_patronym = "sson"</t>
  </si>
  <si>
    <t>female_patronym = "sdottir"</t>
  </si>
  <si>
    <t>prefix = no # The patronym is added as a suffix</t>
  </si>
  <si>
    <t># Chance of male children being named after their paternal or maternal grandfather, or their father. Sum must not exceed 100.</t>
  </si>
  <si>
    <t>pat_grf_name_chance = 50</t>
  </si>
  <si>
    <t>mat_grf_name_chance = 0</t>
  </si>
  <si>
    <t>father_name_chance = 0</t>
  </si>
  <si>
    <t># Chance of female children being named after their paternal or maternal grandmother, or their mother. Sum must not exceed 100.</t>
  </si>
  <si>
    <t>pat_grm_name_chance = 10</t>
  </si>
  <si>
    <t>mat_grm_name_chance = 50</t>
  </si>
  <si>
    <t>mother_name_chance = 0</t>
  </si>
  <si>
    <t>modifier = default_culture_modifier</t>
  </si>
  <si>
    <t>allow_looting = yes</t>
  </si>
  <si>
    <t>seafarer = yes</t>
  </si>
  <si>
    <t>swedish = {</t>
  </si>
  <si>
    <t>year &gt;= 1000</t>
  </si>
  <si>
    <t>color = { 0.25 0.5 0.75 }</t>
  </si>
  <si>
    <t xml:space="preserve">Albrikt_Albert Alf_Alf Algot Anders_Andrew Anund_Anund Arnbjörn Arne_Arne Arnfast Asbjörn_Asbjörn Astrad Azur Bagge Balder_Balder Bengt_Benedict Bertil_Berthold Birger Björn_Beorn Bo Borkvard Botulf_Botulf Brage_Brage Bror </t>
  </si>
  <si>
    <t>Brynjolf Dag Dan Dyre Egil_Egil Einar_Einar Emund Erik_Erik Eskild Faste Fredrik_Frederick Filip_Philip Folke_Folke Frej_Frej Georg_George Greger_Gregory Grim_Grim Gudröd_Gudröd Gunnar_Gunnar Gustav Halsten Hans_Hans Harald_Harold</t>
  </si>
  <si>
    <t xml:space="preserve">Helgi_Helge Henrik_Henry Hjalmar_Hjalmar Holmger Håkan_Hakon Inge_Ingolf Ingemar Ingvar_Ingvar Jedvard_Edward Johan_John Karl_Charles Kettil Kettilmund Klas_Nicholas Knut_Knut Kol Kolbjörn Lars_Laurence Magnus_Magnus Markus_Marcus </t>
  </si>
  <si>
    <t>Mats_Matthew Nils_Nicholas Niklas_Nicholas Odd_Odd Olaf_Olaf Orvar_Orvar Peder_Peter Ragnar_Rainer Rolf_Rolf Rörek_Rurik Ragnvald_Ragnvald Sämund_Sämund Sörkver Sigbjörn Sigtrygg Sigurd_Sigurd Starkad_Starkad Sten_Sten Styrbjörn Sune_Sune Sven_Sven</t>
  </si>
  <si>
    <t xml:space="preserve">Sverker Sölvi_Sölve Thomas_Thomas Tjudmund_Tjudmund Toke_Toke Tolir Torbjörn_Torbjörn Tord_Tord Torbrand_Torbrand Torfinn_Torfinn Torkel_Torkel Torolf_Thorolf Torsten_Torsten Toste Totil Tyke Ulf_Ulf Valdemar_Vladimir Åke Östen_Eysteinn </t>
  </si>
  <si>
    <t xml:space="preserve">Aleta Alfhild Alfridh_Alfridh Anna_Anna Asta_Asta Astrid_Astrid Beata Birgitta_Brigid Bothild_Bothild Cecilia_Cecilia Edla Elin Elisabet_Elizabeth Freja_Freja Gunhild_Gunhild Gyla Gurli Gytha_Gytha Hafrid </t>
  </si>
  <si>
    <t>Helena_Helen Holmfrid Iliana Inga_Inge Ingeborg_Ingeborg Ingegerd_Ingegerd Ingfrid Ingrid_Ingrid Karin_Catherine Katarina_Catherine Kristina_Christina Linda Maer Malmfrid_Malmfrid</t>
  </si>
  <si>
    <t>Margareta_Margaret Märta_Martha Ragnfrid_Ragnfrid Ragnhild_Ragnhild Rikissa Saga Sara_Sarah Sigrid_Sigrid Sofia_Sophia Svanhild_Svanhild Thordis_Thordis Ulvhilde Ylva Åsa_Åsa</t>
  </si>
  <si>
    <t>parent = norse</t>
  </si>
  <si>
    <t>female_patronym = "sdotter"</t>
  </si>
  <si>
    <t>pat_grf_name_chance = 80</t>
  </si>
  <si>
    <t>norwegian = {</t>
  </si>
  <si>
    <t xml:space="preserve">alternate_start = { </t>
  </si>
  <si>
    <t>color = { 0.2 0.45 0.65 }</t>
  </si>
  <si>
    <t>Anund_Anund Alv_Alf Arne_Arne Arnfinn Arnkjell Arnmod Arnvid Aslak Audun Balder_Balder Bård Bjørn_Beorn Eigil_Egil Eilif Einar_Einar Eirik_Erik Erlend Erling Eystein_Eysteinn Finn Frej_Frej</t>
  </si>
  <si>
    <t>Grim_Grim Gudbrand Gudleik Gudmund_Gudmund Gudrød_Gudröd Gunnar_Gunnar Guttorm_Gorm Haldor Halfdan Halkjell Harald_Harold Helge_Helge Håkon_Hakon Håvard Inge_Ingolf Ivar_Ivar Jon_John Kåre Kolbein Lodin</t>
  </si>
  <si>
    <t xml:space="preserve">Magne_Magne Magnus_Magnus Odd_Odd Ogmund Olav_Olaf Orm_Orm Ossor Ottar_Ottar Pål_Paul Ragnar_Rainer Ragnvald_Ragnvald Rolf_Rolf Sigurd_Sigurd Skjalg Skofte Skule_Skule Svein_Sven Sverre Sämund_Sämund Torbjørn_Torbjörn Tord_Tord Tore </t>
  </si>
  <si>
    <t>Torbrand_Torbrand Torfinn_Torfinn Torgeir_Torgeir Torgil_Torkel</t>
  </si>
  <si>
    <t xml:space="preserve">Tormod Torolf_Thorolf Torstein_Torsten Trond Tryggve Ulv_Ulf Vigleik Åle Åmund Ølver Øystein_Eysteinn </t>
  </si>
  <si>
    <t>Anna_Anna Astrid_Astrid Brigida_Brigid Cecilia_Cecilia Eldrid Freja_Freja Gjertrud_Gertrude Gudrid Gudrun_Gudrun Gunnhild_Gunhild Gyda_Gytha Gyrid Haldora Homlaug Ingebjørg_Ingeborg Ingjerd_Ingegerd Ingrid_Ingrid Jorunn</t>
  </si>
  <si>
    <t>Karin_Catherine Kristina_Christina Margrete_Margaret Maria_Maria Martha_Martha Ragna Ragnfrid_Ragnfrid Ragnhild_Ragnhild Rannveig Sigrid_Sigrid Snøfrid Sunniva Svanhild_Svanhild Thora_Thora Thorborg Thordis_Thordis Åse_Åsa Åshild Åsta_Asta</t>
  </si>
  <si>
    <t>from_dynasty_prefix = "av "</t>
  </si>
  <si>
    <t>female_patronym = "sdatter"</t>
  </si>
  <si>
    <t>prefix = no</t>
  </si>
  <si>
    <t>danish = {</t>
  </si>
  <si>
    <t>color = { 0.15 0.4 0.55 }</t>
  </si>
  <si>
    <t>Abel_Abel Anders_Andrew Anund_Anund Asger Balder_Balder Benedikt_Benedict Bjørn_Beorn Bo Christian_Christian Christoffer_Christopher Edvard_Edward Einar_Einar Erik_Erik Ernst_Ernest Esben Fredrik_Frederick Frej_Frej Frode_Frode Glum Gnupa_Gnupa Gorm_Gorm Gotfred_Godfrey Gregers_Gregory Grim_Grim Gunnar_Gunnar</t>
  </si>
  <si>
    <t>Hårik Halfdan Halvor Hans_Hans Harald_Harold Helge_Helge Hemming Henrik_Henry Hjalmar Holger Ingolf Jørgen Jørn Jakob_Jacob Jens_John Joakim_Joakim Johann_John Karl_Charles Knud_Knut</t>
  </si>
  <si>
    <t xml:space="preserve">Kristian_Christian Leif Lennart_Leonard Ludvig_Louis Malthe Mads_Matthew Mikkel_Michael Mogens Niels_Nicholas Odd_Odd Olav_Olaf Oluf_Olaf Peder_Peter Poul_Paul Pridbjørn Ragnar_Rainer Ragnvald_Ragnvald Rolf_Rolf Rune Rørik_Rurik Severin_Severin Sigfred Sigtryg Sigurd_Sigurd </t>
  </si>
  <si>
    <t>Sivard Steen Svend_Sven Sämund_Sämund Thorolf_Thorolf Thorvald Torben Torbjørn_Torbjörn Tord_Tord Torfinn_Torfinn Torgils_Torkel Ture Ubbe Uffe Ulf_Ulf Valdemar_Vladimir Valentin_Valentin Vilfred Yngvar_Ingvar</t>
  </si>
  <si>
    <t>Agnethe Anna_Anna Asta_Asta Benedikte_Benedicta Birgitta_Brigid Bodil Cecilie_Cecilia Christina_Christina Dagmar Dorothea_Dorothy Elisabeth_Elizabeth Ellinor_Eleanor Emilie_Emily Erika Ester_Esther Estrid_Astrid Frederikke_Frederique Freja_Freja</t>
  </si>
  <si>
    <t>Grethe Gudrun_Gudrun Gunhild_Gunhild Gyda_Gytha Helena_Helen Ida_Ida Ingeborg_Ingeborg Ingegerd_Ingegerd Ingrid_Ingrid Johanne_Joan Jutta Karin_Catherine Karoline Katarina_Catherine Katrine_Catherine Kirsten_Christina Klara_Clara Lise_Elizabeth Luitgard Lykke</t>
  </si>
  <si>
    <t>Magdalene_Magdalena Maren_Maria Margrethe_Margaret Maria_Maria Martha_Martha Ragnfrid_Ragnfrid Ragnhild_Ragnhild Rikissa Runa Sanna_Susan Signe Sigrid_Sigrid Silje_Cecilia Sofie_Sophia Svanhild_Svanhild Thyra_Thyra Tora_Thora Thordis_Thordis Åse_Åsa</t>
  </si>
  <si>
    <t>male_patronym = "sen"</t>
  </si>
  <si>
    <t>graphical_cultures = { germangfx }</t>
  </si>
  <si>
    <t>german = {</t>
  </si>
  <si>
    <t>color = { 0.5 0.5 0.5 }</t>
  </si>
  <si>
    <t>Adalbero_Adalbero Adalbert_Albert Adalhard_Adalhard Adam_Adam Ademar_Adémar Adolf_Adolf Alarich_Alaric Alberich_Aubrey Albrecht_Albert Aldrich_Aldric</t>
  </si>
  <si>
    <t>Alois_Louis Amadeus_Amadeus Amalrich_Amalric Andreas_Andrew Anselm_Anselm Arnold_Arnold Arnulf_Arnulf Augustin_Augustine Baldarich_Baldric</t>
  </si>
  <si>
    <t>Baldewin_Baldwin Baldomar Baldur_Balder Berengar_Berengar Bernhard_Bernard Berthold_Berthold Burchard_Bouchard Christopher_Christopher</t>
  </si>
  <si>
    <t>Dieter_Dieter Dietmar_Dietmar Dietpold_Dietpold Dietrich_Thierry Dietwin Eberhard_Everard Eginolf Ehrenfried Ekbert_Egbert Ekkehard_Ekkehard Emelrich_Aymeric</t>
  </si>
  <si>
    <t>Emich Emmerich_Aymeric Emund_Emund Engelbert_Engelbert Erich_Erik Ernst_Ernest Ferdinand_Ferdinand Filibert_Filibert Folkhard Folkmar Franz_Francis Friedrich_Frederick</t>
  </si>
  <si>
    <t>Gautselin_Joscelin Gebhard_Gebhard Georg_George Gerhard_Gerard Gerlach_Gerlach Giselbert_Gilbert Gottfried_Godfrey Gotthard Gottschalk_Gottschalk</t>
  </si>
  <si>
    <t>Gotzelo Guntram Gunzelin_Günther Günther_Günther Hans_Hans Hartmann Hartwig Heinrich_Henry Helferich Heribert_Herbert Hermann_Herman Hesso</t>
  </si>
  <si>
    <t>Hugo_Hugh Humbert_Humbert Hupold Jakob_Jacob Johann_John Jürgen_George Karl_Charles Karlmann_Carloman Kaspar_Caspar Konrad_Konrad Kuno_Konrad</t>
  </si>
  <si>
    <t>Lambert_Lambert Landolf_Landolf Leopold_Leopold Liudolf_Ludolf Liutbert_Lutbert Liutbrand Liutpold_Leopold Lothar_Lothair Ludolf_Ludolf Ludwig_Louis Lutbert_Lutbert</t>
  </si>
  <si>
    <t>Magnus_Magnus Manegold Manfred_Manfred Markward_Markward Martin_Martin Matthias_Matthew Meinhard Michael_Michael Nikolaus_Nicholas Norbert_Norbert</t>
  </si>
  <si>
    <t>Otto_Otto Peter_Peter Philipp_Philip Poppo Radbot_Radbot Reinhard_Renard Reinhold_Reinhold Rudolf_Ralph Ruprecht_Robert Rutger_Roger Siegfried_Siegfried</t>
  </si>
  <si>
    <t>Sieghard Siegmund_Sigmund Sigismund_Sigmund Simon_Simon Stefan_Stephen Theodorich_Thierry Thietmar_Dietmar Thomas_Thomas</t>
  </si>
  <si>
    <t>Udalrich_Ulrich Ulrich_Ulrich Viktor_Victor Waldemar_Vladimir Walram_Walram Walther_Walter Welf_Lupo Wenzel_Vaclav Werner_Werner Wido_Guy</t>
  </si>
  <si>
    <t>Wigerich Wilhelm_William Wolfgang Wolfram_Wolfram</t>
  </si>
  <si>
    <t>Adela_Adela Adelheid_Adelaide Adelinde_Adelinde Agathe_Agatha Agnes_Agnes Alberade Amalberga Amalie_Amelia Barbara_Barbara</t>
  </si>
  <si>
    <t>Beatrix_Beatrice Benedicta_Benedicta Berchte Berta_Bertha Binhilde Brunhilde_Brunhilda Cecilie_Cecilia Christine_Christina</t>
  </si>
  <si>
    <t>Cothilda_Clotilde Dorothea_Dorothy Elisabeth_Elizabeth Emma_Emma Engeltraud Ermengard_Ermengarde Eufemia_Euphemia</t>
  </si>
  <si>
    <t>Frida Friedrica_Frederique Gerberga_Gerberga Gerhild Gertrude_Gertrude Gisela_Gisela Gudrun_Gudrun Gunhilda_Gunhild</t>
  </si>
  <si>
    <t>Hedwig_Hedwig Heike Heilwiva Helene_Helen Helga Hemma_Emma Henrike Hildeburg Hildegard_Hildegard Ida_Ida Ilsa Inga_Inge</t>
  </si>
  <si>
    <t>Ingeltrude Irmele Irmeltrud Irmgard_Ermengarde Isentrude Jutta_Judith Karlotte_Caroline Katharina_Catherine Klara_Clara</t>
  </si>
  <si>
    <t>Klementia_Clementia Konstanze_Constance Kriemhild Kunigunde_Kunigunde Luitgard_Luitgard Margarete_Margaret Maria_Maria</t>
  </si>
  <si>
    <t>Mechthild_Matilda Oda Osterhild Richara_Ricarda Richenza_Richeza Richwara Romilda Serhilda_Serhilda Sofie_Sophia Sybille_Sibylla Trude_Gertrude</t>
  </si>
  <si>
    <t>Ulrike Ursula_Ursula Ute_Ute Walpurga Wilhelmina_Wilhelmina Winfrida Wulfhilde_Ulfhild</t>
  </si>
  <si>
    <t>from_dynasty_prefix = "von "</t>
  </si>
  <si>
    <t>mat_grf_name_chance = 5</t>
  </si>
  <si>
    <t>father_name_chance = 10</t>
  </si>
  <si>
    <t>mother_name_chance = 5</t>
  </si>
  <si>
    <t>lombard = {</t>
  </si>
  <si>
    <t>color = { 0.6 0.6 0.8 }</t>
  </si>
  <si>
    <t>Adalgis Adaloald Adhemar_Adhemar Ado Agelmund Agilof_Agilulf Agilulf_Agilulf Agiprand Ago Ahthari Aimeric_Aymeric</t>
  </si>
  <si>
    <t>Aistulf Aiulf_Aiulf Ajo_Aiulf Alahis Alboin_Alwin Aldihoc Alo_Adolf Altpert_Albert Amefrith Anselm_Anselm Ansfrid_Ansfrid Ansfrith_Ansfrid</t>
  </si>
  <si>
    <t>Ansprand Ardoin Arechis Ariald_Harold Aribert_Herbert Arichis Aripert_Herbert Ariulf Arnefrith Arnifrid Artavasdas_Ardabast Atenulf_Atenulf</t>
  </si>
  <si>
    <t>Atto Audelahis Audoin_Alwin Aunepert Ausfrid Authari_Ottar Berin_Berin Bernard_Bernard Birinus_Berin Cleph Corvulus</t>
  </si>
  <si>
    <t>Daufer Desiderius_Desiderius Donnolo Erchempert Erchinoald Erlembald Ewin Fara Faroald Ferdulf Gacco Garibald_Gerald Gisulf Godehoc</t>
  </si>
  <si>
    <t>Godepert Godescalc_Gottschalk Grasulf Grimoald Guaifer_Guaifer Guaimar_Guaimar Gumpert Gundo_Gundoald Gundoald_Gundoald</t>
  </si>
  <si>
    <t>Hermenfred Hildeprand_Hildebrand Hilderic Hildigis Hilmagis Hrodgaud_Rodgand Hucpert_Hugh Ibor_Ivar Ildiches Indulf_Adolf</t>
  </si>
  <si>
    <t>Ingoald Ioann_John Irnerius_Werner Kakko Kunibert Laiamicho Laidulf Lambert_Lambert Landari Landenulf Lando_Lando</t>
  </si>
  <si>
    <t>Landulf_Landolf Lantpert_Lambert Laudari Liutbald_Leopold Liutbrand Liutpert_Lutbert Liutprand Liutward Lupus_Lupo Maginulf Manso Munichis</t>
  </si>
  <si>
    <t>Nordepert_Norbert Odilo Odoaker Odoin_Otwin Orson_Ursus Pandenulf Pandulf_Randolph Pemmo Penno Perctarit_Berthold Petrus_Peter</t>
  </si>
  <si>
    <t>Poppo Radelchis Radelgar Radgis_Radgis Radwald Raginpert Ratchis_Radgis Reccared_Richard Risiulf Rochus Rodgand_Rodgand</t>
  </si>
  <si>
    <t>Rodoald_Rodwald Rodolf_Ralph Rodwald_Rodwald Romuald Rothari Saxo Sico_Sicco Siconulf Sigibuld Sigisbert_Sigisbert Sigisbrand Sikard_Sigurd</t>
  </si>
  <si>
    <t>Sinibald_Sinibald Taino Taso Theodelap Theoderich_Thierry Theodicius Theodo_Dieter Theodorich_Thierry Theotpert Theudoald Thrasimund</t>
  </si>
  <si>
    <t>Unichis Unigild Unulf Ursus_Ursus Vacho Waifar_Guaifer Waimar_Guaimar Waldchis Waldipert Walthari_Walter Wechthari Wido_Guy Zotto Zuchilo</t>
  </si>
  <si>
    <t>Adelberga Adelchisa Adelgrima Adelperga Altruda_Adeltrudis Amalasuintha Amalberga Amalfrida Ansa_Ansa Anselberga Anselperga Ansia</t>
  </si>
  <si>
    <t>Appa Areagne Aurona Chlotsuintha_Chlothsind Cotani Cunigunda_Kunigunde Desiderata Ereleuva Erelieva Gaatha Gaila Gaitelgrima Gambara Geila</t>
  </si>
  <si>
    <t>Gemma Geretrudis_Gertrude Gerperga_Gerberga Giseltrude_Gisela Giso Glismoda Gudeliva Gundeperga Guntrud_Gudrun Helchen Hermelinda_Herlinda</t>
  </si>
  <si>
    <t>Hunila Imma_Emma Kriemhild Liutberga Liutperga Liutpirc Maria_Maria Marozia Matasuntha Menia Pilitrud Rodelinda Rosamund Rotrude Rumetruda</t>
  </si>
  <si>
    <t>Serenahilt_Serhilda Sichelgaita Sunigilda Sunilda Swanahild_Swanahild Theodarada Theodelinda Theodorada Theodota Theuderada Thiudigotho Uta_Ute</t>
  </si>
  <si>
    <t>Vadamerca Valdamerca Walderada Wilgefortis Wisigarda</t>
  </si>
  <si>
    <t>from_dynasty_prefix = "de "</t>
  </si>
  <si>
    <t>grammar_transform = french</t>
  </si>
  <si>
    <t>pat_grf_name_chance = 25</t>
  </si>
  <si>
    <t>father_name_chance = 40</t>
  </si>
  <si>
    <t>pat_grm_name_chance = 20</t>
  </si>
  <si>
    <t>mat_grm_name_chance = 5</t>
  </si>
  <si>
    <t>mother_name_chance = 25</t>
  </si>
  <si>
    <t>old_frankish = {</t>
  </si>
  <si>
    <t>graphical_cultures = { germangfx frankishgfx westerngfx }</t>
  </si>
  <si>
    <t>color = { 0.3 0.3 0.5 }</t>
  </si>
  <si>
    <t>Abrahil Abram Adalbald Adalbert_Albert Adalgari Adalgrim Aegidius Ageric Agilbert Agiulf Ailbert Albric Aldedramn</t>
  </si>
  <si>
    <t>Andica Ansovald Arcambald Aregisel Arnegisel Arnulf_Arnulf Ascaric Audovald Austregisel Autbert Autgari Autgeri</t>
  </si>
  <si>
    <t>Avremar Badegisel Balduin_Baldwin Barnard Berald Bernard_Bernard Berneri Bero Berold Berthefried Bertlin Bertram_Bertrand</t>
  </si>
  <si>
    <t>Bertrand Burchard_Bouchard Karloman_Carloman Ceslin Chararic Charibert Childebert Childeric Chilperic</t>
  </si>
  <si>
    <t>Chlodomer Chlothar_Lothair Chramnesind Clodio Clodion Clovis Creat Dagaric Dagobert Drogo_Drogo Eberulf Ebregisel Engilbert</t>
  </si>
  <si>
    <t>Euric Everard_Everard Faroard Faroin Feremund Feroard Foroen Frobert Frotari Frothard Frothari Frotlaic Fulcari Fulcrad</t>
  </si>
  <si>
    <t>Galteri Gararic Garivald Gaucelm Gaudulf Gaujoin Gausbert Gausbold Gautmar Gauzbert Gedalbert Gedalca Genobaud Gerbert</t>
  </si>
  <si>
    <t>Gerhard_Gerard Gerold_Gerald Gislari Gislevert Gocelm Godalbert Godomar Gozhelm Grimald Guadulf Gualtari_Walter Gualter_Walter Guillabert Guitard Gundobad</t>
  </si>
  <si>
    <t>Gunthar_Günther Guntram Haldemar Hartmut Hildebald Hildebold Hildegaud Hildevold Hildoin Hucbert_Hubert Hugbert_Hubert Imnachar Ingalbert_Engelbrecht</t>
  </si>
  <si>
    <t>Ingomer Karl_Charles Lambert_Lambert Lantbert_Lambert Leudast Lothar_Lothair Magnachar Magneric Mainard Mallobaudes Marachar Marcomer</t>
  </si>
  <si>
    <t>Marell Martin_Martin Maurifi Meginhard Merogais Merovech Munderic Niebelung Odelric Odolric Otbert Otgeri Otker Pepin_Pepin Pharamond_Faramond</t>
  </si>
  <si>
    <t>Pippin_Pepin Radulf_Ralph Ragambald Ragena Ragenard_Rainer Raginari_Rainer Ragnachar_Rainer Ragnald_Ragnvald Ragno Raimbold Rainald_Reinhold Ramnulf Rathar</t>
  </si>
  <si>
    <t>Raynold_Reinhold Reginari_Rainer Ricchar Rignomer Roland_Roland Robert_Robert Rotbert_Robert Segoin Seguin Sicbald Sichar Sicland Sicleard Siclevold</t>
  </si>
  <si>
    <t>Sigebald Sigebert Sigeric Sigismund_Sigmund Sigobert Sinop Sunnegisil Sunno Tancrad Tancred Tassilo Teotbert_Theudbert Tetbert_Theudbert Teutbald_Theobald Teutbert_Theudbert</t>
  </si>
  <si>
    <t>Theoderic_Thierry Theoric Theudebald_Theobald Theudemeres_Theodemir Theuderic_Thierry Theudoald Theutbald_Theobald Trutgaud Vuitard Vulfari Vulframn_Wolfram Vulvari</t>
  </si>
  <si>
    <t>Waltgaud Werinbert Wilbert Willichar Wolfari</t>
  </si>
  <si>
    <t>Adalgardis Adallinda_Adelinde Adaltrude_Adeltrudis Adaluildis Adelaidis_Adelaide Airsenda Albofleda Albrada Alda Aldegonde Aliberta Alitrudis Ansegudis Ansegundis</t>
  </si>
  <si>
    <t>Anstrude Arsindis Audofleda Audovera Austreberta Austrechild Balthild Begga Beretrude Bernegildis Bertenildis Berthefled Berthefried</t>
  </si>
  <si>
    <t>Berthegund Berthildis Bertilla Bertrada Bladovildis Brunhild_Brunhilda Burgundofara Celsa Celsovildis Cesaria Chlodosind_Chlothsind Chlothsinda_Chlothsind Clotild_Clotilde Creada</t>
  </si>
  <si>
    <t>Dagena Eldesendis Ermengardis_Ermengarde Ermengildis_Ermengilda Ermensindis Eustadiola Faileuba Faregildis Fastrada Framberta Fredegunde Frolaica Frotberga</t>
  </si>
  <si>
    <t>Frotlildis Frotlina Galswinth Gaudildis Gautlindis Genovefa Gersvinda Gertrude_Gertrude Gisela_Gisela Glodesind Goiswinth Gotberga Gundrada Halderudis</t>
  </si>
  <si>
    <t>Harildis Hildegarde_Hildegard Hildegardis_Hildegard Hildesendis Hiltrude Illegardis Ingitrude Ingohildis Ingunde Itta Landina Lanthechilde Lantsida Leubast Leubovera</t>
  </si>
  <si>
    <t>Leutberga Leutgardis Liutgarde Madelgarde Magnatrude Marcatrude Marcovefa Martinga Monegund Morberga Radegund Rictrude Rigunth</t>
  </si>
  <si>
    <t>Rosamund Rothaide Rotrude Ruothilde Rusticula Sadalberga Siclehildis Sigalsis Theodelinda Theoderada Ultrogotha Vuldretrada Waltrude</t>
  </si>
  <si>
    <t>suebi = {</t>
  </si>
  <si>
    <t>year &lt; 1000</t>
  </si>
  <si>
    <t>color = { 0.7 0.7 0.7 }</t>
  </si>
  <si>
    <t>Adeqisio Adoric Agimadus Agriulfum Alamiro Algaster Anila Ansuario Argiovitus Ariamir Arosinda Audeca</t>
  </si>
  <si>
    <t>Badamundus Baldemarius Balderedo Baltarius Baudemiro Becilla Berteiro Bonesindus Boniza Cagildo Cartemiro</t>
  </si>
  <si>
    <t>Chararici Commundus Crodemiro Dagaredus Daildus Damiro Docemiro Donazarius Donegildus Dulcemirus Eboric</t>
  </si>
  <si>
    <t>Egenio_Eugene Eimiro Eirigu Eisindus Eldegotus Eldesindus Elperico Engomiro Ensaldus Ermaric Evosindo Fagildus</t>
  </si>
  <si>
    <t>Felmiro Fralenko Framuldo Francolino Fredoaldus Froatingus Fromildus Frumeiro Gardingus Gaudesindo Gomedei</t>
  </si>
  <si>
    <t>Gomulfus Gresumarus Gudesteus Gumarius Gundivaldo Guntato Gunterotis Heremigar Hermeric Hespanisco Hildemir</t>
  </si>
  <si>
    <t>Hilderic Hunisco Huniscus Leodegasti Leoderigus Leodulfus_Ludolf Leovaldo Lodemiro Magitus Malaredus Malaric Maldras</t>
  </si>
  <si>
    <t>Marcosendus Massilan Mervigius Miro Moderido Nandaricus Nantildo Neufila Nitigis Notarius Odamiro Odemundus</t>
  </si>
  <si>
    <t>Odericus Onemiro Onoricus Osdulfus Osorico Ostromirus Otualdo Pabregildus Pantard Pantinus Pappinus Pederagildu</t>
  </si>
  <si>
    <t>Pennio Pipinus_Pepin Provaredo Quedesendo Quedulfus Quidemiro Quidericus Ragimiro Ragolfus Rakericus Randinus</t>
  </si>
  <si>
    <t>Randuarius Ranisclus Rechiar Rechila Refulfo Reirigus Remismund Remisol Rendericus Ricardo_Richard Richimund Rodomiro</t>
  </si>
  <si>
    <t>Roelindus Romanisco Romarigus Sagatus Saxomero Segomirus Sentarius Sescutus Sisulfus Spanarius Spoderigo Suavarius</t>
  </si>
  <si>
    <t>Sunila Teobald_Theobald Teoderedus Theodemar_Theodemir Todegogia Trasmira Trasoldi Tumtuldo Uittimer Venedario Veremund_Vermudo Viamundus</t>
  </si>
  <si>
    <t>Vidraldus Villisendo Vistremiro Zamarius Zendasindo</t>
  </si>
  <si>
    <t>Acilo Ailo Alatrudia Aliverga Aliverta Aniedrudia Ansetrudia Astriverga Bagina Berina Cenabrida Cisilo Dadilo Dagadruida</t>
  </si>
  <si>
    <t>Desteilli Donadildi Drusilla Ebragundia Ebrildi Eldegundia Emilo Entrudi Ermedrudia Ermildi Espallo Facalo Fagilo Faquilo</t>
  </si>
  <si>
    <t>Fradegundia Framilli Fremosilli Frogildi Froilo Frolio Fronosili Frumildi Frunilo Gelvira Genlo Godoigia Goldrerona Granilo</t>
  </si>
  <si>
    <t>Guandilo Gundiverga Guntedrudia Ildiverga Kindiverga Lallina Liuvilo Mansuara Margilli Mirosinda Penefreda Penetrudia</t>
  </si>
  <si>
    <t>Ragesenda Randilo Raniverta Recerona Recesenda Recesuinda Rezevera Riquilo Rudilo Sabegoto Senuita Sindiverga</t>
  </si>
  <si>
    <t>Sisilli Sisiverta Sitividis Sontrilli Sparuildi Stodildi Suevisco Tanquilli Tederona Tenildi Teodevirga Teodiverta Teodoriga</t>
  </si>
  <si>
    <t>Teudileova Texilli Tractuilli Trasavara Trasmira Trastivigia Vergina Viscaverga Visterlo Vistravara Vistrildi Zanina</t>
  </si>
  <si>
    <t>english = {</t>
  </si>
  <si>
    <t>graphical_cultures = { englishgfx }</t>
  </si>
  <si>
    <t>color = { 0.8 0.2 0.2 }</t>
  </si>
  <si>
    <t>year &gt;= 1100</t>
  </si>
  <si>
    <t># Does not exist in 1066 - is the result of cultural amalgamation between Saxon and Norman through events</t>
  </si>
  <si>
    <t>Adam_Adam Alan_Alan Albert_Albert Alexander_Alexander Alfred Andrew_Andrew Anselm_Anselm Arnold_Arnold Arthur_Arthur Aubrey Christopher_Christopher David_David Edmund_Edmund Edward_Edward Eric_Erik Eustace_Eustace Fulk_Folke Geoffrey_Godfrey George_George Gerald_Gerald Gilbert_Gilbert</t>
  </si>
  <si>
    <t>Godfrey_Godfrey Gregory_Gregory Guy_Guy Henry_Henry Hugh_Hugh Humphrey Jocelyn John_John Jordan_Jordan Laurence_Laurence Lionel_Lionel Mark_Marcus Martin_Martin Matthew_Matthew Maurice_Maurice Michael_Michael Nicholas_Nicholas Paul_Paul Peter_Peter Philip_Philip</t>
  </si>
  <si>
    <t>Ralph_Ralph Randolph_Randolph Reginald_Reinhold Richard_Richard Robert_Robert Roger_Roger Simon_Simon Stephen_Stephen Theobald_Theobald Thomas_Thomas Waleran Walter_Walter William_William</t>
  </si>
  <si>
    <t>Adela_Adela Adelaide_Adelaide Alice_Alice Amice Anne_Anna Aveline_Avelina Beatrice_Beatrice Blanche_Blanche Catherine_Catherine Cecilia_Cecilia Constance_Constance Edith_Edith Ela Eleanor_Eleanor Elizabeth_Elizabeth Emma_Emma Hawise Isabel_Elizabeth</t>
  </si>
  <si>
    <t>Isabella_Elizabeth Joan_Joan Joanna_Joan Juliana_Juliana Mahaut_Matilda Margaret_Margaret Mary_Maria Matilda_Matilda Maud_Matilda Philippa_Philippa Sybilla_Sibylla</t>
  </si>
  <si>
    <t>from_dynasty_prefix = "of "</t>
  </si>
  <si>
    <t>bastard_dynasty_prefix = "Fitz"</t>
  </si>
  <si>
    <t>pat_grf_name_chance = 30</t>
  </si>
  <si>
    <t>mat_grf_name_chance = 10</t>
  </si>
  <si>
    <t>father_name_chance = 25</t>
  </si>
  <si>
    <t>mat_grm_name_chance = 40</t>
  </si>
  <si>
    <t>saxon = {</t>
  </si>
  <si>
    <t>graphical_cultures = { englishgfx saxongfx  }</t>
  </si>
  <si>
    <t>unit_graphical_cultures = { saxongfx englishgfx }</t>
  </si>
  <si>
    <t>color = { 0.8 0.3 0.3 }</t>
  </si>
  <si>
    <t>year &lt; 1100</t>
  </si>
  <si>
    <t>Arncytel Balthere Beorhtfrith Beorhthelm Beorhtmær Beorhtnoth Beorhtric Beorhtsige Beorhtwine_Beorhtwine Beorn_Beorn Beornræd Beornwulf</t>
  </si>
  <si>
    <t>Burgheard_Bouchard Byrhtnoth Cearl_Charles Cenfus Cenræd_Konrad Cenwulf Ceolwulf Cerdic_Caradog Copsige</t>
  </si>
  <si>
    <t>Cuthberht_Cuthbert Cuthræd Cynehelm Cynewulf Cytelbearn Eadberht Eadfrith Eadgar_Edgar Eadmund_Edmund Eadmær Eadric</t>
  </si>
  <si>
    <t>Eadræd Eadsige Eadulf_Adolf Eadweald Eadweard Eadwig Eadwine_Edwin Eadwulf_Adolf Ealdhun Ealdmund Ealdræd Ealdwine_Alwin</t>
  </si>
  <si>
    <t>Ealdwulf Eanberht Eanfrith Eanhere Eardwulf Eastmund Ecgberht Ecgfrith Gamall Godwine Gospatric Guthfrith_Godfrey Guthmund_Gudmund</t>
  </si>
  <si>
    <t>Gyrth Hacon_Hakon Harold_Harold Heahberht Hereberht_Herbert Hereweald_Hereweald Hereweard Hlothere_Lothair Hrodberht_Robert Inwær_Ingvar Leofheah Leofhelm</t>
  </si>
  <si>
    <t>Leofric Leofweald Leofwine Maccus_Maccus Morcar_Marcus Mærleswegn Offa_Uffe Onlaf_Olaf Ordgar</t>
  </si>
  <si>
    <t>Oscytel Oshere Osmund Osric Osræd Osulf_Osulf Osweald Oswine Oswulf_Osulf Petre_Peter Rædwulf_Ralph Rægenweald_Reinhold Scule_Skule</t>
  </si>
  <si>
    <t>Sigeberht Sigehelm Sigeric Sigeræd Sighere Siweard_Sigurd Stigand Swegn_Sven Swithelm Swithræd Swæfræd Sæbert Sælræd Sæweald</t>
  </si>
  <si>
    <t>Sæxbald Sæxræd Thoræd Thurcytel_Torkel Thurfrith Tostig_Toste Uhtræd_Uhtred Ulf_Ulf Ulfcytel Waltheof_Waltheof Werestan_Werestan Wiglaf Wihtræd_Withred</t>
  </si>
  <si>
    <t>Wistan Wulf_Ulf Wulfgar Wulfgeat Wulfhelm Wulfhere Wulfmær Wulfnoth Wulfstan Ælfgar Ælfmær Ælfnoth Ælfric Ælfræd_Alfred Ælfsige</t>
  </si>
  <si>
    <t>Ælfstan_Alstan Ælfwald Ælfweard Ælfwig Ælfwine_Alwin Ælle_Alwin Æthelbald Æthelberht_Albert Æthelfrith_Ethelfrith Æthelhere Æthelmær_Adémar</t>
  </si>
  <si>
    <t>Æthelric Æthelræd_Ailred Æthelsige Æthelstan_Alstan Æthelweald_Æthelwold Æthelweard Æthelwine_Alwin Æthelwold_Æthelwold Æthelwulf_Adolf</t>
  </si>
  <si>
    <t>Eormenred Eorcenberht Eormenric Eadbald Rædwald</t>
  </si>
  <si>
    <t>Agatha_Agatha Balthild Beorhtflæd Beorhtgifu Beorhtgyth Beorhtwaru Beorhtwynn Beornflæd Beorngyth Blæja Burgflæd Ceolflæd Cristina_Christina</t>
  </si>
  <si>
    <t>Cuthburg Cwenburg Cyneburg Cynegyth Cynehild Cyneswith Cynethryth Eadburg Eadflæd Eadgifu Eadgyth_Edith Eadhburh Eadhild Ealdgyth_Edith</t>
  </si>
  <si>
    <t>Ealhflæd Ealhswith Eanswith Ecgfrida Ecgwyn Godgifu Gunhilda_Gunhild Gytha_Gyda Helga_Helga Heregyth Hereswith Hextilda Hungifu Judith_Judith</t>
  </si>
  <si>
    <t>Leofflæd Leofgifu Leofrun Leofwaru Leofwynn Margaret_Margaret Maud_Matilda Mildrith Octreda Sifflæd Sigrid_Sigrid Sæthryth Wulfflæd Wulfgifu</t>
  </si>
  <si>
    <t>Wulfgyth Wulfhild Wulfrun Wulfthryth Wulfwaru Wulfwynn Wynnflæd Wærburg Æbba Ælfflæd_Ælflæda Ælfgifu Ælfgyth Ælflæda_Ælflæda Ælfrida</t>
  </si>
  <si>
    <t>Ælfswith Ælfthryth Ælfwynn Æthelburg Æthelflæd Æthelgifu Æthelhild Æthelræda_Æthelreda Æthelswith Æthelthryth_Æthelreda</t>
  </si>
  <si>
    <t>Æthelburh Seaxburh Wihtburh</t>
  </si>
  <si>
    <t>female_patronym = "sdohtor"</t>
  </si>
  <si>
    <t>father_name_chance = 5</t>
  </si>
  <si>
    <t>old_saxon = {</t>
  </si>
  <si>
    <t>color = { 0.5 0.1 0.1 }</t>
  </si>
  <si>
    <t>year &lt; 800</t>
  </si>
  <si>
    <t>Abo Adalbero_Adalbero Adalbert_Albert Adalbrand_Alebrand Adaldag Adalgar Adalgod Adolf_Adolf Aelle_Alwin Albrecht_Albert Alebrand_Alebrand</t>
  </si>
  <si>
    <t>Altfrid Ansgar Arnd_Arnold Arnold_Arnold Asig_Asig Balduin_Baldwin Balthasar_Baltasar Banzleib Beneke_Benedict Benno_Bernard Bernd_Bernard</t>
  </si>
  <si>
    <t>Bernhard_Bernard Bertold_Berthold Bertram_Bertrand Boddic Brun_Bruno Bruno_Bruno Burchard_Bouchard Cissa Claus_Nicholas Cobbo Cord_Konrad</t>
  </si>
  <si>
    <t>Cyprian_Cyprianus Dago_Dag Dedo Dethard Detleff Detmar_Dietmar Diederik_Thierry Donar_Thor Eggerd_Ekkehard Egilmar Ekbert_Egbert Engelbert_Engelbert</t>
  </si>
  <si>
    <t>Engelhard Erik_Erik Erp_Albert Esiko_Asig Everd_Everard Ewald Floribert Freawine Frederik_Frederick Gehrke_Gerard Gelder Gero Gerold_Gerald Gevert_Gebhard</t>
  </si>
  <si>
    <t>Ghert_Gerard Giselher Giselmar Gosschalk_Gottschalk Goswin Gunzelin_Günther Gödke_Godfrey Günther_Günther Hans_Hans Harthgate Hartwig Heideke</t>
  </si>
  <si>
    <t>Hengest Henneke Herberd_Herbert Hermann_Herman Hinrik_Henry Hoger Hulderic Humfried Immed Isidor_Isidoros Jacob_Jacob Jaspar_Caspar Jochim_Joakim</t>
  </si>
  <si>
    <t>Johann_John Juries Kersten_Christian Köpke_Jacob Laurentz_Laurence Lembert_Lambert Leuderic Liawizo Liemar Liudger Luder-Udo_Otto</t>
  </si>
  <si>
    <t>Luder_Lothair Ludolf_Ludolf Ludwig_Louis Magnus_Magnus Marbold Marquard_Markward Mathias_Matthew Meinwerk Merten_Martin Michael_Michael</t>
  </si>
  <si>
    <t>Norbert_Norbert Odo_Otto Ordulf Peter_Peter Philipp_Philip Radke_Ralph Reginbern_Reinbern Reinbern_Reinbern Reineke_Renard Reinmar Rudigar_Roger</t>
  </si>
  <si>
    <t>Rudolf_Ralph Sigbert_Sigisbert Sigfrid_Siegfried Sigward_Sigurd Simon_Simon Steffen_Stephen Thankmar Theoderic_Thierry Theodoric_Thierry</t>
  </si>
  <si>
    <t>Theodwin Thimo_Timothy Thomas_Thomas Tobe Tymmeke_Dietmar Udo_Otto Unwan Viric Volkwin Volrad Walbert Waldemar_Vladimir Waldered Waltard</t>
  </si>
  <si>
    <t>Warin_Werner Warinechin Wecta_Victor Wenzel_Vaclav Werneke_Werner Weybrecht Wichbert Wichmann Wicho_Guy Widukind Wigebert Wilbrand</t>
  </si>
  <si>
    <t>Willichin Withgils Witikind Witta Wlencing Wolter_Walter Wulff_Ulf</t>
  </si>
  <si>
    <t>Addila_Adela Adelheid_Adelaide Alof Agnes_Agnes Anna_Anna Athela Beatrix_Beatrice Bertha_Bertha Bertrada Bia_Beatrice Bisina Bithild</t>
  </si>
  <si>
    <t>Brigida_Brigid Christina_Christina Diedke Eilika Elisabeth_Elizabeth Enda Frederuna Geilana Gerberga_Gerberga Gertrud_Gertrude Gisela_Gisela</t>
  </si>
  <si>
    <t>Glismod Hadwig_Hedwig Hasala Heilwig Helene_Helen Hildegard_Hildegard Hrothwina Ida_Ida Imma_Emma Irmgard_Ermengarde Irminburg</t>
  </si>
  <si>
    <t>Jutta_Judith Katharina_Catherine Kunigunde_Kunigunde Luitgard_Luitgard Margarete_Margaret Mathilde_Matilda Mechthild_Matilda Oda_Ute</t>
  </si>
  <si>
    <t>Othelindis Radegund Reginlint Richardis_Ricarda Rodelinda Sophia_Sophia Suanhilde_Swanahild Theodrada Thiedburga Wienke Wiltrud Wulfhild_Ulfhild</t>
  </si>
  <si>
    <t>frisian = {</t>
  </si>
  <si>
    <t>graphical_cultures = { englishgfx saxongfx }</t>
  </si>
  <si>
    <t>color = { 0.7 0.3 0.0 }</t>
  </si>
  <si>
    <t>Adelbrik Aitet Aldgisl Audulf Auutet Avin Avo Avuko Avutet Bavo Bentet Bernhard_Bernard Blekulf Blithulf Brunhard</t>
  </si>
  <si>
    <t>Bubo Bôio Edulf_Adolf Egildeg Eilbern Eilherd Eilulf Eilward Eldei Elderd Elhard Engilbald Enhard Entet Esulf Euitet</t>
  </si>
  <si>
    <t>Euuerhard Eðelbern Eðelulf Eðelwi Focko Folcbald Folkbern Folkhard Folkward Frethirik_Frederick Frethold Frethuhard Frethwi</t>
  </si>
  <si>
    <t>Frithunath Geldulf Geltet Gerbald_Gerald Gerbrand Gerbruht Gerdeg Gerhard_Gerard Gerold_Gerald Gerulf Gerwar</t>
  </si>
  <si>
    <t>Gosse Habo Haring Hathuward Hebetet Helibad Hessel Hobern Hoitet Hroðhard Hroðward Juw_Julius Liaftet Liudbad</t>
  </si>
  <si>
    <t>Liudbald Liudger Liudgod Liudulf_Ludolf Liudward_Liutward Liuppo_Lupo Lubbiko Magnus_Magnus Meginbraht Meginhard</t>
  </si>
  <si>
    <t>Meginulf Meintet Menbold Menfrid_Manfred Menger Menhard Menhold Meniko Mentet Menward Merulf Miginward Notheri</t>
  </si>
  <si>
    <t>Occo Odo_Otto Osnath Osnoð Popetet Poppo Raeddeg Rauantet Redbad Reginhard_Renard Reinbern_Reinbern Reinier_Rainer</t>
  </si>
  <si>
    <t>Renhard_Renard Renward Riklef Rikwi Rodbern Saco Salaco Sibod Sibraht Sidei Sikke_Sicco Silef Siward_Sigurd Siwi</t>
  </si>
  <si>
    <t>Sjoerd_Sigurd Sytse Taco Tadaco Tado Thancward Thankbern Thiadbold_Theobald Thiadbrund Thiaddi_Thaddeus Thiaderd</t>
  </si>
  <si>
    <t>Thiadulf Thiadward Thiadwi Thiedold Thonkrik Wambald Wening Wentet Wibad Wibraht Wibrund Wiftet Wigbald Wigerd</t>
  </si>
  <si>
    <t>Wihard Wilbrand Wilco Wiltet Wulfnoth Ygo</t>
  </si>
  <si>
    <t>Aleberna Alena_Adela Aleydis_Adelaide Alretieren Amalburga Amelgeir Atghardis Aue Auesoete Badeloghen Baua Berta_Bertha</t>
  </si>
  <si>
    <t>Bet_Elizabeth Breghlent Brundonis Dieuwke Douwen Eingeliadis Elke_Adelaide Emgelberna Erkenradis Ermegardis_Ermengarde</t>
  </si>
  <si>
    <t>Esa Femke Fenna Folqui Gerburgis_Gerberga Ghela Ghodelde Hadewigis Heike Hersewindis Hodine Imma_Emma Imsoete Inka_Inge</t>
  </si>
  <si>
    <t>Itsburgis Jeltsje Lenildis Liedelde Liudburgis Lutghardis Lys_Elizabeth Maike_Maria Mareike_Maria Mette Minke Nienke_Catherine</t>
  </si>
  <si>
    <t>Rengnalda Volcwiif Wendelmodis Wiebke Wobbe Yda_Ida Ymmekine Ælidis</t>
  </si>
  <si>
    <t>dutch = {</t>
  </si>
  <si>
    <t>color = { 0.96 0.39 0.08 }</t>
  </si>
  <si>
    <t>year &gt;= 800</t>
  </si>
  <si>
    <t>Adriaen Albrecht_Albert Alwin Ambroos Antoon Arnold_Arnold Arnulf_Arnulf Balderik Barend Barnaerd_Bernard Bartolomeus_Bartolomeus</t>
  </si>
  <si>
    <t>Bavo Bertold_Berthold Boudewijn_Baldwin Claes_Nicholas Claeuwaert Daevit_David Damaes Diederick_Thierry Dirk_Thierry Douwe Eduard_Edward Egmund Ekbert</t>
  </si>
  <si>
    <t>Emmo Engelbrecht Filips_Philip Floris Folbert Frans_Francis Frederik_Frederick Gerard_Gerard Gerolt_Gerald Gerulf</t>
  </si>
  <si>
    <t>Gerrit Gijsbrecht Giselbert_Gilbert Godfried_Godfrey Godschalk Gozewijn Guij_Guy Gwijde_Gwijde Hendrik_Henry Herman_Herman Hubert</t>
  </si>
  <si>
    <t>Hugo_Hugh IJsbrand IJsbrecht Jacco_Jacob Jacob_Jacob Jan_John Karel_Charles Koenraad_Konrad</t>
  </si>
  <si>
    <t>Kristof_Christopher Lambert_Lambert Lodewijk_Louis Ludewijn Lutbert Luthard Maertijn_Martin Marquart Niclaes_Nicholas</t>
  </si>
  <si>
    <t xml:space="preserve">Olivier_Oliver Otto_Otto Otwin Onno Pieter_Peter Reinaerd Reinoud_Reinhold Reginar_Rainer Robrecht_Robert Robert_Robert Rodulf_Ralph </t>
  </si>
  <si>
    <t>Roelof Roland Rutger Sebastiaen_Sebastian Sicco Simon_Simon Steven_Stephen Steyn_Sten Theodolf Waelram Walter_Walter</t>
  </si>
  <si>
    <t>Wicher Willem_William Wolfard</t>
  </si>
  <si>
    <t>Ada Adela_Adela Adelheid_Adelaide Aechte Agaete Aleid Alijse_Alice Aliken Anna_Anna Annelies Badeloge Bava Beatrijs_Beatrice Benedicta_Benedicta</t>
  </si>
  <si>
    <t>Blanca_Blanche Blanceflore Cecily_Cecilia Cille Clara_Clara Clementia_Clementia Elisabeth_Elizabeth Ellijnore_Eleanor Emma_Emma Ermingarde_Ermengarde Fenne</t>
  </si>
  <si>
    <t>Filippa_Philippa Frida Gheertrude_Gertrude Gerda Godila Haduwijn Helena_Helen Herlinda Hilligonda Ide_Ida Imagina Irene_Irene Isabelle_Elizabeth Iudith_Judith</t>
  </si>
  <si>
    <t>Jacoba_Jacoba Jaccobijn Jasminne_Yasmin Johanna_Joan Jolanda Juliana_Juliana Jutte Kathrijne_Catherine Katrien_Catherine Liedwin Lisebet_Elizabeth Machtelt Margareta_Margaret</t>
  </si>
  <si>
    <t>Maria_Maria Mathilde_Matilda Oda Odelt Olinde Onna Pieternelle_Petronilla Reynilde Sanne Sigerda Sophie_Sophia Swanhildis Thetburga_Tiburge Waltrud</t>
  </si>
  <si>
    <t>Wila Wendelmoet Wenna Willemine_Willhelmina Yonefij Yvonne_Yvonne Zoete</t>
  </si>
  <si>
    <t>from_dynasty_prefix = "van "</t>
  </si>
  <si>
    <t>male_patronym = "szoon"</t>
  </si>
  <si>
    <t>female_patronym = "sdochter"</t>
  </si>
  <si>
    <t>frankish = {</t>
  </si>
  <si>
    <t>graphical_cultures = { frankishgfx westerngfx }</t>
  </si>
  <si>
    <t>color = { 0.8 0.8 0.2 }</t>
  </si>
  <si>
    <t>Édouard_Edward Érrard Étienne_Stephen Adalbert_Albert Adémar_Adémar Adrien_Adrian Aimery_Aymeric Alain_Alan Aldebert_Albert Aldéric Alphonse_Alphonse Amaury_Amalric</t>
  </si>
  <si>
    <t>Amédée Ancel André_Andrew Angelbert Antoine_Antonius Archambaud_Archibald Arnaud_Arnold Arnault_Arnold Arnoul_Arnulf Aubry Aymar Barthélémi_Bartolomeus</t>
  </si>
  <si>
    <t>Baudouin_Baldwin Benoît_Benedict Bérenger_Berengar Bernard_Bernard Bertrand_Bertrand Bohemond Boson_Boson Bouchard_Bouchard Centule_Centule Charles_Charles</t>
  </si>
  <si>
    <t>Clotaire_Lothair Ebbon Enguerrand Eudes_Otto Eustache_Eustace Evrard Foulques_Folke François_Francis Frédéric_Frederick Géraud_Gerald Gargamel Gaucher Gaucelin_Joscelin</t>
  </si>
  <si>
    <t>Gauthier_Walter Geoffroy_Godfrey Géraud_Gerard Gelduin Gilbert_Gilbert Gilles_Egidius Godefroy_Godfrey Guichard Guiges Guilhem_William Guillaume_William</t>
  </si>
  <si>
    <t>Guy_Guy Hélie Hamelin Henri_Henry Herbert_Herbert Hildebert Hugues_Hugh Humbert_Humbert Jacques_Jacob Jaufré_Godfrey Jaspert Jean_John Josselin_Joscelin</t>
  </si>
  <si>
    <t>Jourdain_Jordan Julien_Julian Léon Léonard Lothaire_Lothair Louis_Louis Loup_Lupo Manassès_Manasseh Mathieu_Matthew Maurice_Maurice Nicolas_Nicholas Ogier Onfroy Orson_Ursus Othon_Otto</t>
  </si>
  <si>
    <t>Payen_Pagan Philippe_Philip Pierre_Peter Raimbaut Raoul_Ralph Raymond_Raymond Raynaud_Reinhold Renaud_Reinhold Richard_Richard Robert_Robert Robin Roger_Roger</t>
  </si>
  <si>
    <t>Rorgon Rorgues Roubaud Savary Sigismond_Sigmund Simon_Simon Thibault_Theobald Thiébaut_Theobald Thierry_Thierry Thomas_Thomas Valeran Yves</t>
  </si>
  <si>
    <t>Éléonore_Eleanor Élodie Étiennette Adèle_Adela Adalmode_Almodis Adelaide_Adelaide Adelinde_Adelinde Agathe_Agatha Agnès_Agnes Aléarde Alice_Alice Aliénor_Eleanor</t>
  </si>
  <si>
    <t>Alix_Alice Almodis_Almodis Amelie_Amelia Anne_Anna Antoinette Arsinde_Arsenda Aude Aurengarde Béatrice_Beatrice Béatrix_Beatrice Belleassez Benoîte_Benedicta Bérengère</t>
  </si>
  <si>
    <t>Berthe_Bertha Blanche_Blanche Bonne_Bonne Bourgogne Bourguigne Cécile_Cecilia Cathèrine_Catherine Charlotte Constance_Constance Denise_Denise Douce_Douce Echive Eglantine</t>
  </si>
  <si>
    <t>Elisabeth_Elizabeth Emma_Emma Ermengarde_Ermengarde Ermessinde_Ermesinda Esclarmonde_Esclarmunda Euphrosine_Euphrosyne Eustachie Eve_Eva Gerberge_Gerberga</t>
  </si>
  <si>
    <t>Gisèle_Gisela Guillaumette_Williamette Héloise_Eloise Helvis Hodierne Ide_Ida Ida_Ida Ildégarde_Hildegard Isabeau_Elizabeth Isabelle_Elizabeth Jeanne_Joan Judith_Judith</t>
  </si>
  <si>
    <t>Julienne_Juliana Mafalda Mahaut_Matilda Margot Marguerite_Margaret Marie_Maria Marthe_Martha Mascarose_Mascarosa Mathilde_Matilda Mélisande_Melisende</t>
  </si>
  <si>
    <t>Mélisende_Melisende Mélusine Péronelle_Peronella Pernelle_Peronella Perinne Pernette Plaisance_Plaisance Raymonde Sarrazine Solène Sophie_Sophia</t>
  </si>
  <si>
    <t xml:space="preserve">Stéphanie_Stephania Sybille_Sibylla Tiburge_Tiburge Valence_Yolanda Yolande_Yolanda </t>
  </si>
  <si>
    <t>pat_grf_name_chance = 60</t>
  </si>
  <si>
    <t>mat_grm_name_chance = 60</t>
  </si>
  <si>
    <t>mother_name_chance = 10</t>
  </si>
  <si>
    <t>norman = {</t>
  </si>
  <si>
    <t>graphical_cultures = { normangfx }</t>
  </si>
  <si>
    <t>color = { 0.8 0.7 0.1 }</t>
  </si>
  <si>
    <t xml:space="preserve"> Abelard_Abelard Adam_Adam Adelard_Adalhard Ademar Alexander_Alexander Alfons_Alphonse Amaury_Amalric Anfroi Anquetil Anselm_Anselm Armand_Armand Arnald_Arnold Asclettin Aubrey Baldwin_Baldwin</t>
  </si>
  <si>
    <t xml:space="preserve"> Bernard_Bernard Berold Bertran_Bertrand Beuves Blayve_Blaise Bohemond Botolf_Botulf Clemence_Clement Drogo Errand Eustache_Eustace Faramond Ferant_Ferdinand Filbert</t>
  </si>
  <si>
    <t xml:space="preserve"> Fulk_Folke Fraunk Frery Gaillard Gaufrid Geoffroy_Godfrey Gerald_Gerald Gerard_Gerard Gérard_Gerard Geraud_Gerald Gerbert Gervas Giffard Gilbert_Gilbert</t>
  </si>
  <si>
    <t>Godfrey_Godfrey Goubert Guntard Guy_Guy Haimo Hamelin Henry_Henry Herbert_Herbert Herman_Herman Hubert Hugh_Hugh Humbert_Humbert Humphrey Ildebrando_Hildebrand Jordan_Jordan Joscelin_Joscelin</t>
  </si>
  <si>
    <t>Lambert_Lambert Lancelin Mauger Nigel Norman Odo_Otto Orderic Osbern Osmond Oswulf Oswyn Radolf_Ralph Radulf_Ralph Randolf_Randolph Ranulf Raymond_Raymond Rayner_Rainer</t>
  </si>
  <si>
    <t>Richard_Richard  Robert_Robert Roger_Roger Rolland Roscelin Sayer Serlo Serril Sewal Silvester_Silvester Simon_Simon Stefen_Stephen Tancred_Tancredi Torf Turold Turquetil Turstin</t>
  </si>
  <si>
    <t xml:space="preserve">Tybalt_Theobald Walter_Walter William_William Wymund </t>
  </si>
  <si>
    <t>Adelaide_Adelaide Adele_Adela Adelin_Adeline Adelise Agnes_Agnes Alberada Alienora_Eleanor Aline Alisce_Alice Alison Amburga Aubrey Aveis Avelina_Avelina Berengaria</t>
  </si>
  <si>
    <t>Busilla Clarimond Clemenza_Clementia Constance_Constance Cundo Egelina Eleanor_Eleanor Elise_Elizabeth Elysande Emelenine Emma_Emma Emonie Eremberga Ermyntrude</t>
  </si>
  <si>
    <t>Felicia_Felicia Flandina Fredesende Fressenda_Fressenda Fressende_Fressenda Geva Giselle_Gisela Gohilde Griselda Gundred Hadwis Helewisa Heria Herleve Hermessent_Ermesinda Hermine Hugolina</t>
  </si>
  <si>
    <t>Ida_Ida  Judit_Judith Lesceline Mabel Marie_Maria Matheode Matilda_Matilda Maud_Matilda Mautild_Matilda Maysant Millicent Muriella Oriel Richenda_Ricarda</t>
  </si>
  <si>
    <t xml:space="preserve">Rosalind Selova Stephanie_Stephania Sibyl_Sibylla Sibylla_Sibylla Umfreda Valdrade Wilmot Yolanda_Yolanda Yvon_Yvonne </t>
  </si>
  <si>
    <t>italian = {</t>
  </si>
  <si>
    <t>graphical_cultures = { italiangfx southerngfx westerngfx }</t>
  </si>
  <si>
    <t>color = { 0.95 0.95 0.75 }</t>
  </si>
  <si>
    <t>Abbondanzio Abbondio Abelardo_Abelard Abelino Achille Adalberto_Albert Adelfo Adelmio_Adelmo Adelmo_Adelmo Adone Adriano_Adrian Agapito Agostino_Augustine Aimone Alamanno Alarico_Alaric</t>
  </si>
  <si>
    <t>Albano Alberico Alberto_Albert Albino Alboino_Alwin Alcide Aldobrandino Aleardo Aleramo Alessandro_Alexander Alessio_Alexis Alighiero Alvise Ambrogio_Ambrosius Amedeo Anastasio_Anastasius Andrea_Andrew Angelo_Angel Annibale Anselmo_Anselm Antonino_Antoninus Antonio_Antonius Antoniotto Arcibaldo_Archibald Arderico Armando_Armand Arnolfo_Arnulf Arrigo Arsenio Artemio Ascanio Astorre</t>
  </si>
  <si>
    <t>Atenolfo_Atenulf Attilio Augusto_August Aurelio_Aurelius Ausilio Ausonio Averado Azzo Azzone Baldassarre Baldovino_Baldwin Barnaba_Barnabas Bartolomeo_Bartolomeus Basilio_Basil Bassiano Basso</t>
  </si>
  <si>
    <t>Battista Beltrano_Bertrand Benedetto_Benedict Benvenuto Berardo Bernabò_Barnabas Bernardo_Bernard Berto Bertoldo_Berthold Biagio Bonaventura Bonifacio_Bonifacius Borso Bruno_Bruno Bruto Buonconte</t>
  </si>
  <si>
    <t>Buoso Callisto_Callistus Camillo_Camillus Candido Cangrande Carlo_Charles Cassio Castore Cataldo Catone Cecco Cesare_Caesar Chiaffredo Chiano Ciro Ciuccio Claudio_Claudius Clemente_Clement</t>
  </si>
  <si>
    <t>Comita Conone Cornelio_Cornelius Corradino Corrado_Konrad Cosimo Cosma_Cosmas Costante_Constans Costantino_Constantine Costanzo_Constantius Cristoforo_Christopher Damiano_Damian Davide_David Demetrio_Demetrius Dioniso_Dionysus Doménico_Dominic</t>
  </si>
  <si>
    <t>Durante Eduardo_Edward Elio Emmanuele_Manuel Ennio Enrico_Henry Enzio Enzo Ercole_Heracles Eriprando Ermenegildo Ettore_Hector Eugenio_Eugene Ezio Ezzelino Fabrizio Fausto_Faustus Federigo_Frederick</t>
  </si>
  <si>
    <t>Felice_Felix Ferdinando_Ferdinand Ferruccio Filippo_Philip Fiorello Flavio Folco_Folke Fortunato Fosco Francesco_Francis Fresco Gabriele_Gabriel Gabrino Gaetano Galasso Galeazzo</t>
  </si>
  <si>
    <t>Galeotto Gaspare_Caspar Gastone_Gaston Gelasio Gentile Geraldo_Gerald Gerardo_Gerard Germano_Germanus Gerolamo Gherardo_Gerard Giacinto_Hyacinth Giacomo_Jacob Gian_John Gianfranco Gianleone Giano_John</t>
  </si>
  <si>
    <t>Giberto Gilberto_Gilbert Giolio_Julius Giordano_Jordan Giorgio_George Giovanni_John Giulio_Julius Giuseppe_Joseph Goffredo_Godfrey Gregorio_Gregory Gualtiero_Walter Guarnito Guerrino Guglielmo_William Guido_Guy Guidone_Guy</t>
  </si>
  <si>
    <t>Guigliadore Iacopo_Jacob Igino Innocenzo_Innocent Ippolito_Hippolytus Isnardo Jacopo_Jacob Lamberto_Lambert Landolfo_Landolf Landone Lanfranco Lattanzio Lazzarino Lazzaro_Lazarus</t>
  </si>
  <si>
    <t>Lealdo Leonardo_Leonard Leone_Leo Leonello_Lionel Leopoldo_Leopold Libero Lionello_Lionel Livio Lodovico_Louis Lorenzo_Laurence Luca_Luke Luchino Lucio_Lucius Luigi_Louis Malacresta Manfredo Manuele_Manuel</t>
  </si>
  <si>
    <t>Marco_Marcus Mariano_Marius Marino_Marinus Mario_Marius Marsiglio Martino_Martin Massimo_Maximus Mastino Matteo_Matthew Merigo Michelangelo Michele_Michael  Napoleone Nazareno Nestore Niccolò_Nicholas Nicola_Nicholas</t>
  </si>
  <si>
    <t>Nino Nolfo Oberto Obizzino Obizzo Oddone Omero Onorio Oreste Orlando Ottavio_Octavius Ottobono Ottone_Otto Pagano_Pagan Pancrazio_Pancras Pandolfo_Randolph Paolo_Paul Pasquale_Pascal</t>
  </si>
  <si>
    <t>Patrizio_Patrick Pellegrino Pericle Pietro_Peter Pio Prospero Rafaello_Raphael Radul Raimondo_Raymond Rainero_Rainer Raineri_Rainer Riccardo_Richard Rinaldo_Reinhold Rizzardo Roberto_Robert Rodolfo_Ralph Rolando_Roland</t>
  </si>
  <si>
    <t>Rosso Ruggiero Salinguerra Salvatore_Salvador Salvestro_Silvester Sante_Sancho Saverio Sciarra Sebastiano_Sebastian Secondotto Serafino_Seraphin Sergio_Sergius Sesto_Sextus Settimio_Septimus Severino_Severin Severo_Severus</t>
  </si>
  <si>
    <t>Silvano Silvestro_Silvester Simone_Simon Simonetto Sinibaldo Sinucello Sozzo Spinetto Stefano_Stephen Stentore Taddeo Tedaldo Tedice Teodoro_Theodore Tibaldo_Theobald Tiziano Tommaso_Thomas</t>
  </si>
  <si>
    <t>Torgodorio Torquato Ubaldo Uberto_Hubert Ugo_Hugh Ugoccione Ugolino Umberto_Humbert Urbano_Urban Valentino_Valentin Valerio_Valerius Vincentello Vincenzo_Vincent Virginio Vitale Vittore_Victor Vittorio_Victor Zaccaria_Zachary</t>
  </si>
  <si>
    <t>Abelina Adalberta Adalgisa Adelaida_Adelaide Adelasia Adelia_Adela Adriana_Adriana Agalina Agnese_Agnes Agostina Albina Alda Alessandra Alfonsina Alisia_Alice Aloisia</t>
  </si>
  <si>
    <t>Amalia_Amelia Ambrosia Anastasia_Anastasia Anna_Anna Antonella Antonia_Antonia Argentina Augusta Aurelia_Aurelia Ausilia Ausonia Beatrice_Beatrice Benedetta_Benedicta Benilde Berenice</t>
  </si>
  <si>
    <t xml:space="preserve">Berta_Bertha Bianca_Blanche Bona_Bonne Brunilde_Brunhilda Camilla_Camilla Candida Caracosa Carla Carola Caterina_Catherine Cecilia_Cecilia Clara_Clara Claudia Clorinda </t>
  </si>
  <si>
    <t>Clotilde_Clotilde Constanza_Constance Cornelia_Cornelia Delinda Dora Edda Elena_Helen Eleonora_Eleanor Elisa_Elizabeth Elisabetta_Elizabeth Ermenegilda_Ermengilda Eudossia Eugenia</t>
  </si>
  <si>
    <t>Fausta Felicia_Felicia Felicita Filippa_Philippa Filomena Flavia Flora_Flora Fortunata Fosca Francesca_Francesca Froizza Giacinta_Hyacintha Ginevra_Guinevere Giovanna_Joan Giuditta Giulia_Julia</t>
  </si>
  <si>
    <t xml:space="preserve">Giuseppa_Josepha Ippolita Isabella_Elizabeth Joscella Laura_Laura Lavinia Leonide Letizia Lidia Livia Lodovica Lucia_Lucia Lucinetta Lucrezia Maddalena_Magdalena Marcella_Marcella </t>
  </si>
  <si>
    <t>Margherita_Margaret Maria_Maria Mariana_Mariana Marietta Martina Matilda_Matilda Micaela Nunzia Paola_Paula Patrizia_Patricia Renata Ricciarda_Ricarda Silvana</t>
  </si>
  <si>
    <t>Sofia_Sophia Stefania_Stephania Tiziana Tomasina Valentina Violante_Yolanda Virginia</t>
  </si>
  <si>
    <t>from_dynasty_prefix = "di "</t>
  </si>
  <si>
    <t>occitan = {</t>
  </si>
  <si>
    <t>graphical_cultures = { trueoccitangfx occitangfx }</t>
  </si>
  <si>
    <t>color = { 0.9 0.9 0.4 }</t>
  </si>
  <si>
    <t xml:space="preserve">male_names = { </t>
  </si>
  <si>
    <t>Adhémar Acfred_Alfred Aimeric_Aymeric Alberic_Alberic Albert_Albert Aldebert_Albert Alias_Elijah Anfòs_Alphonse Amalric_Amalric Amaneus Ancelmes André_Andrew Archambaut_Archibald Arnaut_Arnold Artau_Artal Aton Audoïn Aymar_Aymeric Aymeric_Aymeric Aznar_Aznar</t>
  </si>
  <si>
    <t>Barral Bartoumiéu_Bartolomeus Baudoïn_Baldwin Beneset_Benedict Bérard_Bernard Berenguié_Berengar Bermond_Vermudo Bernat_Bernard Bernat-Aton Bernat-Ezi Bertrand_Bertrand Blasi_Blaise Borel Boson_Boson Carles_Charles</t>
  </si>
  <si>
    <t xml:space="preserve">Clamenç_Clement Centolh_Centule Dàvi_David Dat_Theodat Dodon Doumenge Duran Ebles_Otto Emmanuèl_Manuel Enric_Henry Ermengau Estève_Stephen Filip_Philip </t>
  </si>
  <si>
    <t xml:space="preserve">Ferrand_Ferdinand Florènç Folquet_Folke Francés_Francis Frederi_Frederick Garcia_Garcia Gaston_Gaston Gausbert_Gausbert Gautier_Walter Gilbèrt_Gilbert Girard_Gerard Girvais Godafres_Godfrey </t>
  </si>
  <si>
    <t xml:space="preserve">Gui_Guy Guichard Guigues_Guy Guilhèm_William Guiraud_Gerald Guitart_Gerard Ives Jacme_Jacob Jaufret_Godfrey Joan_John Jordan_Jordan Jorge_George </t>
  </si>
  <si>
    <t>Josselin_Joscelin Julian_Julian Laurènç_Laurence Leon_Leo Loïs_Louis Loui_Louis Lop_Lupo Marçau Martin_Martin Matfre_Manfred Matias_Matthew Milo Miquel_Michael</t>
  </si>
  <si>
    <t>Nicholaus_Nicholas Odon_Otto Otton_Otto Pèire_Peter Péire-Arnaut Péire-Raimond Peranudet Pol_Paul Pons_Pons Raimond_Raymond Raimond-Berenguié_Raymond-Berengar Rainaut_Reinhold Rainer_Rainer</t>
  </si>
  <si>
    <t>Raolf_Ralph Ricard_Richard Robèrt_Robert Rogier_Roger Sancho_Sancho Savarics Simon_Simon Tièrri_Thierry Tibaud_Theobald Toumas_Thomas Ubald Ubert_Humbert Uc_Hugh Ugues_Hugh</t>
  </si>
  <si>
    <t>Vézian Vicenç_Vincent</t>
  </si>
  <si>
    <t>Adèla_Adela Adalaïda_Adelaide Adeltrudis_Adeltrudis Agata_Agatha Aïna_Emma Ainès_Agnes Alaïs_Alice Alienòr_Eleanor Aliç_Alice Almòdis_Almodis Alpaïs Ana_Anna Arsenda_Arsenda Assalhida Ava</t>
  </si>
  <si>
    <t>Azalaïs Azelma Bòna_Bonne Beatritz_Beatrice Berenguela Berta_Bertha Blanca_Blanche Brandimena Bregida_Brigid Brunissenda Camila Carlòta Caterina_Catherine Cecilia_Cecilia</t>
  </si>
  <si>
    <t>Clara_Clara Clarmonda_Esclarmunda Clemència_Clementia Cloutilda_Clotilde Constància_Constance Dolça_Douce Eisabèu_Elizabeth Elena_Helen</t>
  </si>
  <si>
    <t>Elisa_Elizabeth Elisabèta_Elizabeth Ermengarda_Ermengarde Ermessentz_Ermesinda Esclarmonda_Esclarmunda Estefania_Stephania Eufèmia Eufrosina_Euphrosyne</t>
  </si>
  <si>
    <t>Faidida Filipa_Philippa Filomena Flòra_Flora Francesa_Francesca Garcenda Geneviva_Guinevere Gerbèrga_Gerberga Gersenda Gisla_Gisela Guigone Guilheumina_Willhelmina Heloise_Eloise</t>
  </si>
  <si>
    <t>Ioulanda_Yolanda Isabèu_Elizabeth Isabèla_Elizabeth Joana_Joan Juliana_Juliana Lúcia_Lucia Laura_Laura Loïsa_Louise Mabila Madalena_Magdalena</t>
  </si>
  <si>
    <t xml:space="preserve">Margarida_Margaret Maria_Maria Marquisa Marta_Martha Mascaròsa_Mascarosa Matilda_Matilda Melisènda_Melisende Navar Patricia_Patricia Peironèla_Peronella </t>
  </si>
  <si>
    <t>Petronilha_Petronilla Puelle Raisenda Raimonda Richènda_Ricarda Rosèla Rosa Sança_Sancha Sibilla_Sibylla Terèsa_Teresa Tiborg_Tiburge Verounica Violent_Yolanda</t>
  </si>
  <si>
    <t>roman = {</t>
  </si>
  <si>
    <t>graphical_cultures = { romangfx southerngfx trueoccitangfx occitangfx }</t>
  </si>
  <si>
    <t>used_for_random = no</t>
  </si>
  <si>
    <t>alternate_start = { has_alternate_start_parameter = { key = culture value = full_random } }</t>
  </si>
  <si>
    <t>Aemilianus Aemilius Aetius Albinus Alexander_Alexander Anastasius_Anastasius Anicius Annius Antoninus Antonius_Antonius Arcadius Aurelianus Aurelius</t>
  </si>
  <si>
    <t>Avitus Belisarius_Belisarius Britannicus Caecilius Caesar_Caesar Carinus Carus Cassius Claudius_Claudius Clementius Constans_Constans Constantinus_Constantine</t>
  </si>
  <si>
    <t>Constantius_Constantius Cornelius_Cornelius Crassus Decimus Decius Diocletianus Domitianus Domitius Drusus Ennodius Fabianus Fabius Faustus Felix Flavianus Florianus</t>
  </si>
  <si>
    <t>Gaius Galerius Gallienus Gallus Germanus_Germanus Gordianus Gracchus Gratianus Hadrianus_Adrian Herculius_Heracles Honorius Joannes_John Jovianus</t>
  </si>
  <si>
    <t>Julianus_Julian Julius_Julius Julius-Caesar Junius Justinus_Justin Justinianus_Justinian Leo_Leo Leontius_Leontius Liberius Licinius Lucius Magnus_Magnus Marcellinus</t>
  </si>
  <si>
    <t>Marcellus Marcianus Marcus_Marcus Marinus Marius Martinus Maximianus Maximinus Maximus_Maximus Nepotianus Nerva Numerianus Octavianus Octavius Otho</t>
  </si>
  <si>
    <t>Paulinus Paulus_Paul Petronius Philippus_Philip Pompeius Pontianus Priscus Probus Publius Quintus Romanus_Roman Romulus Rufinus Rutilius Sabinianus</t>
  </si>
  <si>
    <t>Saturninus Sempronius Septimius Sergius_Sergius Severinus Severus Sextus Symmachus_Symmachus Tacitus Theodosius_Theodosios Tiberius_Tiberius</t>
  </si>
  <si>
    <t>Titius Titus Trajanus_Trajan Urbanus_Urban Valens Valentinianus Valerianus Valerius_Valerius Venantius Vespasianus Victor Victorinus Vigilius Vitalianus Volusianus</t>
  </si>
  <si>
    <t>Aelia Agrippina Antonia_Antonia Antonina Aquilia Aurelia_Aurelia Caecilia Caesaris Candida Cassia Claudia_Claudia Clementia Constantia_Constantia</t>
  </si>
  <si>
    <t>Constantina_Constantina Cornelia Crispina Dominica Domitiana Domna Domnina Drusilla Fausta Faustina Flacilla Flavia Fortunata Frontina Gaia Galeria</t>
  </si>
  <si>
    <t>Gordiana Hadriana_Adriana Helvia Hilara Honoria Hortensia Julia_Julia Juliana_Juliana Junia Justa Justina_Justina Justiniana Licinia Livia Livilla Lucilla</t>
  </si>
  <si>
    <t>Magnia Magnilla Marcella Marcia_Marcia Marciana Marina_Marine Martina_Martina Matrona Maxima Maximiana Messalina Minervina Minucia Modia Mustela</t>
  </si>
  <si>
    <t>Octavia Palatina Paula_Paula Paulina_Paulina Petronella_Petronilla Petronia_Petronia Placidia Plautia Plautilla Pompeia Poppaea Praeiecta Publia Pulcheria_Pulcheria</t>
  </si>
  <si>
    <t>Rusticiana Sabina Sallustia Salonina Salvianella Scantilla Serena Sergia Severa Severina Silvia_Silvia Spadusa Sulpicia Tarsilla Titiana Ulpia Valeria_Valeria</t>
  </si>
  <si>
    <t>Verina Victoria Vigilantia Viviana_Viviana</t>
  </si>
  <si>
    <t>father_name_chance = 50</t>
  </si>
  <si>
    <t>pat_grm_name_chance = 50</t>
  </si>
  <si>
    <t>disinherit_from_blinding = yes</t>
  </si>
  <si>
    <t>dalmatian = {</t>
  </si>
  <si>
    <t>graphical_cultures = { dalmatiangfx italiangfx southerngfx westerngfx }</t>
  </si>
  <si>
    <t>Andre_Andrew Andreas_Andrew Bisti Blaxius Calenda Clime Comes</t>
  </si>
  <si>
    <t>Domagna_Dominik Gaucoli Gauzoli Gervasius Giuco Give</t>
  </si>
  <si>
    <t>Jugno_Junius Juliano_Julius Junius_Junius Laurenzo_Laurence Leonardus_Leonard Loncho Lucarus_Luke</t>
  </si>
  <si>
    <t>Mare_Marcus Marco_Marcus Maroe_Marinus Marinus_Marinus Matheus_Matthew Michael_Michael Nale_Cornelius Nichiforus_Nikephoros Nicola_Nicholas</t>
  </si>
  <si>
    <t>Pascalis_Pascal Pasqualis_Pascal Petragna_Peter Petrus_Peter Piero_Peter Perue_Peter Rassinus Rusco</t>
  </si>
  <si>
    <t>Stane_Stanislav Thoma_Thomas Tuone_Antonius Vallius Vita</t>
  </si>
  <si>
    <t>Ana_Anna Anna_Anna Antolina_Antonia Anussa Babalio Bodacia Catarena_Catherine Caterina_Catherine Clara_Clara Drase Dea Descia Deia Deussa Elena_Helene Giva</t>
  </si>
  <si>
    <t>Jachussa Jacobica Jelussa Laurica Lene_Helene</t>
  </si>
  <si>
    <t>Magdalena_Magdalena Margerita_Margaret Maria_Maria Mauressa Micha Mira Nicoletta Nixa</t>
  </si>
  <si>
    <t>Rade Rado Regina_Regina Rossa_Rosa Schimosa Thome Vele</t>
  </si>
  <si>
    <t xml:space="preserve">outremer = { </t>
  </si>
  <si>
    <t>graphical_cultures = { outremergfx andalusiangfx southerngfx muslimgfx }</t>
  </si>
  <si>
    <t>color = { 0.52 0.61 0.15 }</t>
  </si>
  <si>
    <t>sardinian = {</t>
  </si>
  <si>
    <t>graphical_cultures = { italiangfx southerngfx }</t>
  </si>
  <si>
    <t>color = { 0.85 0.75 0.05 }</t>
  </si>
  <si>
    <t>Abisatu Adàmu_Adam Adriànu_Adrian Alaverru_Oliver Albertu_Albert Albu Alessandru_Alexander</t>
  </si>
  <si>
    <t>Alfonsu_Alphonse Ambròsu_Ambrose Andria_Andrew Antine_Constantine Antiogu Antòni_Anthony Antoninu_Antoninus</t>
  </si>
  <si>
    <t>Armannu_Herman Arrammundu_Raymond Arzoccu Austinu_August Austu_August Baldu Barisoni_Barison Bartholumeu_Bartolomeus</t>
  </si>
  <si>
    <t>Barumini Barusone_Barison Basili_Basil Bassu Batkillu Benedettu_Benedict Bernardu_Bernard Bigenzu Bissente_Vincent</t>
  </si>
  <si>
    <t>Bonnannaro Bustianu_Sebastian Carlus_Charles Carule_Charles Celestìnu_Celestin Cipare Clementi_Clement</t>
  </si>
  <si>
    <t>Comita_Comita Corona Corràdu_Konrad Costantìnu_Constantine Crabiele_Gabriel Cristolu_Christopher</t>
  </si>
  <si>
    <t>Danelu_Daniel Dominigu_Dominic Egizu Enzu_Henry Evisu Fabritziu_Fabrice Floru Franku_Francis Frevare Furadiza Furatu</t>
  </si>
  <si>
    <t>Gabini_Gabin Gabinu_Gabin Gajetànu_Caetan Gallu Gasparru_Caspar Gavini Gitimel Giuanne_John Giustinu_Justin Giustu</t>
  </si>
  <si>
    <t>Gonariu_Gunnar Gòsamu_Cosmo Gosantinu_Constantine Grabrielle_Gabriel Granuzu Gregoriu_Gregory Guantine_Constantine Guglielmu_William</t>
  </si>
  <si>
    <t>Iginu Ignatziu_Ignatius Istevene_Stephen Ittocorre Izocor Jacopu_Jacob Jagu Jerone_Jerome Jisepu_Joseph Juanne Kipriane Kiprianu</t>
  </si>
  <si>
    <t>Larentu_Lawrence Leonardu_Leonard Lisandru_Alexander Loce Luca_Lucas Lucia_Lucas Lussuria Manfredu_Manfred</t>
  </si>
  <si>
    <t>Mankia Marcu_Marcus Marianu_Marius Massimilla Matia_Matthias Mauru_Mauro Mazeu_Matthew Micheli_Michael Migali_Michael</t>
  </si>
  <si>
    <t>Mikelli_Michael Mugedi Murtina_Martin Nigola_Nicholas Nurake Okeri Olisae Orsocorre Orzocor Pagiti Pascale_Pascal</t>
  </si>
  <si>
    <t>Patriziu_Patrick Paulu_Paul Pedru_Peter Pelegrine Perdu_Peter Pirillu Ponzu Porcellu Porkinu Presnage Pretu Pupa</t>
  </si>
  <si>
    <t>Rafiele_Raphael Ramundu_Raymond Robertu_Robert Rodulfu_Rudolf Sadurre Sadurru Salluri Saltaro Salusi Salusiu</t>
  </si>
  <si>
    <t>Salvennor Samaritanu Samuèli_Samuel Saragina Saraginu Sauina Serafinu Serbestianu_Sebastian Serighe Setilo</t>
  </si>
  <si>
    <t>Simione_Simon Sisinni Tedore_Theodore Thanthalu Thipircu Thomas_Thomas Thurungone Tobias Tomasso_Thomas</t>
  </si>
  <si>
    <t>Torbinu_Torbjörn Torchitoriu Trauessu Trogodori Uanios Ubertu_Humbert Ugu_Hugh Urieke Urse Urule</t>
  </si>
  <si>
    <t>Villanu Vivianu Zinga Zirominu_Jerome</t>
  </si>
  <si>
    <t>Adela_Adela Adelàsia_Adelasia Alaberta Albina Amira Amirasoia Angelìca_Angelica Angiola_Angela</t>
  </si>
  <si>
    <t>Angioletta_Angela Angiolina_Angela Anna_Anna Assunta_Assunta Austina_Augustine Barbara_Barbara</t>
  </si>
  <si>
    <t>Beatrìci_Beatrice Benedetta_Benedicta Bibiana_Viviana Bina Bitoria Brigida_Brigid Caderina_Catherine</t>
  </si>
  <si>
    <t>Cassia Catalina_Catherine Catellina_Catherine Cosima Cristìna_Christina Diane_Diana Dominiga_Dominica</t>
  </si>
  <si>
    <t>Dorotea_Dorothy Duminiga_Dominica Elena_Helen Elianora_Eleanor Elisabetta_Elizabeth Eva Fausta</t>
  </si>
  <si>
    <t>Fidula_Dominica Filumena_Philomena Francesca_Francesca Giorgia Giulia_Julia Grazia Guisiana</t>
  </si>
  <si>
    <t>Ippolita Ispella_Elisabeth Jana_Joan Joanna_Joan Jorgia Joscla Lia_Leah Lillia_Lily Lina_Lina</t>
  </si>
  <si>
    <t>Lucia_Lucia Luisa_Louise Luna_Luna Marcusa Margarita Maria_Maria Marianna_Mariana Marisa Maura_Maura</t>
  </si>
  <si>
    <t>Melissa Natalia_Natalie Nibatta Nikita Nivata Nivatora Olimpia Padulesa Paola_Paula Pasca_Pascale</t>
  </si>
  <si>
    <t>Pascalina_Pascale Pellegrina Petrenella Placidia_Placida Preciosa Preziosa Pupa Rita_Margaret Rosa_Rose</t>
  </si>
  <si>
    <t>Rosalia_Rosalia Rosaria_Rosaria Rosina_Rosine Rossana Sabina_Sabina Sardinia Sidonia Sinispella_Elizabeth</t>
  </si>
  <si>
    <t>Stefania_Stephania Subia_Sophia Susanna_Susan Tedora_Theodora Teresa_Teresa Thaita Thana Thanca</t>
  </si>
  <si>
    <t>Valeria Vera Viviane_Vivana Zura</t>
  </si>
  <si>
    <t>graphical_cultures = { occitangfx }</t>
  </si>
  <si>
    <t>basque = {</t>
  </si>
  <si>
    <t>graphical_cultures = { italiangfx trueoccitangfx occitangfx }</t>
  </si>
  <si>
    <t>color = { 0.55 0.42 0.04 }</t>
  </si>
  <si>
    <t>Alfontso_Alphonse Alvar_Oliver Antso_Sancho Aznar_Aznar Belasko_Vasco Bermudo_Vermudo Bernart_Bernard Diego_Diaco Donato_Donatus Egidio_Egidius</t>
  </si>
  <si>
    <t>Eneko_Inigo Erramun_Raymond Fernando_Ferdinand Fortun Galindo_Galindo Gartzia_Garcia Gilen_William Gontzal_Gonzalo Herramel Joanes_John</t>
  </si>
  <si>
    <t>Ladron Lope_Lupo Luis_Louis Manrike_Amalric Martín_Martin Munio_Munio Nuño_Nuno Obeko_Obeko Ordoño_Ordono Pelaio_Pelagius Piarres_Peter</t>
  </si>
  <si>
    <t>Ramiro_Ramiro Rodrigo_Roderick Vela_Vela Ximeno_Simon Zentulo_Centule</t>
  </si>
  <si>
    <t>#Abdala Isa Ismail Mohamed Motarrif Muza Saad Salama Taur Yahya Yunus Zahir</t>
  </si>
  <si>
    <t>Aines_Agnes Aldontza_Aldonza Andregoto Antsa_Sancha Belaskita Berengaria_Berengaria Blanka_Blanche Elbira_Elvira Eliza Emili_Emily</t>
  </si>
  <si>
    <t>Estefania_Stephania Joana_Joan Konstantzia_Constance Maior_Mayor Maria_Maria Mentzia_Mencia Munia_Munia Nuña Oneka_Oneka Oria</t>
  </si>
  <si>
    <t>Plazentzia_Plaisance Teresa_Teresa Toda_Toda Urraka_Urraca Ximena_Ximena</t>
  </si>
  <si>
    <t>#Awriya</t>
  </si>
  <si>
    <t>male_patronym = "ez"</t>
  </si>
  <si>
    <t>female_patronym = "ez"</t>
  </si>
  <si>
    <t>grammar_transform = spanish</t>
  </si>
  <si>
    <t>pat_grm_name_chance = 55</t>
  </si>
  <si>
    <t>mat_grm_name_chance = 15</t>
  </si>
  <si>
    <t>mother_name_chance = 20</t>
  </si>
  <si>
    <t>castillan = {</t>
  </si>
  <si>
    <t>graphical_cultures = { southerngfx }</t>
  </si>
  <si>
    <t>color = { 0.95 0.82 0.09 }</t>
  </si>
  <si>
    <t>Alfonso_Alphonse Alonso_Alphonse Álvar_Oliver Álvaro_Oliver Bermudo_Vermudo Diego_Diaco Enrique_Henry Fadrique_Frederick Felipe_Philip Fernando_Ferdinand</t>
  </si>
  <si>
    <t>Fruela_Froila García_Garcia Gil_Egidius Gómez_Gomez Gonzalo_Gonzalo Guillén_William Guillermo_William Gutierre_Walter Juan_John Lope_Lupo Luis_Louis</t>
  </si>
  <si>
    <t>Manrique_Amalric Martín_Martin Munio_Munio Nuño_Nuno Ordoño_Ordono Oveco_Obeko Pedro_Peter Pelayo_Pelagius Ramiro_Ramiro Rodrigo_Roderick</t>
  </si>
  <si>
    <t>Salvador_Salvador Sancho_Sancho Suero_Suero Tello Vela_Vela</t>
  </si>
  <si>
    <t>Aldonza_Aldonza Anderquina Beatriz_Beatrice Berenguela_Berengaria Blanca_Blanche Constanza_Constance Elvira_Elvira Estefanía_Stephania Fronilda_Fronilde Gontroda_Gotruda</t>
  </si>
  <si>
    <t>Inés_Agnes Isabel_Elizabeth Jimena_Ximena Juana_Joan Leonor_Eleanor Mafalda_Matilda María_Maria Marina_Marine Mayor_Mayor Mencía_Mencia</t>
  </si>
  <si>
    <t>Milia_Emily Sancha_Sancha Teresa_Teresa Toda_Toda Urraca_Urraca</t>
  </si>
  <si>
    <t>pat_grf_name_chance = 45</t>
  </si>
  <si>
    <t>mat_grf_name_chance = 15</t>
  </si>
  <si>
    <t>father_name_chance = 30</t>
  </si>
  <si>
    <t>pat_grm_name_chance = 40</t>
  </si>
  <si>
    <t>mat_grm_name_chance = 10</t>
  </si>
  <si>
    <t>mother_name_chance = 40</t>
  </si>
  <si>
    <t>catalan = {</t>
  </si>
  <si>
    <t>color = { 0.85 0.75 0.08 }</t>
  </si>
  <si>
    <t>Alfons_Alphonse Arnau_Arnold Artau_Artal Berenguer_Berengar Berenguer-Ramon Bernat_Bernard Bernat-Guillem Dalmau Ermengol_Ermengaud Felip_Philip</t>
  </si>
  <si>
    <t>Ferran_Ferdinand Frederic_Frederick Gausfred_Godfrey Gerard_Gerard Gombau Guerau_Gerald Guifré_Wilfred Guillem_William Guillem-Ramon Guislabert_Gilbert</t>
  </si>
  <si>
    <t>Hug_Hugh Jaume_Jacob Joan_John Jofré_Godfrey Ott_Otto Pere_Peter Ponç_Pons Ponç-Hug Ramon_Raymond Ramon-Berenguer_Raymond-Berengar</t>
  </si>
  <si>
    <t>Ramon-Folc Roger_Roger Sanç_Sancho Sunyer_Sunyer Udalard</t>
  </si>
  <si>
    <t>Adelaida_Adelaide Agnès_Agnes Alamanda Arsenda_Arsenda Beatriu_Beatrice Blanca_Blanche Brunisenda Constança_Constance Dolça_Douce Elionor_Eleanor</t>
  </si>
  <si>
    <t>Elisenda Ermessenda_Ermesinda Estefania_Stephania Gueraua Guillelma_Willhelmina Guisla_Gisela Isabel_Elizabeth Margarida_Margaret Maria_Maria Marquesa_Marquise</t>
  </si>
  <si>
    <t>Sança_Sancha Sibila_Sibylla Teresa_Teresa Toda_Toda Violant_Yolanda</t>
  </si>
  <si>
    <t>mat_grm_name_chance = 25</t>
  </si>
  <si>
    <t>portuguese = {</t>
  </si>
  <si>
    <t>color = { 0.75 0.67 0.07 }</t>
  </si>
  <si>
    <t>Afonso_Alphonse Aires Álvaro_Oliver Bermudo_Vermudo Diogo_Diaco Egas Estêvão_Stephen Fernão_Ferdinand Fernando_Ferdinand Garcia_Garcia</t>
  </si>
  <si>
    <t>Gil_Egidius Gomes_Gomez Gonçalo_Gonzalo Guterre_Walter Henrique_Henry Hermígio João_John Lopo_Lupo Lourenço_Laurence Martim_Martin</t>
  </si>
  <si>
    <t>Mem_Mendo Mendo_Mendo Monio_Munio Muno_Munio Nuno_Nuno Paio_Pelagius Pedro_Peter Pero_Peter Pôncio_Pons Rodrigo_Roderick Rui_Roderick</t>
  </si>
  <si>
    <t>Sancho_Sancho Soeiro_Suero Raimundo_Raymond Vasco_Vasco Vicente_Vincent</t>
  </si>
  <si>
    <t>Aldara_Alduara Aldonça_Aldonza Beatriz_Beatrice Berengária_Berengaria Branca_Blanche Constança_Constance Dórdia Elvira_Elvira Estevainha_Stephania Fruilhe_Fronilde</t>
  </si>
  <si>
    <t>Gontinha Gontroda_Gotruda Guiomar Inês_Agnes Joana_Joan Leonor_Eleanor Mafalda_Matilda Margarida_Margaret Maria_Maria Marinha_Marine</t>
  </si>
  <si>
    <t>Mor_Mayor Ouroana Sancha_Sancha Teresa_Teresa Urraca_Urraca</t>
  </si>
  <si>
    <t>male_patronym = "es"</t>
  </si>
  <si>
    <t>female_patronym = "es"</t>
  </si>
  <si>
    <t>pat_grf_name_chance = 55</t>
  </si>
  <si>
    <t>pat_grm_name_chance = 60</t>
  </si>
  <si>
    <t>mother_name_chance = 15</t>
  </si>
  <si>
    <t>visigothic = {</t>
  </si>
  <si>
    <t>color = { 0.55 0.55 0.15 }</t>
  </si>
  <si>
    <t>Adelfonso_Alphonse Agila Airmanagildo Alaricho_Alaric Aloito Assur Athanagildo Berengario_Berengar Diaco_Diaco Fafila</t>
  </si>
  <si>
    <t>Friedenando_Ferdinand Friednand_Ferdinand Froila_Froila Garçi_Garcia Gonçalo_Gonzalo Gundemar Guttier_Walter Johan_John Liuva Liuvericho</t>
  </si>
  <si>
    <t>Lupo_Lupo Mauregato Monnio_Munio Nunno_Nuno Oliba Ordonno_Ordono Pelagio_Pelagius Petro_Peter Ranimiro_Ramiro Rekkaredo_Richard</t>
  </si>
  <si>
    <t>Rodericho_Roderick Sans_Sancho Silo Suneario_Sunyer Suniefredo Theodoricho_Theodoric Veremondo_Vermudo Wifredo_Wilfred Wimarano Witiza</t>
  </si>
  <si>
    <t>#Abdela_Abdullah Abdelaçiç Abdelmelic Abdeluahid Abderrabmen Abrafim Ambroz Amet_Ahmad Ayyub Çacharya</t>
  </si>
  <si>
    <t>#Çelim Çulema Hacan Hamdan Harun Içag Mahomat_Muhammad Maruan Muça Omar</t>
  </si>
  <si>
    <t>#Xabrit Yabya Yafar Yuçuf Yunus</t>
  </si>
  <si>
    <t>Adelgundis Adosinda Agnes_Agnes Aragonte Argilo Ava_Eva Brunechildis_Brunhilda Egilona Eldonza_Aldonza Elduara_Alduara</t>
  </si>
  <si>
    <t>Elvira_Elvira Ermengardis_Ermengarde Ermenisinda_Ermesinda Flamula Fronilde_Fronilde Gaudiosa Gonterote_Gotruda Iberia Leodegundis Menenda</t>
  </si>
  <si>
    <t>Monnia_Munia Monniadomna Onecca_Oneka Riciberga Sibilia_Sibylla Sisenanda Theodora_Theodora Urraca_Urraca Winidilda_Gunhild</t>
  </si>
  <si>
    <t>#Abda Ayab Ayça Çayida Çeida Emira Isra Leyla Melica Nadia</t>
  </si>
  <si>
    <t>#Nadira Neyla Nur Tarifa Yaçmina</t>
  </si>
  <si>
    <t>graphical_cultures =  { easterngfx }</t>
  </si>
  <si>
    <t>arberian = {</t>
  </si>
  <si>
    <t>graphical_cultures = { byzantinegfx }</t>
  </si>
  <si>
    <t>color = { 0.7 0.2 0.9 }</t>
  </si>
  <si>
    <t>Adnan Afrim Agim Agon Alban Alek Aleksander_Alexander Andrea_Andrew Ardian Ardit Arianit Armend Bajram Bashkim Behar Besian Besnik Blerim Bua Burim Dardan Depa Dhimitër Dimitri Dritan Dëfrim Edon Endrit Engjëll Fatmir Fisnik Flamur Gjergj Gjin Gjon Gojko Grigor_Gregory Gulam Jakub_Jacob Jetmir Jeton Koja Kostandin_Constantine Kreshnik Kushtrim Leka Lekë Leotrim Leutrim Liridon Lulëzim Moisi Muriq Muzaka Pal Perparim Pjetër_Peter Progon Pëllumb Skender Tanush Teodor Valon Veli Visar Vladan Ylli Zameer Zamyr</t>
  </si>
  <si>
    <t>Afërdita Arjeta Blerina Blerta Blerte Bolja Bora Bosa Boxia Boša Boža Dardana Diellza Edona Era Fatmire Flutura Jehona Lindita Liridona Lule Luljeta Mirjeta Pranvera Shpresa Shqipe Teuta Tirana Vera Yllka</t>
  </si>
  <si>
    <t>from_dynasty_prefix = "e "</t>
  </si>
  <si>
    <t>armenian = {</t>
  </si>
  <si>
    <t>color = { 0.5 0.2 0.5 }</t>
  </si>
  <si>
    <t>Abas Abirad Aboughamr Aboulgharib Aleksandr_Alexander Artashes Artashir_Ardeshir Artavazd_Ardabast Arsen Arshak Ashot_Ashot Athom Atrnerseh_Atrnerseh Avag Avedis Bagour_Bagour Bagrat Bedros_Peter Boghos_Paul Davit_David Eshkhan Gagik_Gagik Gevorg_George</t>
  </si>
  <si>
    <t>Gosdantin_Constantine Grigor_Gregory Gurgen_Lupo Hagop Hamazasp Hethum Hovhannes_John Hovsep_Joseph Ishkhan_Ishkhan Ivane_John Kapriel_Gabriel Khachik Khosrov_Khosrau Levon_Leo Malkhas_Malkhas Mamigon Manuel_Manuel Margos_Marcus Melek Mihrdat_Mithridates Mikayel_Michael Mleh Mushegh Mushel Mzhezh</t>
  </si>
  <si>
    <t>Nerseh_Narses Oshin Roupen_Reuben Sahag_Isaac Sarkis_Sergius Sevag Shahanshah_Shahanshah Smbat_Smbat Stepanos_Stephen Tachat Taniel_Daniel Tatoul Tigran Tornik_Tornik Tovmas_Thomas Thoros_Theodore Trdat Vache Vachagan Vagharshak Vahag Vahan Vahram_Bahram Vakhtank Varazdat Vartan Vassak Vesd Vrtanes Zakare_Zachary Zarmihr</t>
  </si>
  <si>
    <t>Aghavni Alitz_Alice Almasd Anahid Anna_Anna Anoush Arda Arevig Arin Baydzar Berjanoush Berjouhi Datevig Dalita Eliz_Eloise Gadar Gorandoukht_Gorandukht Hasmig Houri Hranoush</t>
  </si>
  <si>
    <t>Hripsimeh Keghanoush Keran Khorishah Kohar Latavri Leyli Lousin Mara Margarid_Margaret Maria_Maria Mariyam_Maria Meghranoush Nane Nazani Ovsanna Pounig Razmouhi Rita Satenik_Satinik Seta Siran Sirvart</t>
  </si>
  <si>
    <t>Srpouhi Shoushanig Takouhi Tamar_Tamar Vartanoush Vartouhi Vosgi Yeva Zabel_Elizabeth Zmroukhd</t>
  </si>
  <si>
    <t>from_dynasty_prefix = "ve "</t>
  </si>
  <si>
    <t>greek = {</t>
  </si>
  <si>
    <t>color = { 0.8 0.3 0.8 }</t>
  </si>
  <si>
    <t>Adrianos_Adrian Akakios_Acacius Alexandros_Alexander Alexios_Alexis Anastasios_Anastasius Anatolios Andreas_Andrew Andronikos_Andronicus Anthemios Anthimos Antiochos Antonios_Antonius Apollonios Arsenios Artemios Athanasios_Athanasius Bardas</t>
  </si>
  <si>
    <t>Bartholomaios_Bartolomeus Basileios_Basil Belisarios_Belisarius Boethios Bosporios Christophoros_Christopher Chrysanthos Chrysogonos Damianos_Damian Daniel_Daniel David_David Demetrios_Demetrius Diogenes Dionysios_Dionysus Dorotheos Eirenaios Eudoxios Eustratios</t>
  </si>
  <si>
    <t>Eugenios_Eugene Euphemios Eusebios_Eusebius Eustathios_Eustace Evangelos Gabriel_Gabriel Gennadios_Gennadius Georgios_George Gerasimos Germanos_Germanus Gregoras_Gregory Gregorios_Gregory Hektorios_Hector Helias_Elijah Herakleios_Heracles Hierotheos Himerios</t>
  </si>
  <si>
    <t>Hippolytos_Hippolytus Hypatios Iakobos_Jacob Ignatios_Ignatius Innokentios_Innocent Ioannes_John Ioannikios Iordanes_Jordan Ioseph_Joseph Isaakios_Isaac Isaias_Isaiah Isidoros_Isidoros Ioulianos_Julian Ioustinianos_Justinian Ioustinos_Justin Kaisarios_Caesar</t>
  </si>
  <si>
    <t>Kallinikos Kallistos_Callistus Komitas Konstantinos_Constantine Konstantios_Constantius Konstas_Constans Kosmas_Cosmas Kyriakos_Cyriacus Kyrillos_Cyril Kyros Laurentios_Laurence Lazaros_Lazarus Leon_Leo Leontios_Leontius Loukas_Luke Makarios Manuel Markos_Marcus</t>
  </si>
  <si>
    <t>Matthaios_Matthew Maurikios_Maurice Maximos_Maximus Megistos_Magnus Meletios Methodios Michael_Michael Narses Neophytos Nikephoros_Nikephoros Niketas Nikodemos Nikolaos_Nicholas Niphon Orestes Pamphilios Pankratios_Pancras Pantoleon Paschalis_Pascal</t>
  </si>
  <si>
    <t>Pavlos_Paul Pelagios_Pelagius Petros_Peter Philaretos Philippos_Philip Philotheos Phokas Photios Polykarpos Porphyrios Prokopios_Procopius Pyrros Raphail_Raphael Romanos_Roman Sabas Samuel_Samuel Serapion_Seraphin Sebastianos_Sebastian Sergios_Sergius Stephanos_Stephen</t>
  </si>
  <si>
    <t>Staurakios Symeon_Simon Symmachos_Symmachus Theocharistos Theodoros_Theodore Theodosios_Theodosios Theodotos_Theodat Theodoulos Theoktistos Theophanes Theophilos Theophylaktos Thomas_Thomas Tiberios_Tiberius Traianos_Trajan</t>
  </si>
  <si>
    <t>Timotheos_Timothy Tryphon Valerios_Valerius Zacharias_Zachary Zenobios Zenon</t>
  </si>
  <si>
    <t>Adriane_Adriana Agathe_Agatha Agne_Agnes Aikaterine_Catherine Alexandra_Alexandra Alexeia_Alexia Anastasia_Anastasia Anna_Anna Anthe Anthousa Antipatra Antonia_Antonia Apollonia Athanasia Barbara_Barbara Basillike</t>
  </si>
  <si>
    <t>Chrysogone Damiane Demetra Dionysia Dorothea_Dorothy Aigidia Eirene_Irene Elaiodora Epiphania Eudokia_Eudocia Eudoxia_Eudocia Eugenia_Eugenia Eulalia Eunike Euphemia_Euphemia Euphrasia Euphrosyne_Euphrosyne</t>
  </si>
  <si>
    <t>Eupraxia Eusebia Eustathia Evanthia Gabrielia Garyphallia Georgia_Georgia Gregoria Helene_Helen Hypatia Ioanna_Joan Ioulia_Julia Iouliana_Juliana Ioustina_Justina Kale Konstantia_Constantia Konstantine_Constantina Kyra Kyriake_Kyriake</t>
  </si>
  <si>
    <t>Leontia Margarita_Margaret Maria_Maria Markia_Marcia Martha_Martha Melissa_Melisende Nikarete Nikoletta Nonna Parthena Pavlina_Paulina Pelagia Petronia_Petronia Philippa_Philippa Phyllis Pulcheria_Pulcheria Rhodanthe Romane Romylia Sergia_Sergia Sibylla_Sibylla</t>
  </si>
  <si>
    <t>Simonis Sophia_Sophia Stephania_Stephania Thekla Theochariste Theodora_Theodora Theodosia_Theodosia Theognosia Theoktiste Theophano Thomais Valeria_Valeria Viviana_Viviana Xene Zenobia Zoe</t>
  </si>
  <si>
    <t>mat_grf_name_chance = 50</t>
  </si>
  <si>
    <t>alan = {</t>
  </si>
  <si>
    <t>graphical_cultures = { easternslavicgfx }</t>
  </si>
  <si>
    <t>color = { 0.7 0.5 0.7 }</t>
  </si>
  <si>
    <t>Ælbeg Æmbalan Aghsartan Alatey Akhsar Anbal Anbazuk Aravat Arsen Askhkadar Ashot_Ashot Aslan Aspar Athom Balambar Balsag Barlah Bæqætar Basil_Basil Bazuk Beler Ber Biræg Boz-Uruz Buürgur Buriberdi</t>
  </si>
  <si>
    <t>Burikhan Candak Chelakhsartag Davit_David Djadaron Durgulel Dzæræs Gætæg Georgy_George Girgon Gokhar Gubaz Guram_Guaram Hasqar Huddan Istor Itaz Iveri Kandak Kandz Kavtia Kaur</t>
  </si>
  <si>
    <t>Khankhusy Khætag Konstantin_Constantine Kubal Kuddana Kul Kuluk Lak Levan_Leo Pulad Respendial Rosmag Safrak Sakhir Sangipan Saros Sathis Savkudz Soslan Suarn Syrdon Taymuraz_Teimuraz Taus Totraz Urdure Uruzma Uturku Yasynya Zaur</t>
  </si>
  <si>
    <t>Adadza Alda Altun Ana_Anna Atsyrukhs Baia Bedisa Borena Btsenon Burudukan Duda Elene_Helen Eliso Gergana Gulchara Guranduht_Gorandukht Kera Keratsa Ketevan_Catherine Koser</t>
  </si>
  <si>
    <t>Lamara Lashin Lela Mariami_Maria Natia Nino Rusudan Sanatha Satinik_Satinik Shatana Shorena Shukhia Tamari_Tamar Tinatini Tsiala Vardo Vedokha Yeran</t>
  </si>
  <si>
    <t>male_patronym = "y fyrt"</t>
  </si>
  <si>
    <t>female_patronym = "y chyzg"</t>
  </si>
  <si>
    <t>georgian = {</t>
  </si>
  <si>
    <t>color = { 0.6 0.3 0.8 }</t>
  </si>
  <si>
    <t>Adarnase_Atrnerseh Aghsartan Aleksandre_Alexander Andronik_Andronicus Anzori Archili Ashot_Ashot Bagrat Bakur_Bagour Davit_David Demetre_Demetrius Demna Djavakhi Erekle_Heracles Gabrieli_Gabriel Gagiki_Gagik Giorgi_George Grigoli_Gregory Guaram_Guaram Gubaz</t>
  </si>
  <si>
    <t>Gurgen_Lupo Iese Ioane_John Ishkhanik_Ishkhan Iveri Jarji Kaikhosro_Keykhosrau Kakhi Koba Konstantine_Constantine Kvarkvare Kvirike Levan_Leo Luarsab Malkhazi_Malkhas Mamia Merab Mikheil_Michael Mukhran Nerse_Narses Nikoloz_Nicholas Okhropir Orbeli</t>
  </si>
  <si>
    <t>Padla Samoeli_Samuel Shanshe_Shahanshah Shota Simon_Simon Stepanoz_Stephen Sumbat_Smbat Teimuraz_Teimuraz Tornike_Tornik Ushisha Vache Vakhtang_Vakhtank Zurab Zviad</t>
  </si>
  <si>
    <t>Ana_Anna Baia Bedisa Borena Chiora Chito Dali Dedika Duda Dzabuli Elene_Helen Eliso Endzela Gogutsa Gulchara Guliko Gulisa Gulvardi Guranduht_Gorandukht Gvantsa Ia Judjuna</t>
  </si>
  <si>
    <t>Kekela Ketevan_Catherine Lamara Lamzira Lela Mariami_Maria Mathiko Mthvarisa Mzekhar Natia Nino Rusudan Sanatha Shorena Shukhia Suliko</t>
  </si>
  <si>
    <t>Tamari_Tamar Taplo Tinatini Tsiala Vardo</t>
  </si>
  <si>
    <t>male_patronym = "s dze"</t>
  </si>
  <si>
    <t>female_patronym = "shvili"</t>
  </si>
  <si>
    <t>assyrian = {</t>
  </si>
  <si>
    <t>graphical_cultures = { persiangfx }</t>
  </si>
  <si>
    <t>secondary_event_pictures = bedouin_arabic</t>
  </si>
  <si>
    <t>color = { 0.4 0.3 0.6 }</t>
  </si>
  <si>
    <t>Aba_Abba Abahu_Abahu Abaya_Abaya Abaye_Abaya Abayi_Abaya Abba_Abba Abdima 'Abdisho' Abgar Abimalek Abraham_Abraham Abris Abrisius_Abrisius Acacius_Acacius Achan Achina Addai_Thaddeus Adlai Aggai Ahai_Ahha Ahadabui Ahha_Ahha "Akha d'abuh'" Akh-es-Samain Aqib-Alaha Asa_Asa Ashur_Asher Avahu Avda_Abahu Avdima_Avdima Avdimi_Avdima Avina Avira Azai</t>
  </si>
  <si>
    <t>Babaeus_Babaeus Babai_Babaeus Babowai_Babaeus Babwahi_Babaeus Bar Bar-Abba Barba'shimin Bar-Nabha Bar-Talmai Bar-Timai Bar-Tolmai Bustan_Bustan Caiaphas Cephas_Peter Cephus_Peter Chadlai Chama Chanin_Chanin Chanina_Chanin Chaninai_Chanin Chinena_Chanin</t>
  </si>
  <si>
    <t>Chozai_Chozai Chuma Chunya_Chunya Clopas Dadisho' Denha Dikla_Dikla Diklah_Dikla Dimi Dinkha Dunanu Elisha'_Elisha Eliya Emmanuel_Emmanuel Enosh Ezekiel_Ezekiel Farbokht_Farbokht Foma Giwargis_George Grwgari_Gregory Hanina_Chanin Hnanisho' Hozai_Chozai Idan Idra Ila Isaac_Isaac Isho' Isho'yahb Israel_Israel Kaiapha Karna Katsiu Kelaya Laszio_Lazarus Lazar_Lazarus</t>
  </si>
  <si>
    <t>Lazare_Lazarus Lazaro_Lazarus Lazaros_Lazarus Lazarus_Lazarus Lazarz_Lazarus Lazer_Lazarus Lebbaeus Maadai Macabee_Macabee Maccabee_Macabee Magna_Ma'na Makkikha Maluch Ma'na_Ma'na Marabokht_Farbokht Maremmeh Mari Mikha'il_Michael Moqli Muna Nahir_Nahir Nahor_Nahir Nahur_Nahir Narsai Nazuk Nechunya_Chunya</t>
  </si>
  <si>
    <t>Nehor_Nahir Nehorai Niv Nun Nur Oran_Nahir Pappa Paul_Paul Pethion Petros_Peter Petuel Qaligh Qayyoma Raca_Raka Rachim_Chanin Rahim_Chanin Raka_Raka Raz Raziel_Raphael Rubil Saad Saba_Saba Sabah_Saba Sabba'e_Saba Sabrisho'_Sabrisho' Sabr-Ishu_Sabrisho' Salu Samal Sami_Sami Samiy_Sami Sagi_Sagi Sargis Sava_Saba Sawma</t>
  </si>
  <si>
    <t>Shafer Shahdost Shahlufa Shai Shalmai Shama Shamir Shammai Shemaiah Shem'on_Simon Sheraga_Sheraga Shila Shovai Shraga_Sheraga Sima Sliba-zkha Surin Tabbai Taddai_Thaddeus Talia_Talia Taliah_Talia Talmai_Bartholomew Talya_Talia Tam_Thomas</t>
  </si>
  <si>
    <t>Tam'as_Thomas Ta'mhas_Thomas Targhal Tauma Tavi_Tavi Tavish_Tavi Tevis_Tavis Th'amhais_Thomas Thoma_Thomas Timai_Timothy Tiv Toba Todos Tolmai_Bartholomew Tomarsa_Tomarsa Tamuza_Tomarsa Tulmay_Bartholomew Ukba Yahballaha Yanai Ya'qob_Jacob Yeshua_Joshua Yohannan_John Yosip_Joseph Yousef_Joseph Yunanis_John Zerika</t>
  </si>
  <si>
    <t>Adva Alya Anena Anina Bustan_Bustan Chanina Chasina Chayuta_Chayuta China_Hina Chiyuta_Chayuta Dikla_Dikla Diklah_Dikla Diklit_Dikla Duvsha Hanina_Chanin Hasna Hayuta_Chayuta Hina_Hina Ketina Kitra</t>
  </si>
  <si>
    <t>Magdala Mahalia_Mahalia Mahalie_Mahalia Marfa_Martha Mariam_Maria Marta_Martha Marte_Martha Martha_Martha Marthe_Martha Marti_Martha Martita_Martha Mehalia_Mahalia Meiriona_Meirona Meirona_Meirona Morta_Martha</t>
  </si>
  <si>
    <t>Nahara_Nura Nura_Nura Raz Reuma Saba_Saba Sabah_Saba Samantha Sameah_Sami Samee_Sami Sameea_Sami Samiya_Sami Samiyah_Sami Samiyya_Sami Samya_Sami Sava_Saba Shapira Sima Tabatha_Tabitha Tabby_Tabitha Tabetha_Tabitha</t>
  </si>
  <si>
    <t>Tabitha_Tabitha Tadea_Thaddea Talia_Talia Taliah_Talia Talya_Talia Talitha Tam_Thomasa Tamasin_Thomasa Tami_Thomasa Tammy_Thomasa Tamsin_Thomasa Tamsyn_Thomasa Tamzin_Thomasa Thaddea_Thaddea Thomasa_Thomasa Zeita_Zeta Zeta_Zeta</t>
  </si>
  <si>
    <t>male_patronym = "Bar "</t>
  </si>
  <si>
    <t>female_patronym = "Barta "</t>
  </si>
  <si>
    <t>prefix = yes</t>
  </si>
  <si>
    <t>coptic = { #copto-egyptian</t>
  </si>
  <si>
    <t>color = { 0.6 0.4 0.6 }</t>
  </si>
  <si>
    <t>Aaron_Aaron Abanoub Abderahman_Abderrahman Abianos_Abijah Abisalom Ablarion Abraam_Abraham Agathon_Agathos Agathonikos_Agathonikos Agathos_Agathos</t>
  </si>
  <si>
    <t>Ahmod Aiai Aha Akhom Amon Amakhte An Andronicus Androus_Andrew Anthinos_Anthimos Apanoub Apahour Apamon Apas Aretee Arsenios_Arsenios Ashraf_Ashraf</t>
  </si>
  <si>
    <t>Athanasios_Athanasius Beet Bertouet Biktor_Victor Binyamin_Benjamin Bishoi_Bishara Bolis_Paul Boutros_Peter Cosmas_Cosmos Damianos_Damian Danyal_Daniel</t>
  </si>
  <si>
    <t>Da’oud_David Ennikeran Erhu Ezra_Ezra Farag Gerges Ghabri_Gabriel Guirguis_George Habil_Abel Hanouf Hanri_Henry Hany Haroun_Aaron Hesdy Ilyas_Elijah Ishaaq_Isaac</t>
  </si>
  <si>
    <t>Jerjer_Gregory Jinti Jori Keloj Krystafer_Christopher Kyrillos_Cyril Lot_Lothar Macari_Macarius Marcos_Marcus Mareten Matta_Matthew Mei Mikail_Michael</t>
  </si>
  <si>
    <t>Mikhael_Michael Milad_Milad Mina_Menas Musa_Moses Nakat Nahdi Nishde Nai Naui Nishti Nofr Noub Ounouf Ourot Ouini Ounisht Pajro Pakat Pakhom Pamin</t>
  </si>
  <si>
    <t>Panous Papnouti Pashnona Pasnadi Patape Payom Philotheos Pijimi Pijoul Pikhit Pimen Pimoue Pimoui Pishai Pisha-eneh Pishoui Psote Rami Rashad Rashi</t>
  </si>
  <si>
    <t>Roufail_Rafael Ruweis Shenouda Shenouti Shosi Sim'an_Simon Sok Tadros_Theodore Taio Tawadros_Theodore Touma_Thomas Yakovos_Jacob Yared_Jared</t>
  </si>
  <si>
    <t>Yoannis_John Yousab_Joseph Zacharias_Zachary Zaia_Isaiah</t>
  </si>
  <si>
    <t>Afaf Amunet Asmin Demiana Elpis_Hope Eratee Ese Ester_Esther Fana Hana_Anna Hawwa_Eve Heit Hoeite Ilizabith_Elizabeth Kasrin_Catherine Khnau Khreere Kristina_Christine</t>
  </si>
  <si>
    <t>Lelou Mariam_Maria Marta_Martha Maysoon_Maysoon Meriam_Mary Nefret Paisi Pernoufe Piama Piamun Potamina Raune Ro'oune Sai'ou Samia_Samira Sawsan Shouree Shoushou</t>
  </si>
  <si>
    <t>Sofia_Sofia Stoi Takla Talida_Taliba Taloushem Tanouti Ta'ou Tawaret Uradaa Virina_Veronica</t>
  </si>
  <si>
    <t>from_dynasty_prefix = "en "</t>
  </si>
  <si>
    <t>male_patronym = "psen"</t>
  </si>
  <si>
    <t>crimean_gothic = {</t>
  </si>
  <si>
    <t>graphical_cultures = { crimeangfx byzantinegfx }</t>
  </si>
  <si>
    <t>color = { 0.8 0.4 0.8}</t>
  </si>
  <si>
    <t xml:space="preserve">Achila Adrianos_Adrian Alaricos_Alaric Alexandros_Alexander Alexios_Alexis Amalaric Andreas_Andrew Andronikos_Andronicus Antonios_Antonius Arsenios Athanasios_Athanasius Athanaricos Ataulphus </t>
  </si>
  <si>
    <t>Bartholomaios_Bartolomeus Bosporios Chindasuinto Chintila Christopher_Christopher Damianos_Damian Daniel_Daniel David_David Evaric_Eric Ervigius Ergica</t>
  </si>
  <si>
    <t xml:space="preserve">Eugenios_Eugene Eustathios_Eustace Frederic_Frederick Gabriel_Gabriel Georgios_George Gregoras_Gregory Gregorios_Gregory Hektorios_Hector Helias_Elijah Herakleios_Heracles </t>
  </si>
  <si>
    <t>Iakobos_Jacob Ignatios_Ignatius Innokentios_Innocent Ioannes_John Ioannikios Iordanes_Jordan Ioseph_Joseph Isaakios_Isaac Isaias_Isaiah Isidoros_Isidoros Ioulianos_Julian Ioustinianos_Justinian Ioustinos_Justin</t>
  </si>
  <si>
    <t>Kallinikos Kallistos_Callistus Kyriakos_Cyriacus Kyrillos_Cyril Laurentios_Laurence Leon_Leo Leovigild Liuva Loukas_Luke Markos_Marcus Michael_Michael Nikolaos_Nicholas</t>
  </si>
  <si>
    <t>Pavlos_Paul Petros_Peter Philippos_Philip Radagaisus Raphail_Raphael Roderic_Roderick Samuel_Samuel Saurus Sebastianos_Sebastian Sigericos Sisebutus Sisenando Stephanos_Stephen</t>
  </si>
  <si>
    <t xml:space="preserve">Symeon_Simon Suintila Symmachos_Symmachus Theocharistos Theodoric_Theodore Theodosios_Theodosios Theodat_Theodat Theudis Thomas_Thomas Thorismod Tiberius_Tiberius </t>
  </si>
  <si>
    <t>Timotheos_Timothy Valerios_Valerius Witteric Witiges Zacharias_Zachary</t>
  </si>
  <si>
    <t>Adriane_Adriana Agathe_Agatha Agne_Agnes Aikaterine_Catherine Alexandra_Alexandra Alexeia_Alexia Anastasia_Anastasia Anna_Anna Antonia_Antonia Cixila</t>
  </si>
  <si>
    <t>Dorothea_Dorothy Eirene_Irene Eudokia_Eudocia Ermenberga Eudoxia_Eudocia Eugenia_Eugenia Euphemia_Euphemia Euphrosyne_Euphrosyne</t>
  </si>
  <si>
    <t>Georgia_Georgia Goiswinthia Helene_Helen Ioanna_Joan Ioulia_Julia Iouliana_Juliana Ioustina_Justina Konstantia_Constantia Konstantine_Constantina Kyriake_Kyriake Liuvigoto</t>
  </si>
  <si>
    <t>Margarita_Margaret Maria_Maria Markia_Marcia Martha_Martha Melissa_Melisende Pavlina_Paulina Petronia_Petronia Philippa_Philippa Pulcheria_Pulcheria Recciberga Riccilo Sergia_Sergia Sibylla_Sibylla</t>
  </si>
  <si>
    <t>Sophia_Sophia Stephania_Stephania Theodora_Theodora Theodosia_Theodosia Valeria_Valeria Viviana_Viviana</t>
  </si>
  <si>
    <t>irish = {</t>
  </si>
  <si>
    <t>graphical_cultures = { celticgfx }</t>
  </si>
  <si>
    <t>color = { 0.3 0.8 0.8 }</t>
  </si>
  <si>
    <t>Aaron_Aaron Abbán Abner_Abner Abél_Abel Adomnán Áed_Hugh Áedgen Áeducán Áedán_Hugh Áengus_Angus Affiath Ailbe Ailbrend Ailbrenn Ailchú Aildobur Ailgel Áilgenán Ailgus</t>
  </si>
  <si>
    <t>Ailill Ailpín_Alwin Ainbchellach Áindle Ainftech_Enfidaig Ainmere Airechtach Airfhindán Airfhinnán Airleid Airmedach Amalgaid Amlaíb_Olaf Anfudán Anlón Anmchaid Ánrothán Ardgal</t>
  </si>
  <si>
    <t>Ardgar Art_Arthur Artbran Artgal Artgus Artucán Artúr_Arthur Assiucc Augaire Augustín_Augustine Aurthuile Báethgalach Báethíne Báetán Béoáed Barrfhind Beccán Berrach Bhátair_Walter</t>
  </si>
  <si>
    <t>Blathmacc Bran_Bran Brandub Brangen Bressal Brian_Brian Briccéne Briccíne Broccán Bruatur Bruide_Bride Brénaind Brénainn Bróen Búaidbéo Caicher Cailech Cailte Cairbre_Carbrey</t>
  </si>
  <si>
    <t>Cairell Caisséne Caissín Caissíne Canann Canannán Carlus_Charles Cathal Cathalán Cathassach Cathbad Cathmáel Cathmál Cathnio Cathub Causantín_Constantine Caílte Caínchomrac</t>
  </si>
  <si>
    <t>Caíndelbán Ceithernach Cellach Cellachán Cennétig_Kentigern Cenn-Fáelad Cennlachán Cerball Cernach Cernachán Cian Ciarán Cilléne Cillíne Cináed_Kenneth Clemens_Clement Cobthach</t>
  </si>
  <si>
    <t>Coirpre Colcu Colmán_Nicholas Columb_Nicholas Comgán Conaing Conall_Conall Conallán Conamail Conán_Conan Conchenn Conchobar Condla Congal Congalach Congus Conlang Conmac Conmacc</t>
  </si>
  <si>
    <t>Conmáel Conmál Conn_Conn Connla Conrí Constans_Constantius Constantín_Constantine Corbb Corbán Corccán Corcrán Cormac Coscrach Coílboth Crimthann Crundmáel_Crundmáel Cruinnmáel_Crundmáel</t>
  </si>
  <si>
    <t>Críchán Crónán Cuilén Cuindles Cuircthe Cummascach Cáemán Cóelbad Cóelub Cóemán Cú-Allaid Cú-Bretan Cú-Caech Cú-Cen Cú-Cen-Máthair Cú-Cúaráin Cú-Gamna Cú-Roí Cúanu Cúldub Cúán</t>
  </si>
  <si>
    <t>Cúánán Dabíd_David Daigre Dalbach Dallán Daniél_Daniel Dathal Dathgus Demmán Diarmait_Dermid Doedgus Domangart Domnall_Donald Donn Donnchad_Duncan Donncuan_Duncan Donndubán Donngal</t>
  </si>
  <si>
    <t>Donnucán_Duncan Doélgus Drost Drust Dub-dá-Lethe Dubcenn Dubgenn Dubh_Duff Dubhghall_Dugald Dubhglais_Douglas Dubthach Dubáed Dubán Duiblesc Duibne Dunáed Dálach Dícuill Díglach Dímmae</t>
  </si>
  <si>
    <t>Dímmasach Dímmán Dínertach Dúnacán Dúnadach Dúnchad_Duncan Dúngal Dúngalach Dúnlang Éamonn_Edmund Echmarcach Échtgal Échtgus Echthigern Echuid Éicnech Éicnechán Eláir Énna Énri_Henry Éochad</t>
  </si>
  <si>
    <t>Eochaid_Eochaid Eochu Eochucán Éogan_Eugene Erc_Eric Ercaid Ercáed Ercán Éremón Érennach Ernán Eterscél Eógan_Eugene Eóganán_Eugene Fachtna Fairchellach Fallaman Farannán Faílbe Fearghus_Fergus</t>
  </si>
  <si>
    <t>Fechtnach Fedach Fearchar_Farquhar Fedelmid Feirgil Felic Fer-Fugaill Feradach_Feradach Ferdomnach Fergal Fergus_Fergus Fiachnae Fianchú Findbarr Fingen Finguine Finn_Finn Finnacán Finnbarr</t>
  </si>
  <si>
    <t>Finnchú Finnlagh_Findlay Finnsnechtae Fintan Flaithbertach Flaithem Flaithemán Flaithgus Flaithrí Flann Flannacán Flannchad Flannán Fogartach Folachtach Forannán Forbassach Fothad Fothud</t>
  </si>
  <si>
    <t>Fuacarta Fubthad Fuirechtach Fursu Fáelcar Fáelchad Fáelchú Fáeldobur Fáelgus Fáelán Fáelbe Fíachnae Fíadchú Fíngin Fínsnechta Fócarta Gabrán Garalt Garbith Gilla-Íosa Gilla-Brígte_Gilbert</t>
  </si>
  <si>
    <t>Gilla-Coluim Gilla-Comgáin Gilla-Críst_Gilchrist Gilla-na-Náem Gilla-Pátraic_Gilpatrick Gilla-Ruad_Gilroy Glaisiuc Glaschu Glún-Iairn Gofraid_Godfrey Gormacán Gormgus Gormán Guaire Gáethán</t>
  </si>
  <si>
    <t>Gáethíne Gósacht Iacob_Jacob Iarlaithe Imchad Indrechtach Ioseph_Joseph Íomhar_Ivar Labraid Lachtnae Lachtnán Lachtnéne Laidcenn Laidgenn Laidíne Laisrén Lennán_Lennon Lethlobur Liam_William</t>
  </si>
  <si>
    <t>Liber Lochlann Loingsech Lonán Lorcán Lugh_Leon Lugaid Lugáed Láegaire Lóchéne Lóchíne Lóeguire Mac-Laisre Mainchíne Maine Manchán Martan Mathgamain Matudán Minchán Mo-Chonna Mo-Lua Móenach</t>
  </si>
  <si>
    <t>Morand Morann Mugrón Muirchertach Muirecán Muiredach_Murdoch Muirgius Murchad Murchú Máel-Anfaid Máel-Bresail Máel-Brígte Máel-Cein Máel-Cianáin Máel-Ciaráin Máel-Coluim_Malcolm Máel-Corgis</t>
  </si>
  <si>
    <t>Máel-Dubh_Maldoven Máel-Dúin Máel-Fothartaig Máel-Fábaill Máel-Íosa_Malise Máel-Máedóc Máel-Martain Máel-Mórda Máel-Muire_Malmure Máel-Míchíl Máel-Petair Máel-Pátraic Máel-Ruanaid Máel-Sechnaill</t>
  </si>
  <si>
    <t>Máel-Tólai Máelán Máenach Máthair Múadán Nadarchu Nannid Natfraech Natfraich Natsluaig Nechtan_Nathan Niall_Nigel Niallgus Niallán Nuadu Odrán Óengus_Angus Óenucán Oisséne Oissíne Olcán Ólchobar</t>
  </si>
  <si>
    <t>Onchú Orthanach Oscar_Oscar Pátraic_Patrick Petair_Peter Pilib_Philip Pól_Paul Proinsias_Francis Rechtabra Riacán Riaguil Robartach Rogallach Rogellach Ruah_Roy Ruaidrí_Roderick Ruarcc Rumann</t>
  </si>
  <si>
    <t>Ráthach Rígán Ríán Ródán Rónchú Rónán_Ronan Rúadacán Rúadán Scandal Scandlán Scellán Scolaige Séaghdha_Shaw Séafra_Godfrey Séamas_Jacob Seán_John Sechnassach Selbach Senchán Seoán_John Sinach</t>
  </si>
  <si>
    <t>Siothrún_Godfrey Slébíne Snedgus Sogan Somhairle_Somerled Suibne_Sweeny Sáerbrethach Sárán Séigíne Sétna Sétnae Tadg_Tadg Taithlech Talorc_Talore Talorcán_Talorcán Temnén Tigernach Tigernán</t>
  </si>
  <si>
    <t>Tipraite Tomaltach Tomás_Thomas Torccán Trenchad Trengus Tressach Tuathalán Tuireann_Taran Tálán Tóla Túathal_Tuathal Ualgarg Ualan_Valentin Ualtar_Walter Úamnachán Uargal Uargalach Uargus</t>
  </si>
  <si>
    <t>Uilliam_William Ultán</t>
  </si>
  <si>
    <t>Ablach Áedammair Affraic_Euphemia Aíbinn Aibilín_Eva Aileann Áine_Agnes Anlaith Aróc Barrdub Ben-Laigen Ben-Míde Ben-Muman Ben-Ulad Brigit_Brigit  Bé-Fáil Bébinn Cacht Caillech-Fhinnéin</t>
  </si>
  <si>
    <t>Cainnech Caisséne Caitilín_Catherine Caíntigern Caírech Cathán Catríona_Catherine Cellach Ciar Cnes Coblaith_Cobflaith Cobflaith_Cobflaith Conchenn Condál Crínóch Crístina_Christina Cumman</t>
  </si>
  <si>
    <t>Deirdre Der-bForgaill_Devorguilla Derbáil Derborgaill_Devorguilla Der-Ilei_Derilla Der-Lugdach Dianaim Doriend Dub-Dil Dub-Essa Dub-Lemna Dubchoblaig Dubgilla Dúinsech Dúnlaith Echrad Éibhleann</t>
  </si>
  <si>
    <t>Eilionora_Eleanor Eithne_Eithne Ellbríg Emer_Emer Étaín Éua_Eva Euginia_Eugenia Faílenn Fedelm Finneacht Finnguala_Finnguala Flann Forbflaith Fíne Garb Gelgéis Gerróc Gnathnad Gormflaith_Gormflaith</t>
  </si>
  <si>
    <t>Gormlaith_Gormflaith Gráinne Imag Íte Lann Lasairfíona Lathir Lerben Lerthan Lígach Lucia_Lucia Martha_Martha Mauda_Matilda Muadhnait_Mona Muirenn_Murron Muirgel_Muriel Muirne_Morna Máel-Mide</t>
  </si>
  <si>
    <t>Máel-Muire_Malmure Máire_Maria Máiread Máirgred_Margaret Mór_Mor Mór-Muman Nárbflaith Nuala_Finnguala Órlaith Órnat Róis_Ros Sadb Samthann Scáthach Sébdann Selblaith Seonaid_Joan Sinech Siobán_Joan</t>
  </si>
  <si>
    <t>Sisuile Sláíne_Slaine Sorcha_Sorcha Suaibsech Sáerlaith Sétach Síthmaith Tailefhlaith Tailltiu Temair Tuathflaith Tómnat Uallach Uasal Úna_Una</t>
  </si>
  <si>
    <t>male_patronym = "mac "</t>
  </si>
  <si>
    <t>female_patronym = "nic "</t>
  </si>
  <si>
    <t>pat_grm_name_chance = 30</t>
  </si>
  <si>
    <t>scottish = {</t>
  </si>
  <si>
    <t>color = { 0.3 0.7 0.7 }</t>
  </si>
  <si>
    <t>Adam_Adam Alpin_Alwin Alan_Alan Alastair_Alexander Alexander_Alexander Andrew_Andrew</t>
  </si>
  <si>
    <t>Angus_Angus Archibald_Archibald Arthur_Arthur Arran Aulay_Olaf Beathan Brian_Brian Brice_Brice Cailean_Nicholas Calum_Nicholas Carbrey_Carbrey Colban_Kolbein</t>
  </si>
  <si>
    <t>Colin_Nicholas Conall_Conall Conan_Conan Constantine_Constantine David_David Dermid_Dermid Donald_Donald Douglas_Douglas Duff_Duff Dugald_Dugald</t>
  </si>
  <si>
    <t>Duncan_Duncan Edgar_Edgar Edward_Edward Edwin_Edwin Eric_Eric Evander_Ivar Ewan_Eugene Farquhar_Farquhar Fergus_Fergus Fingal_Finn Findlay_Findlay Frang_Francis</t>
  </si>
  <si>
    <t>Gavin_Gavin Gilbert_Gilbert Gilbride_Gilbert Gilchrist_Gilchrist Gillespie Gilpatrick_Gilpatrick Gilroy_Gilroy Giric_Gregory Glenn Godfrey_Godfrey Gregor_Gregory</t>
  </si>
  <si>
    <t>Hamish_Jacob Hector_Hector Henry_Henry Hugh_Hugh Iain_John Indulf James_Jacob John_John Kenneth_Kenneth Kentigern_Kentigern Lachlan_Roland Laurence_Laurence Lennon_Lennon</t>
  </si>
  <si>
    <t>Lulach Macbeth Magnus_Magnus Malcolm_Malcolm Maldoven_Maldoven Maldred_Maldred Malise_Malise Malmure_Malmure Maoilios Marcas_Marcus</t>
  </si>
  <si>
    <t>Matad_Matad Matthew_Matthew Michael_Michael Morgan_Morgan Muir Mungo_Mungo Murdoch_Murdoch Murray Neil_Nigel Ninian_Ninian Oscar_Oscar</t>
  </si>
  <si>
    <t>Patrick_Patrick Paul_Paul Peter_Peter Philip_Philip Radulf_Ralph Ranald_Reinhold Richard_Richard Robert_Robert Roderick_Roderick Ronald_Ragnvald Rory_Roderick Ross Roy_Roy</t>
  </si>
  <si>
    <t>Shaw_Shaw Simon_Simon Somerled_Somerled Stephan_Stephen Sweeny_Sweeny Tadhg_Tadg Talore_Talore Thomas_Thomas Torquil_Torkel Uhtred_Uhtred Uisdean_Eysteinn Walan_Valentin</t>
  </si>
  <si>
    <t>Waldeve_Waltheof Walter_Walter William_William</t>
  </si>
  <si>
    <t>Ada Affraic_Euphemia Agnes_Agnes Aileen_Helen Alice_Alice Anna_Anna Annabella Aufrica_Euphemia Barabal_Barbara Beileag_Elizabeth Beitris_Beatrice Beathoc_Beatrice Bride_Brigit</t>
  </si>
  <si>
    <t>Catriona_Catherine Cecilia_Cecilia Christina_Christina Deirdre_Deirdre Derilla_Derilla Dervorgilla_Dervorgilla Donada Donella</t>
  </si>
  <si>
    <t xml:space="preserve">Edith_Edith Edna_Eithne Effie Eilionoir_Eleanor Eimhir_Emer Eithne_Eithne Ela Eleanor_Eleanor Elspeth_Elizabeth Euna Eva_Eva Fenella_Finnguala Fingola_Finnguala Flora_Flora </t>
  </si>
  <si>
    <t>Forflissa Galiena Glenna Gormelia_Gormflaith Gruoch Helen_Helen Innes Iona Isabel_Elizabeth Isla Isobel_Elizabeth Jean_Joan Julia_Julia</t>
  </si>
  <si>
    <t>Kenna Kentigerna Kirstin_Christina Lillias_Lillian Lorna Malmure_Malmure Maisie_Margaret Malina Margaret_Margaret Mariota_Mariota Marjory_Marjory Mary_Maria</t>
  </si>
  <si>
    <t>Martha_Martha Marthoc_Marjory Maud_Matilda Maura_Maria Mirren_Murron Mor_Mor Morag_Mor Morna_Morna Moyna_Mona Muriel_Muriel</t>
  </si>
  <si>
    <t>Murron_Murron Nuala_Finnguala Orabilia Peigi_Margaret Rhonda Rodina Ronalda_Ragnhild Ros_Ros Saundra_Alexandra Sheena_Joan Shona_Joan Sholto Slaine_Slaine Sorcha_Sorcha Una_Una</t>
  </si>
  <si>
    <t>tribal_name = "TRIBAL_NAME_PROV_CLAN"</t>
  </si>
  <si>
    <t>pictish = {</t>
  </si>
  <si>
    <t>color = { 0.2 0.6 0.6 }</t>
  </si>
  <si>
    <t>Achiuir_Arthur Aethon_Hugh Aenbecan Allan_Alan Allcallorred Allisander_Alexander Aniel Ardle Auust_August Bili_Beli Bran_Bran Breth Bridei_Bride Briog_Briog Broichan_Brychan</t>
  </si>
  <si>
    <t>Brude_Bride Caltram Canu_Conn Canuall_Conall Canan_Conan Caradaig_Caradog Caruorst Castant_Constans Castantin_Constantine Ciniod_Kenneth Crup Dabuut_David Deocillimon Deoord</t>
  </si>
  <si>
    <t>Domelch_Donald Drest Drosten_Tristan Eddarrnonn Elpin_Alwin Enuidaig_Enfidaig Erpin_Urban Galam Ganant_Gerontius Garalt_Gerald Gede Gest Gigurum_Gregory Girom Idual_Idwal</t>
  </si>
  <si>
    <t>Iduallon_Idwallon Iestan_Justin Iuan_John Irb_Urban Lutrin Mael_Mael Maelchon_Malcolm Manath Mordeleg Morleo Murtolic Naiton_Nathan Ninian_Ninian Pedric_Patrick Pedur_Peter</t>
  </si>
  <si>
    <t>Paul_Paul Pidarnoin_Paternus Ru_Rucenus Ruatirch_Roderick Rubert_Robert Rudri_Roderick Telurg_Talore Telurgan_Talorcán Taran_Taran Tarla_Tadg Uipoig Uist Uuochu_Eochaid</t>
  </si>
  <si>
    <t>Uoret Unen Unuist_Angus Urguist_Fergus Usuullt_Oswald Uthoil Uudrost Uuen_Eugene Uuid Uuirp_Eric Uuredach_Feradach Uuroid</t>
  </si>
  <si>
    <t>Addiena_Addiena Abrella_Abrelda Allust_Alice Arnemetia Brethoc_Beatrice Bride_Brigit Bronuen_Bronwen Caitrion_Catherine Cristin_Christina Durilia_Derilla Elaine_Elaine</t>
  </si>
  <si>
    <t>Elen_Helen Eua_Eva Madru_Matrona Maelmurie_Malmure Mairi_Maria Margrud_Margaret Maud_Matilda Mor_Mor Morag_Mor Morien_Murron Muriel_Muriel Neulina_Neulenna Sara_Sarah</t>
  </si>
  <si>
    <t>Siunod_Joan Uen_Gwen Uluen_Olwen Uuena_Eugenia Uunis_Agnes Uusbail_Elizabeth</t>
  </si>
  <si>
    <t>male_patronym = "map "</t>
  </si>
  <si>
    <t>female_patronym = "verch "</t>
  </si>
  <si>
    <t>welsh = {</t>
  </si>
  <si>
    <t>color = { 0.3 0.8 0.6 }</t>
  </si>
  <si>
    <t>Adda Adgar_Edgar Adran_Adrian Aeddan_Hugh Alan_Alan Aldwr_Aldroenus Algwyn_Alwin Alisander_Alexander Alured_Alfred Alwyn_Alwin Anarawd</t>
  </si>
  <si>
    <t>Andreas_Andrew Aneurin Anlaff_Olaf Anllech Annwn_Antoninus Argad_Arcadius Arod Arthen_Artemius Arthfael Arthfoddw_Arthbodus Arthwr_Arthur</t>
  </si>
  <si>
    <t>Arthws Arthwys_Artorius Asa Asaph Awst_August Bangar Bedwyr Beli_Beli Berthgwyn_Berhtwine Berthwallt_Berthoald Bleddyn_Bleddyn Bledrig_Bledrig</t>
  </si>
  <si>
    <t>Bleiddud_Bleiddud Branwaladr_Branwaladr Bride_Bride Briog_Briog Brochfael_Brogmaglus Brwt_Brutus Brwyn Brychan_Brychan Brân_Bran Cadell Cadeyrn</t>
  </si>
  <si>
    <t>Cadfael Cadfan Cadog_Cadog Cadw_Cadw Cadwal Cadwaladr_Cadwaladr Cadwallon_Cadwallon Cadwared_Cadwared Cadwgan Cadwr_Cadwr Cai_Gaius Caid Cain</t>
  </si>
  <si>
    <t>Caradog_Caradog Casnar Caswallon Cawdaf Cedig_Caedicius Cedwyn Ceneu Ceredig_Caratacus Clydog_Louis Coel Corentin_Corentin Cuhelyn</t>
  </si>
  <si>
    <t>Custennin_Constantine Cwlfyn_Culmin Cwrig_Cyriacus Cydifor Cydrych Cynan_Conan Cynddelw_Cynddelw Cyndyddan_Cyndyddan Cynddylan Cyndeyrn_Kentigern</t>
  </si>
  <si>
    <t>Cynfael_Cynfael Cynfarch_Cynfarch Cynfawr Cynfeddw Cynfelyn_Cynfelyn Cynfran Cynfyn Cyngar_Cyngar Cyngen_Cyngen Cynwallon_Cynwallon Cynwared</t>
  </si>
  <si>
    <t>Cynwrig Cynwyd Cynyr Cysteint_Constans Dafydd_David Deheuwant Deiniol_Daniel Dewi_David Dogfael Drystan_Tristan Dumnagual Dwyfan_Damian</t>
  </si>
  <si>
    <t>Dyfnarth_Donyarth Dyfnwal_Donald Dyfnwallon_Dyfnwallon Dynod_Donatus Dywel_Dywel Edern_Eternus Ednyfed_Ednyfed Ednywain Edryd_Ailred Edwyn_Edwin</t>
  </si>
  <si>
    <t>Edylfred_Aethelfred Einion Elfin_Alwin Elidyr Elis Elisedd Elud Elystan_Alstan Emrys_Ambrosius Enfidaig_Enfidaig Erb_Urban Erclwf_Heracles</t>
  </si>
  <si>
    <t>Eudaf_Octavius Ewyas Ffernfael_Ffernfael Ffilip_Philip Ffriog_Friog Ffwdwr Fragan_Fragan Ffransis_Fransis Fychan Fyrsil Gamon Garmon_Germanus</t>
  </si>
  <si>
    <t>Geraint_Gerontius Gerallt_Gerald Glwyddien Glywys_Claudius Godwyn_Godwin Goronwy Gronw Gruffydd_Ruffinus Grygor_Gregory Guret Gwalchmai_Gavin</t>
  </si>
  <si>
    <t>Gwen Gwenwynwyn Gwerstan_Werestan Gwerthefyr_Vortimer Gwerthern_Vortigern Gwydol_Vitalis Gwydolin_Vitalinus Gwyn_Finn Gwidyr Gwilym_William</t>
  </si>
  <si>
    <t>Gwrfawr_Gwrfawr Gwrfoddw Gwrgant_Fergus Gwrgeneu_Gwrgeneu Gwrgi_Gwrgi Gwriad_Viriathius Harri_Henry Herewallt_Hereweald Huw_Hugh Hywel_Hywel</t>
  </si>
  <si>
    <t>Iago_Jacob Ivor_Ivar Idnerth_Idnerth Idwal_Idwal Idwallon_Idwallon Iestyn_Justin Ieuan_John Ifor_Ivar Io Ioan_John Iolo Iorwerth Ithel_Ithel</t>
  </si>
  <si>
    <t>Lles_Lucius Llew_Leon Llyr Llywarch_Llywarch Llywelyn Macsen_Maximos Madog_Matad Mael_Mael Maelcwn_Malcolm Maelgwn_Melgwn Maenyrch March_Marcus</t>
  </si>
  <si>
    <t>Maredudd_Murdoch Math_Matthew Mawgan_Mawgan Meilyr Meirchion_Marcianus Meiriadog_Meriadoc Meirion_Marianus Merfyn_Merfyn Meurig_Maurice</t>
  </si>
  <si>
    <t>Mihangel_Michael Morfarch_Morfarch Morgan_Morgan Morien_Morgen Morydd Mwyn_Mungo Myrddin_Martin Neithon_Nathan Nowy_Nowy Nynniaw Oswallt_Oswald</t>
  </si>
  <si>
    <t>Owain_Eugene Oucydd_Eochaid Padern Padrig_Patrick Pandoff Pasgen_Pascentius Padarn_Paternus Pawl_Paul Pedr_Peter Peredyr Publig Pyr</t>
  </si>
  <si>
    <t>Rheinallt_Reinhold Rhicert_Richard Rhigeneu_Ricenus Rhirid Rhiwal_Riwal Rhiwallon_Rhiwallon Rhobert_Robert Rhodri_Roderick Rhufon_Roman</t>
  </si>
  <si>
    <t>Rhun_Rucenus Rhydderch_Roderick Rhydog Rhys Riaged_Riacet Richwin_Richwin Sandde_Sanctus Sawyl_Samuel Seferus_Severin Seisyll_Cecil Selyf_Solomon</t>
  </si>
  <si>
    <t>Senyllt Serigi_Sergius Sieffre_Godfrey Sion Sior_George Siwauna Steffen_Stephen Stinian_Justinanius Sulien_Julian Taliesin_Telesinus Tegonwy</t>
  </si>
  <si>
    <t>Tegwyd_Tadg Teilo Teithfalch Teudebur Tewdos_Theodosius Tewdrig_Thierry Tewdwr_Theodore Tomos_Thomas Trahaearn Tudur Tudwal_Tuathal</t>
  </si>
  <si>
    <t>Tudwallon_Tudwallon Tydy Tyfoedd Tysilio Urien_Urbgenius Uthyr_Victor Ynyr_Honorius Ysfael</t>
  </si>
  <si>
    <t>Addiena_Addiena Aelwyd_Aelwyd Aeronwen Aeronwy Afrella_Abrelda Alys_Alice Angharad Annes_Anna Annest_Agnes Annwyl Anowed Arddyn Arianrhod</t>
  </si>
  <si>
    <t>Blodwen Bronwen_Bronwen Catrin_Catherine Ceindrych_Cagintria Ceridwen Cerie Cerys Cicely_Cecilia Clarisant Creirwy_Creirwy Cristin_Christina Danhadlwen</t>
  </si>
  <si>
    <t>Delyth Denis_Denise Dwynwen Dwywai Dyddgu Efa_Eva Effros_Euphrasia Efrddyl_Aurelia Efyrddyl_Aurelia Eiliwedd Elaine_Elaine Elen_Helen Eleri_Hilaria</t>
  </si>
  <si>
    <t>Elinion Elinor_Eleanor Ellyn Enid Essyllt_Hersilia Euronwy Ffelis_Felicia Ffion Fflur_Flora Ffraid_Brigit Glynys Gwen_Gwen Gwenasedd Gwenfrewi_Winifred Gwenhwyfach</t>
  </si>
  <si>
    <t>Gwenhwyfar Gwenllian Gwenwyn Gwerfyl_Gwerfyl Gwladys_Claudia Haer Hawys_Hawise Heledd Hellawes Heulwen Hunydd Hywela Ilud Isabel_Elizabeth</t>
  </si>
  <si>
    <t>Llear_Clara Llecci Lleigy Lleuca_Lucia Lowry Mabyn Maches Madrun_Matrona Maelrys Mair_Maria Mali Mallt Marared_Margaret Marchell_Marcella Margred_Margaret</t>
  </si>
  <si>
    <t>Marwenna Mawd_Matilda Melisant_Melisende Morganna_Morganna Morien_Murron Myfanwy Nest_Agnes Nesta_Agnes Newlyna_Neulenna Non_Nonna</t>
  </si>
  <si>
    <t>Olwen_Olwen Onbrawst Owena_Eugenia Prawst Ragnell_Ragnhild Rhiaindrech_Rioantdrec Rhiainfelt_Regina Rhiannon_Rhiannon Rhonwen Sannant Sara_Sarah</t>
  </si>
  <si>
    <t>Senena Sibyl_Sibylla Sioned_Joan Siwan Siân_Joan Susanna_Susan Tangwystl_Tancostyla Tegla_Thecla Ysbail_Elizabeth Ystradwel</t>
  </si>
  <si>
    <t>male_patronym = "ap "</t>
  </si>
  <si>
    <t>female_patronym = "ferch "</t>
  </si>
  <si>
    <t>breton = {</t>
  </si>
  <si>
    <t>color = { 0.3 0.5 0.4 }</t>
  </si>
  <si>
    <t>Adoyre Adrien_Adrian Aedan_Hugh Agustin_Augustine Alan_Alan Alar_Alaric Aldrien_Aldroenus Alfrond Alor Alured_Alfred Alwen_Alwin Anaoc</t>
  </si>
  <si>
    <t>Anaubritou Anaugen Anauguethen Anauguoret Anauhocar Andreas_Andrew Aniud Anton_Antonius Argantbri Argantmoet Arnalt_Arnold Arthel</t>
  </si>
  <si>
    <t>Arthguiu_Artorius Arthmael Arthueu_Artorius Arthuiu_Artorius Arthur_Arthur Austol Baldoen_Baldwin Bastian_Sebastian Beli_Beli Beltram_Bertrand</t>
  </si>
  <si>
    <t>Benabic Berenger_Berengar Bernead_Bernard Berthgualt_Berthoald Bledric_Bledrig Bledros Bleidcum Bletcu Blethin_Bleddyn Blethiut_Bleiddud</t>
  </si>
  <si>
    <t>Bodan Bran_Bran Brangualart_Branwaladr Branhucar Branoc Brenci Brendan Breselconan Breselcoucant Breselgar Breseloc Breselueu Brethoc</t>
  </si>
  <si>
    <t>Brient_Brian Brigualt Brioc_Briog Brithael Brochuael_Brogmaglus Bronmael Budguoret Budhoiarn Budic_Benedict Budoc Buhedoc Butgual Cadan</t>
  </si>
  <si>
    <t>Cadaouen Cadarvan Cadiou Cadoc_Cadog Cador_Cadwr Cadou_Cadw Cantgueithen Caradec_Caratacus Caradoc_Caradog Carantoc Catgualart_Cadwaladr</t>
  </si>
  <si>
    <t>Catuallon_Cadwallon Catguethen Catguoret_Cadwared Catgutic Cathno Catnimed Catuod Caurantin_Corentin Ceneu Cenguethen Cenmarhoc Cenmin</t>
  </si>
  <si>
    <t>Cenmonoc Cingur Cinhoedl Clemen_Clement Clodouan Clotwoïon Comoere Conan_Conan Concen_Cyngen Condeleu_Cynddelw Condidan_Cyndyddan Congar_Cyngar</t>
  </si>
  <si>
    <t>Conmael_Cynfael Conmonoc Conogan Conredeu Conuallon_Cynwallon Conmarch_Cynfarch Convelin_Cynfelyn Conwoïon Corguethen Courantgern Courantmonoc</t>
  </si>
  <si>
    <t>Culmin_Culmin Custent_Constans Custentin_Constantine Dauid_David Deniel_Daniel Denis_Denis Deroch Derrien Deui_David Deurhoiarn Domnoret Domuel_Dywel</t>
  </si>
  <si>
    <t>Donual_Donald Donuallon_Dyfnwallon Drogon_Drogo Duenerth Dumnarth_Donyarth Edern_Eternus Edouart_Edward Eguen_Eugene Eon Erispoë Erouan_Yves</t>
  </si>
  <si>
    <t>Estienne_Stephen Etgual Eudon_Otto Euhocar Euhoiarn Eusebi_Eusebius Even_Eugene Evrard_Everard Farinmael_Ffernfael Ferant_Ferdinand Fracan_Fragan</t>
  </si>
  <si>
    <t>Framual Fransaz_Francis Frioc_Friog Garmon_German Geofroi_Godfrey Geralt_Gerald Gereint_Gerontius Gestin_Justin Gilbert_Gilbert Godefroi_Godfrey</t>
  </si>
  <si>
    <t>Goennoc Gouesnon Goulwen Gouremor_Gwrfawr Gourmaelon Gralon Gratcant Gregor_Gregory Grifiud_Ruffinus Guallon Gualter_Walter Gudual Guecon Guenerdon</t>
  </si>
  <si>
    <t>Guenhael Guentanet Guentiern Gui_Guy Guiharan Guihomarch Guihomart Guilherm_William Guincalon Guincum Guinhael Guinhoiarn Guinoc Guinol_Winaloe</t>
  </si>
  <si>
    <t>Guithrit Guitol_Vitalis Guobrian Guocon Guoedanau Guoedatoe Guoednou Guoethoiarn Guoletec Guorbili Guordotal Guoretan Guorethoiarn Guorhoiarn</t>
  </si>
  <si>
    <t>Gurbodu Gurcant_Fergus Gurcencor Gurceneu_Gwrgeneu Gurci_Gwrgi Gurcon Gurdilic Gurgen Gurguaret Gurguist_Fergus Gurguistl_Fergus Gurheter</t>
  </si>
  <si>
    <t>Guriant_Viriathius Gurlouen Gurmael Gurmaeloc Gurmhaelon Gurthcid Gurthiern_Vortigern Guruant Guerech Gueroc Guethenan Guethencar Guethencor</t>
  </si>
  <si>
    <t>Guethenwoïon Guethenhoiarn Guethenoc Haelcomarch Haelguethen Haelguoret Haelhoiarn Haeloc Haeloubri_Herori Haermael Hammelin_Hamelin</t>
  </si>
  <si>
    <t>Hamon_Hamon Harscoit Hedyn Heranal Herri_Henry Hesdren Hincomhal Hinguethen Hocar Hoconan Honfroi_Humphrey Hoël_Hywel Huiarnal Huiarnbili</t>
  </si>
  <si>
    <t>Huiarnviu_Harvey Hunfroi_Humphrey Iacob_Jacob Iarcun Iarnbud Iarncant Iarncar Iarndetguid Iarnegon_Jarnegon Iarnuallon Iarnuocon Iarnhitin</t>
  </si>
  <si>
    <t>Iedechael Iehan_John Ilcarthon Ildut Iliud Inisian Iocilin_Joscelin Iodoc Ionas_Jonah Iosep_Joseph Iudcum Iuduallon_Idwallon Iudhael_Ithel</t>
  </si>
  <si>
    <t>Iudicael_Judicael Iudnerth_Idnerth Iudnimet_Ednyfed Iustoc Iudoc Iudual_Idwal Iumael Iunceneu Iunuocon Iunmonoc Jord_George Leucum Loi</t>
  </si>
  <si>
    <t>Lorens_Laurence Louenan Loumarch_Llywarch Louïs_Louis Maelcon_Maelgwn Maeldoï Maelhuedoc Maeloc Maelscoet Maelscuet Maenceneu Maenci</t>
  </si>
  <si>
    <t>March_Marcus Marthin_Martin Matheudoï Mathias_Matthew Matoc_Matad Matuid Maugan Mauric_Maurice Medrod_Mordred Meldroc Meriadoc_Meriadoc</t>
  </si>
  <si>
    <t>Mermin_Merfyn Meugan_Mawgan Meven Michel_Michael Morcant_Morgan Morcondeleu Morgen_Morgen Morguethen Morhaetho Mormarch_Morfarch Morvan</t>
  </si>
  <si>
    <t>Mortiern Neven Nicolas_Nicholas Nodethael Nodhoiarn Nominoë Nougui_Nowy Oliuer_Oliver Oswallt_Oswald Padric_Patrick Paol_Paul Pascueten_Pasquitan</t>
  </si>
  <si>
    <t>Patern_Paternus Petroc Phelippe_Phillip Piran Prigent Primael Primarhoc Putrael Pêr_Peter Ralf_Ralph Raoul_Ralph Renan Resmen Riacet_Riacet</t>
  </si>
  <si>
    <t>Ribald Ricart_Richard Riceneu_Ricenus Richwin_Richwin Ridoredh Riualtr Rihouen Rinduran Rioc Riol Riwal_Riwal Riuallon_Rhiwallon Rodric_Roderick</t>
  </si>
  <si>
    <t>Roenualloc Roenuallon Roenuolou Roenhoiarn Rolland_Roland Ronan_Ronan Roparth_Robert Roucen_Rucenus Rumon_Roman Ryd Salenn Salomon_Solomon Samson</t>
  </si>
  <si>
    <t>Samuel_Samuel Stefen_Stephen Sulgen_Julian Sulhoiarn Sulmonoc Sultiern Talan Talhoiarn Tanci Tanet Tanhoiarn Telent Terithien Tethion Teudric_Thierry</t>
  </si>
  <si>
    <t>Teudur_Theodore Tibault_Theobald Tiernan Tiernmael Tiernoc Tiernualloc Tiernuallon Treveur Tristan_Tristan Tuduallon_Tudwallon Tudur Tugdual_Tuathal</t>
  </si>
  <si>
    <t>Ungust Urbcen_Urbgenius Urbien_Urban Urblon Urvod Uther_Victor Vincenne_Vincent</t>
  </si>
  <si>
    <t>Aanor Abrelda_Abrelda Adela_Adela Adelaïda_Adelaide Adelindis_Adelinde Adeltrudis_Adeltrudis Aedoc Aeluit_Aelwyd Agnes_Agnes Alana Alis_Alice Anaguistl Anaudat Anaudrec</t>
  </si>
  <si>
    <t>Anauhouguel Anauprost Andrea Anna_Anna Aourcen Aouregan Aourell Aouren Argantan Argantdrec Arganteila Arganteilin Argantguistl Arganthael Argantlon</t>
  </si>
  <si>
    <t>Argantmoet Artaca Avandrec Avenie Beladora_Beladore Berchet_Brigid Berengaria Bernegarda Berta_Bertha Berthildis_Bertha Bertissa Bleutuen_Blodwen Brendana</t>
  </si>
  <si>
    <t>Bronuen_Bronwen Buriana Canna Cateline_Catherine Catguistl Cecilia_Cecilia Ceindrec_Cagintria Ceinguled Cleirui_Creirwy Condeleu Constansa_Constance</t>
  </si>
  <si>
    <t>Cristen_Christina Dengel Deniela Denise_Denise Diuset Dreanau Drebiu Dreguoreth Drelouguen Drichglur Drilego Duihon Elara Eleanor_Eleanor Eleina_Elaine</t>
  </si>
  <si>
    <t>Elena_Helen Elesbed_Elizabeth Elisaued_Elizabeth Elwen Emma_Emma Endellion Ennoguent Enoguen Enora Eonnecte_Joan Erouana_Yvonne Ewsannec Fuandrec Gaela</t>
  </si>
  <si>
    <t>Geberga_Geberga Glades_Claudia Gloiucen Gloiumed Guelet Guenbrith Guencen Guencenedl Guencor Guenguerthlon Guenguistl Guenguiu Guenmon Guenna Guenneret</t>
  </si>
  <si>
    <t>Guennguar Gueruel_Gwerfyl Guigoëdon Guillemecte_Williamette Gwenn_Gwen Halbiu Hawis_Hawise Herannuen Hodierne Igerna Ignoguen Ilcum Ildegarda_Hildegard</t>
  </si>
  <si>
    <t>Iofa Iouenna_Joan Isabelle_Elizabeth Iseult_Hersilia Iudhent Iudlouguen Iudprost Janed_Joan Judhael_Judith Languoret Leonore_Eleanor Leueer Leuhemel</t>
  </si>
  <si>
    <t>Leuoc Louhelic Luncen Maben Magdalene_Magdalena Marguarite_Margaret Mari_Maria Medguistl Meduil Melita Meonre Milian Mona_Mona Morganne_Morganna</t>
  </si>
  <si>
    <t>Morguetel Moruen_Murron Moruith Morvana Neulenna_Neulenna Nodguoret Nodiunet Nolwenne Nonne_Nonna Oncenedl Oncum Onguen Ordguydel Ourcen Ourdilic Perenn</t>
  </si>
  <si>
    <t>Proscen Prosguetel Prostlon Rannoeu Riguistl Rimoet Rioanon Rioanon_Rhiannon Rioantcen Rioantdrec_Rioantdrec Rioantel Rioantguellt_Regina Roenhael Roinoc</t>
  </si>
  <si>
    <t>Ronana Rozenn Rum Rumun Seva Stefania_Stephania Steren Sulcar Sulcen Sulgubri Sulgwen Sulleisoc Sulmed Susanne_Susan Tandrec Tanetbiu Tanetlowen</t>
  </si>
  <si>
    <t>Tanguistl_Tancostyla Tedvil Tephaine Thomine Tibourge_Tiburge Trifine Tristana Uriell</t>
  </si>
  <si>
    <t>male_patronym = "mab "</t>
  </si>
  <si>
    <t>graphical_cultures = { easterngfx }</t>
  </si>
  <si>
    <t>finnish = {</t>
  </si>
  <si>
    <t>graphical_cultures = { ugricgfx }</t>
  </si>
  <si>
    <t>color = { 0.1 0.6 0.6 }</t>
  </si>
  <si>
    <t>Aatos Ahma Aimo Armas Arvo Asikko Ensio Haapa Hannu Havu Hintsa Ihanti Into Jalo Jurva Kaleva Kalevi Kettu Kolli Lalli Lauri_Laurence Lemetti</t>
  </si>
  <si>
    <t>Mielitty Miemo Mikko_Michael Oiva Onni Otso Pyry Päiviö Pentti Reko Sampo Satajalka Satatieto Seppo Susi Tapani Terho Toivo Ukko Uoti Urho Väinö</t>
  </si>
  <si>
    <t xml:space="preserve">Valta Valto Veli Vesa Voitto Erkki_Erik Kaarle_Charles Johannes_John Risto_Christopher Olavi_Olaf Petri_Peter Henri_Henry Yrjö_George </t>
  </si>
  <si>
    <t>Valteri_Walter Riku_Richard Matti_Matthew Jaakoppi_Jacob Taisto Paavo_Paul Aatso_Adam Ahvo Aarto_Artur Asko Tuokko_David Rieti_Frederick</t>
  </si>
  <si>
    <t>Kauro_Gabriel Kuuti_Knut Pekko Soini_Sven Tuure Turo Tommo Tohmas_Thomas</t>
  </si>
  <si>
    <t>Aamu Aino Hellä Helmi Ilta Kaarina_Catherine Käpy Kielo Kukka Lauha Lempi Mahla Maija Marja Mesi Metta Päivä Päivi Pihla Pilvi Rauha Sisko Suoma</t>
  </si>
  <si>
    <t>Taimi Terhi Titti Tuija Tuovi Tuuli Tuulikki Tyyne Tyyni Vanamo Venla Mielikki Hertta Loviisa Inkeri Ilmatar Irene_Irene Ilona_Helen Kristiina_Christina</t>
  </si>
  <si>
    <t>Elisabet_Elizabeth Sohvi_Sofia Auni_Agnes Liekko_Helen Kivutar Lemmikki Lyylikki Salme Talvikki Tuulitar</t>
  </si>
  <si>
    <t>lappish</t>
  </si>
  <si>
    <t xml:space="preserve"> = {</t>
  </si>
  <si>
    <t>color = { 0.4 0.75 0.85 }</t>
  </si>
  <si>
    <t>Ággi Áigesárri Áilu Ámmot Ára Árrajuoksa Ásllat Èoavvá Ahkemiella Algebaeivi Baeivi Baeivvet Biejan Bijás Bilzi Dávgon Duttá Gáivvas</t>
  </si>
  <si>
    <t>Gáktu Henes Járre Jeansa Juvven_John Lágon Lávrrohas Leammá Mellet Mihka Mohkku Mokci Náhkol Náinnas Njulgu Oaván Orddot Rástos Riibma Ruigi</t>
  </si>
  <si>
    <t>Sárra Speaidna Viggu</t>
  </si>
  <si>
    <t xml:space="preserve">Áidná Álgen Állet Èuvje Biellá Biergá Buohttá Duojá Gealá Gierá Giste Juoksáhkká Leandu Máidna Násti Naná Njáves Oajá Sáráhkká Sealggá </t>
  </si>
  <si>
    <t>Seará Soabá Sojá Suoinná Suonjar Uksáhkká</t>
  </si>
  <si>
    <t>ugricbaltic = {</t>
  </si>
  <si>
    <t>Aare Agul Ahas Aho Ahti Ahvo Alar Alo Alur Aopelg Aotõiv Arp Arvet Arvo Atko Aul Aulemb Eeri Elmar Hain Haljas</t>
  </si>
  <si>
    <t>Heameel Heatõiv Hoovatõiv Hurmas Hurmetõiv Hõimulemb Hüvalemb Hüvameel Hüvatõiv Igalemb Igapäiv Ihalemb</t>
  </si>
  <si>
    <t>Ihameel Ihar Ihatõiv Ihavald Illimar Ilmalemb Ilmar Ilvelemb Jaolemb Kaalep Kaarel_Charles Kaaren Kahar Kahru Kahrulemb</t>
  </si>
  <si>
    <t>Kahus Kaido Kalev Kalju Kaljuvald Kalle Kaomeel Karuvald Kaugemeel Kaupo_Jacob Kaur Kiur Kiurupelg Koit Kosk Kudres</t>
  </si>
  <si>
    <t>Küllelemb Leetõiv Lembit Leppetõiv Lible Lättelemb Manivald Mart Maru Mati_Matthew Mats Meelis Mehis Meigo Neeme Niglas</t>
  </si>
  <si>
    <t>Ohetõiv Ohevald Olev_Olaf Onni Otelemb Ott Pihl Piho Pikne Päevalemb Pärt Raak Raho Rahuleid Sulev Susi Sutemeel</t>
  </si>
  <si>
    <t>Sutepelg Tambet Tarva Tarvet Tasulemb Toivo Toom Tunne Tutkas Tuul Tõeleid Tõiv Tõivulemb Tõll Tõnn Uku</t>
  </si>
  <si>
    <t>Urmas Uru Valdur Vambola Vandemeel Varjelemb Veli Vello Venno Vesse Vihavald Vililemb Vilimeel Vilitõiv Vilivald</t>
  </si>
  <si>
    <t>Vootele Väino Värvo Õigemeel Ülo</t>
  </si>
  <si>
    <t>Aasa Ahma Aime Aimo Aita Aldi Ann Anni Annika Are Auli Aune Eha Elo Ere Helbe Hele Helgi Heli Helina Helmi Helve</t>
  </si>
  <si>
    <t>Hiie Hämarik Hüüp Ida Ilme Ilmi Ilo Kai Kaili Kaja Kalli Kare Kati Kiir Kiire Killu Käbi Lagle Laine Lee Leek Leelo Leili</t>
  </si>
  <si>
    <t>Lemme Liis Lill Linda Luule Maija Mari Marja Meeli Niine Ninni Oie Pilve Päivi Põim Salme Sirje Säde Taimi Talvi Tiiu</t>
  </si>
  <si>
    <t>Tuuli Urve Viire Vilja Virge Virve Värvu Õie Õnne Ülane Ülle</t>
  </si>
  <si>
    <t>komi = {</t>
  </si>
  <si>
    <t>color = { 0.5 0.75 0.25 }</t>
  </si>
  <si>
    <t>Andyamo Arnaz Arti Artis Arvo Aymort Azeg Biur Biyar Burmort Chichayka Chuga Dergun Deryab Dobrinya Dokya Dondy Gazheg Hulyen Inzhay Irter Lyneg Lysko Kezhapa Kezhay Kezhedey</t>
  </si>
  <si>
    <t>Kezhevat Kichay Koksha Kuaz Kudym-Osh Kya Kyldysin Malyaka Malyy Meltsayka Mosheg Nalka Nuyaksha Nuyanza Nuyat Nydog Nylog Odeg Onika Osh Oshmar Oshypel Ovtay Ozheg Ozhmeg</t>
  </si>
  <si>
    <t>Pakstyan Paksyay Paksyut Parush Pivtsay Pokshayka Putyayka Pyera Rateg Rayda Sarin Sektev Setyamka Shindyay Shypicha Shyrpuzh Spira Syrka Tikshayka Tuhan Tyueykezhut</t>
  </si>
  <si>
    <t>Tyutyuk Tugan Turush Uchva Varaka Vechkas Velmayka Virdyan Viryas Viryay Vokan Yirkap Ylvan Zarny Zhebeg Zhuneg Zyryan</t>
  </si>
  <si>
    <t>Anava Ashava Asrava Avya Azra-Va Chechama Chenksa Cherava Chichayka Chindyapa Chindyayka Chinzhay Chitska Elyuva Inyava Kanyava Kanyuva</t>
  </si>
  <si>
    <t>Kirdyava Kunava Kunyavka Litava Liyava Mazava Megurka Mel'shay Nezayka Nulzyava Nyal'ka Nyayka Nyumina Nyv Olota Ordava Oshama Öshkamöshka Parava Pekshayka</t>
  </si>
  <si>
    <t>Pemka Pokshava Poshayka Potekay Potyava Putyayka Ravzhava Rayda Ruzava Sanal'ka Sangasa Sernyava Serzhay Setyamka Seyamka Shochynava Shonzhava</t>
  </si>
  <si>
    <t>Shukshtoroyka Sinyava Siyamka Slyugan'ka Sochava Styaka Syryava Tatka Tekay Tetyava Tikshayka Toyaksha Tundava Tundya Unzhutka Upurga</t>
  </si>
  <si>
    <t>Utyayka Valdava Vergava Vezhav Vidyava Virtyava Yalgava Yugörka</t>
  </si>
  <si>
    <t>founder_named_dynasties = yes</t>
  </si>
  <si>
    <t>khanty = {</t>
  </si>
  <si>
    <t>color = { 0.4 0.65 0.20 }</t>
  </si>
  <si>
    <t>samoyed = { # AKA Nenets</t>
  </si>
  <si>
    <t>color = { 0.3 0.75 0.75 }</t>
  </si>
  <si>
    <t>Alik Hasaba Kako Kharuchi Kolik Mandak Nabtiko Nenyts Nga Ngënoh Noumea Num Nyalku Panay Pudak Salinder Samatu Sarak Sirtya Somatu Syudbya Tatva Tolik Vesei Wayngachi Xëryuchi Yadne Yapti Yar Yavlad Yurak</t>
  </si>
  <si>
    <t>Atpälha Auli Galya Ilme Kat Khatyako Kontäw Kujku Laptsui Ngeva Senda Syeju Tada Tadane Yar</t>
  </si>
  <si>
    <t>mordvin = {</t>
  </si>
  <si>
    <t>Andyamo Chichayka Chumbulat Dergun Deryab Dobrinya Erziya Inzhay Kezhapa Kezhay Kezhedey Kezhevat Kichay Kubrat Malyaka Malyy Meltsayka Mordvinko Moksha</t>
  </si>
  <si>
    <t>Nalka Nuyaksha Nuyanza Nuyat Ovtay Pakstyan Paksyay Paksyut Parush Pivtsay Pokshayka Putyayka Setyamka Shindyay Shoksha Syrka Tikshayka</t>
  </si>
  <si>
    <t xml:space="preserve">Tyueykezhut Uchva Varaka Vechkas Velmayka Virdyan Viryas Viryay Atyamas Azyren Chipaz Kardaz Kinyak Koshel Murunza Naruchad Nishkepaz Orunza Puresh Purysho </t>
  </si>
  <si>
    <t>Saksa Shkay Surt Tul Tunya Tutyra Tylmache Tylze Tyushten Tyushtya Uzhara Varmanpaz</t>
  </si>
  <si>
    <t>Anava Ashava Asrava Azra-Va Chechama Chenksa Cherava Chichayka Chindyapa Chindyayka Chinzhay Chitska Elyuva Inyava Kanyava Kanyuva</t>
  </si>
  <si>
    <t>Kirdyava Kunava Kunyavka Litava Liyava Mazava Megurka Mel'shay Nezayka Nulzyava Nuyanza Nyal'ka Nyayka Olota Ordava Oshama Parava Pekshayka</t>
  </si>
  <si>
    <t>Pemka Pokshava Poshayka Potekay Potyava Putyayka Ravzhava Ruzava Sanal'ka Sangasa Sernyava Serzhay Setyamka Seyamka Shonzhava</t>
  </si>
  <si>
    <t>Utyayka Valdava Vergava Vezhav Vidyava Virtyava Yalgava Litova Mastorava Noroava</t>
  </si>
  <si>
    <t>meshchera = {</t>
  </si>
  <si>
    <t>color = { 0.3 0.5 0.5 }</t>
  </si>
  <si>
    <t>lettigallish = {</t>
  </si>
  <si>
    <t>color = { 0.5 0.5 0.1 }</t>
  </si>
  <si>
    <t>Aishno Ako Ankad Baise Balodis Bikshe Borut Bulei Butovit Cirulis Dangeruthe Darbeslave Dausprungas Davins Demas Dobre Dovyat Dzintis</t>
  </si>
  <si>
    <t>Elmede Erasts Erdzivil Galeine Gastile Gedere Gerden Gibedats Giemund Golovke Gotene Gunvald Imanta Janis_John Jaunule Jedetus Juvage Kage</t>
  </si>
  <si>
    <t>Kaire Karijotas Karnak Kaupo Kerstigens Kiten Klavess Kodere Kuliens Kurlemuse Lammekinus Likiik Litto Lonkogveni Manvydas Meinekinus</t>
  </si>
  <si>
    <t>Mendune Nameisis Narvait Pliksov Pukiik Pukuveras Ringaudas Rushky Rusins Sabe Sargun Scurdo Shutr Shvarnas Skornand Sprudeik Stegut</t>
  </si>
  <si>
    <t xml:space="preserve">Steikint Sviendorog Talivaldis Tautvila Traidenis Treniota Vaishvilkas Valikaila Vetseke Viesturs Visheiv Vishikut Vishly Vykantas Yudki </t>
  </si>
  <si>
    <t>Agita Ausala Balba Bitens Brita Daira Darate Dardedze Dose Dzeguze Galene Greze Gunda Gundega Ieva Imela Kordula Liga Maija Marite Naula</t>
  </si>
  <si>
    <t>Rasa Ruta Savna Viba Zigne</t>
  </si>
  <si>
    <t>from_dynasty_prefix = "gada "</t>
  </si>
  <si>
    <t>lithuanian = {</t>
  </si>
  <si>
    <t>color = { 0.56 0.55 0.2 }</t>
  </si>
  <si>
    <t>Algirdas Antanas Antavas Aras Arunas Azuolas Budrys Bukantas Butavas Butigeidis Butvydas Daugvilas Daumantas Dausprungas Dravenis Erdenis Erdvilas Gedigaudas</t>
  </si>
  <si>
    <t>Gediminas Gedivilas Gintaras Gintautas Girdenis Irmantas Jaunutis Jogaila Jovirdas Kantibutas Karijotas Kesgaila Kestutis Korigaila Korybutas</t>
  </si>
  <si>
    <t xml:space="preserve">Lasukas Lingvenis Liudas Lubartas Lutuveras Merkelis Mindaugas Minigaila Mantvydas Movkoldas Narimantas Povilas Pukuveras Rimantas </t>
  </si>
  <si>
    <t>Rimgaila Rimvydas Ringaudas Sarunas Skirgaila Songaila Svarnas Svitrigaila Tarvydas Tovtivilas Traidenis Treniotas Vainius Vaisvilkas Valimantas</t>
  </si>
  <si>
    <t xml:space="preserve">Vidmantas Vingoldas Virmantas Visvaldis Vizgirdas Vykintas Vytautas Vytenis Zivinbudas Zygimantas </t>
  </si>
  <si>
    <t>Aldona Anele Audra Ausra Birute Dannila Danute Evalda Gaudimante Giedre Gintare Jevna Kenna Laima Mikova Roze Saule Svajone Vida</t>
  </si>
  <si>
    <t>from_dynasty_prefix = "iš "</t>
  </si>
  <si>
    <t>prussian = {</t>
  </si>
  <si>
    <t>color = { 0.56 0.55 0.4 }</t>
  </si>
  <si>
    <t>Alvydas Arelis Auctune Bajoras Beidras Budo Dagonis Ekkelis Galindas_Galindo Gauronas Gerdautas Glande Golding Jauguttis Karatas Klukis Kugis</t>
  </si>
  <si>
    <t>Milzas Nomedas Prusas Sergonis Ulinniks Ulitis</t>
  </si>
  <si>
    <t>Betten Dagas Gelennis Gerkus Grasus Gulbis Mila Milyuns Weslikan Ziedas</t>
  </si>
  <si>
    <t>graphical_cultures = { turkishgfx mongolgfx muslimgfx }</t>
  </si>
  <si>
    <t>turkish = { # Oghuz Turkish</t>
  </si>
  <si>
    <t>graphical_cultures = { turkishgfx }</t>
  </si>
  <si>
    <t>color = { 0.85 0.55 0.15 }</t>
  </si>
  <si>
    <t>Çagri Çaka Afsin Ahmet_Ahmad Aksonqor Alaeddin Ali Alkan "Alp Arslan" "Alp Yurek" Alptigin Artuk Ayaz Aydin Aydogan Aydogdu Aytekin Böru Bulend Bahadir Balaban Basbuga Batuhan Baturay Baybars Bayezid Baytas Belek Berkan Berkiyaruk Bozan Bugra Burak Cuneyd Dundar Danismend</t>
  </si>
  <si>
    <t>Davud_David Demir Dogan Dogukan Dukak Erdem Ertan Ertekin Ertugrul Gunduz Hasan_Hasan Hizir Ibrahim_Abraham Ilgazi Inal Iskender_Alexander Kurboga Kaikaus Kaikhusraw Kaiqobad Kara Karatay Kasim Kaya Kaytun Kemal Kiliç Korkut Kutalmis Kutay Kutlug Mursel Mahmud_Mahmud Mehmed_Muhammad Meliksah Mengucek Mesud_Masud Murad_Morad Mustafa_Mustafa Orhan Osman Porsuk Rustem Ramazan_Ramadan Ridvan Söbuk Sökmen Sönmez Suleyman_Solomon Saim Saltuk Saruca Savtekin Savur Sehinsah_Shahanshah Selçuk Selim_Salim Sencer Sinan Tanrivermis Tekin Timurtas Togay Togtekin Toktamis Tolun Toruntay Tugrul Tunga Turgut Turhan Tutus Uluç Umur Yakut Yaman Yinal Yunus_Jonah</t>
  </si>
  <si>
    <t>Çiçek_Çiçek Çilen Çiltanesi Özgul Özlem Akgul Asli Aslihan Ayasun Ayla Ayse Ayten Azize Bahar Banu Bozçin Canan Ceylan Dunya Dilber Dilek Emine</t>
  </si>
  <si>
    <t>Esin Fatma_Fatima Firuze Gulçiçek_Gulçiçek Gulay Gulbahar Gulfem Gulsum Gumus Gunduz Gundes Gunes Hatice Hayat Huriye Ilkay Ilknur Ipek Ipekel Irge</t>
  </si>
  <si>
    <t>Karacik Lale Leyla_Laila Mala Mansure Merve Mutlu Nagihan Nergis Neslihan Nilufer Nur Peksen Terkhen Samur Sarica Sati Sehnaz Serap Serife Sevilay</t>
  </si>
  <si>
    <t>Sevindik Sibel_Sibylla Sirin Sirma Songul Sumru Tekçe Tura Umay Usunbike Vahide Yasar Yeldem Yildiz Zehra Zuhal</t>
  </si>
  <si>
    <t>male_patronym = "oglu"</t>
  </si>
  <si>
    <t>dynasty_title_names = yes</t>
  </si>
  <si>
    <t>nomadic_in_alt_start = yes</t>
  </si>
  <si>
    <t>pecheneg = { # Oghuz Turkish</t>
  </si>
  <si>
    <t>color = { 0.85 0.79 0.25 }</t>
  </si>
  <si>
    <t>Korkutan Kortan Kostas Kourkoutai Kuerçi Kugel Kure Sol Suru Tatus Teber Temir_Timur Tyrach Yavdi Yazi Yeke</t>
  </si>
  <si>
    <t>Çiçek_Çiçek Çilen Çiltanesi Özgul Özlem Akgul Asli Ayasun Ayten Bozçin Dilek Esin Gulçiçek Gulay Gunduz Gundes Gunes Ilkay Ipek Ipekel Irge</t>
  </si>
  <si>
    <t>Karacik Mala Mutlu Peksen Samur Sarica Sati Sevilay Sevindik Sibel Sirin Sirma Songul Tekçe Tura Umay Usunbike Yasar Yeldem Yildiz</t>
  </si>
  <si>
    <t>cuman = { # Kipchak Turkish</t>
  </si>
  <si>
    <t>graphical_cultures = { cumangfx turkishgfx }</t>
  </si>
  <si>
    <t>color = { 0.75 0.60 0.20 }</t>
  </si>
  <si>
    <t>Çilbu Aepak Asalup Asep Atrak Bönek Bachman Begluk Blush Bonyak Borç Eldeçyuk Etrek Girgen Gzi Itlar Ituk Könçek Kobyak Kopti Kotyan Koza</t>
  </si>
  <si>
    <t>Kozel Kubasar Kuntuvdi Kutan Pulad Saru Sevenç Sirçan Sokal Sotan Sugr Törtogul Togli Tolun Tugor Uzluk Uzur</t>
  </si>
  <si>
    <t>khazar = { # Oghur Turkish</t>
  </si>
  <si>
    <t>color = { 0.7 0.45 0.1 }</t>
  </si>
  <si>
    <t>Alp Araslan_Arslan Bagha Baghatur Bälgiçi Barjik Barsbek Bastu Bashtwa Bihor Böri Bugha Bulan Bulçan Busir Buzer Çat Çat'n Çorpan Ilik Iltäbär Itakh Kamaj Karadakh Kayghalagh Khatir Khuterkin</t>
  </si>
  <si>
    <t>Kibar Kisa Kundaçiq Kundaç Mänär Mänäs Mënümarót Ötemis Papaçyz Samsam Sartäç Simsam Täbär Tabghaç Tarkhan Tarmaç Tuzniq Vakrim Yabghu Yavantey Yençepi Yerneslu Yeçtirek Yilig</t>
  </si>
  <si>
    <t>Belet Ezra Hanukkah Hezekiah Isaac_Isaac Manasseh_Manasseh Nisi Yavdi Zebulun</t>
  </si>
  <si>
    <t xml:space="preserve">Çiçäk_Çiçek Çeçeppi Çeçki Çeçtilet Çilen Çiltanesi Özgul Özlem Akgul Asli Ayasun Ayten Bozçin Dilek Esin Gulçiçäk_Gulçiçek Gulay Gunduz Gundes Gunes Ikalay Ilkay Ipek Ipekel Irge </t>
  </si>
  <si>
    <t xml:space="preserve">Karacik Kätyarikka Këlnissa Këlyamal Khatun Lärkka Lyukha Mala Maturkka Mutlu Naça Parsbit Patiyer Paykëlti Peksen Puyantay Samur Sarantay Sarä Sarica Sarikel </t>
  </si>
  <si>
    <t xml:space="preserve">Sati Savaçka Savkëlti Savtilek Savilay_Sevilay Savintik_Sevindik Shurkka Sibel Sirin Sirma Songul Tähtani Tekçe Tura Umay Usunbike Yasar Yeldem Yildiz Yartilek </t>
  </si>
  <si>
    <t>bolghar = { # Oghur Turkish</t>
  </si>
  <si>
    <t>color = { 0.7 0.65 0.15 }</t>
  </si>
  <si>
    <t xml:space="preserve">Almish Alzek Anzi Apskhih Araslan_Arslan Asparukh Balamber_Balambar Bars Bataul Batbayan Batoya Batulia Bayan Belkermak Bezmer Boyan Bulger Buzan Chepa Chinialush Dengizikh </t>
  </si>
  <si>
    <t>Dizeng Dometa Dristar Drong Dukum Ellak Elemag Ernakh Eskhakh Goleda Gostun Guar Hudbad Iani Irnek Isbul Islivan Isperikh Ispor Kälaç Kano Karan Karaton</t>
  </si>
  <si>
    <t xml:space="preserve">Kardam Kharaton Khinialon Khudbard Kordil Kormesiy Kormisosh Kotrag Krovat Krum Kuber Kubrat Kurt Kutrigur Kuvrat Labertam Magotin Malamir Mugel Odolgan Okhsi </t>
  </si>
  <si>
    <t xml:space="preserve">Okhsun Okors Omurtag Onegavon Organ Organa Ornag Oshi Ostro Pagan Pakhtiyar_Bakhtiar Paväl Praksa Rassate Rugila Sabin Sandil Sandilkh Sarkhan Sartäç Savin Sevar Shilki </t>
  </si>
  <si>
    <t xml:space="preserve">Sondoke Tähtaman Tarasiy Taridin Tatra Telec Telerig Tervel Timër_Timur Timëreç Timërpälat Tingiz Tiradin Tokhtaman Toktu Tsog Tsul Tuk Umor Uturgur Vakrim Venda Vetam Vinekh Yani </t>
  </si>
  <si>
    <t>Yavantey Yençepi Yerneslu Yeçtirek Zabergan Zenti Tukiy Aydar Irkhan Batir</t>
  </si>
  <si>
    <t xml:space="preserve">Çeçek_Çiçek Çeçeppi Çeçki Çeçtilet Çilen Çiltanesi Özgul Özlem Akgul Asli Ayasun Ayten Bozçin Dilek Esin Gulçeçek_Gulçiçek Gulay Gunduz Gundes Gunes Ikalay Ilkay Ipek Ipekel Irge </t>
  </si>
  <si>
    <t xml:space="preserve">Karacik Kätyarikka Këlnissa Këlyamal Lärkka Lyukha Mala Maturkka Mutlu Naça Patiyer Paykëlti Peksen Puyantay Samur Sarantay Sarä Sarica Sarikel </t>
  </si>
  <si>
    <t>avar = { # Oghur Turkish</t>
  </si>
  <si>
    <t>graphical_cultures = { turkishgfx easterngfx }</t>
  </si>
  <si>
    <t>color = { 0.7 0.7 0.3 }</t>
  </si>
  <si>
    <t xml:space="preserve">Almish Alp Alzek Anzi Apskhih Araslan_Arslan Asparukh Bagha Baghatur Balambär_Balambar Barjik Bars Barsbek Bashtwa Bastu Bataul Batbayan Batoya Batulia Bayan Belkermak Bezmer Bihor Boyan Bugha Bughra Bulan Bulger Bulçan Busir Buzan Buzer Bälgiçi Böri </t>
  </si>
  <si>
    <t xml:space="preserve">Chepa Chinialush Dengizikh Dizeng Dometa Dristar Drong Dukum Elemag Ellak Ernakh Eskhakh Goleda Gostun Guar Hudbad Iani Ilik Iltäbär Irnek Isbul Islivan Isperikh Ispor Itakh Kamaj Kano Karadakh Karan Karaton Kardam Kayghalagh Kharaton Khatir Khinialon </t>
  </si>
  <si>
    <t xml:space="preserve">Khudbard Khuterkin Kibar Kisa Kordil Kormesiy Kormisosh Kotrag Krovat Krum Kuber Kubrat Kundaç Kundaçiq Kurt Kutrigur Kälaç Labertam Magotin Malamir Mugel Mänär Mänäs Mënümarót Odolgan Okhsi Okhsun Okors Omurtag Onegavon Organ Organa Ornag </t>
  </si>
  <si>
    <t xml:space="preserve">Oshi Ostro Pagan Pakhtiyar_Bakhtiar Papaçyz Paväl Praksa Rassate Rugila Sabin Samsam Sandil Sandilkh Sarkhan Sartäç Savin Sevar Shilki Simsam Sondoke Tabghaç Tarasiy Taridin Tarkhan Tarmaç Tatra Telec Telerig Tervel Timër_Timur Timëreç Timërpälat </t>
  </si>
  <si>
    <t>Tingiz Tiradin Toghan Toghrïl_Toghrul Tokhtaman Toktu Tsog Tsul Tuk Tuzniq Täbär_Teber Tähtaman Umor Uturgur Vakrim Venda Vetam Vinekh Yabghu Yani Yavantey Yençepi Yerneslu Yeçtirek Yilig Zabergan Zenti Çat Çat'n Çorpan Ötemis</t>
  </si>
  <si>
    <t xml:space="preserve">Akgul Asli Ayasun Ayten Bozçin Dilek Esin Gulay Gulçiçäk_Gulçiçek Gundes Gunduz Gunes Ikalay Ilkay Ipek Ipekel Irge Karacik Khatun Kätyarikka Këlnissa Këlyamal Lyukha Lärkka Mala Maturkka Mutlu Naça Parsbit Patiyer Paykëlti Peksen </t>
  </si>
  <si>
    <t>Puyantay Samur Sarantay Sarica Sarikel Sarä Sati Savaçka Savilay_Sevilay Savintik_Sevindik Savkëlti Savtilek Shurkka Sibel Sirin Sirma Songul Tekçe Tura Tähtani Umay Usunbike Yartilek Yasar Yeldem Yildiz Çeçeppi Çeçki</t>
  </si>
  <si>
    <t>Çeçtilet Çilen Çiltanesi Çiçäk_Çiçek Özgul Özlem</t>
  </si>
  <si>
    <t>karluk = {</t>
  </si>
  <si>
    <t>color = { 0.65 0.50 0.15 }</t>
  </si>
  <si>
    <t xml:space="preserve">Adigh Adïgh Aghulïq Agut Alïp Alïpqutlugh Alïpshalçi Alïpshul Alïptegin Anar Apït Aqunçï Arslan Aruq Asuq Aydaq Ayçur Bagha Baghïr Barçuq Barïs </t>
  </si>
  <si>
    <t xml:space="preserve">Barïsbek Baytash Bayça Bayïrqu Bazir Bilge Bilgä Bilgätegin Boyla Bughra Bughraçuq Bumin Bumïn Buqa Buqaçuq Buquq Buyruq Bögü Bökiye Böri </t>
  </si>
  <si>
    <t>Artuç Azgan Beslik Bulït Burtam Elbeslik Ershen Ilbeslik Ilbilgä Kadïñ Katun Otqan Qaraqaz Sarïgha</t>
  </si>
  <si>
    <t xml:space="preserve">Teken Teñriken Terek Teçush Tograk </t>
  </si>
  <si>
    <t>kirghiz = {</t>
  </si>
  <si>
    <t>color = { 0.85 0.72 0.30 }</t>
  </si>
  <si>
    <t xml:space="preserve">Aday Adigh Adïgh Aghulïq Agut Aka Alas Alcibay Alïp Alïpshalçi Alïpshul Amas Anar Anis Apït Aqunçï Arslan Aruk Aruq Astaançï Astam Asuq Aya </t>
  </si>
  <si>
    <t>Manas Semetei Seitek Barsbeg Kokotoy Jaglaqar Tardush</t>
  </si>
  <si>
    <t>Begayim Jibek</t>
  </si>
  <si>
    <t>Ancak Artuç Atlas Azgan Begayim Beslik Bulït Burtam Elbeslik Ershen Ilbeslik Ilbilgä Jibek Kadïñ Karlïgash Katun Manu Otqan Pekash Qaraqaz Sarïgha Teken Terek</t>
  </si>
  <si>
    <t>male_patronym = " uulu"</t>
  </si>
  <si>
    <t>female_patronym = " kyzy"</t>
  </si>
  <si>
    <t>uyghur = {</t>
  </si>
  <si>
    <t>color = { 0.85 0.75 0.50 }</t>
  </si>
  <si>
    <t>Bilge Çor Üge Barchuq Tömür Bars Adigh Buqa Mänglik Özmish</t>
  </si>
  <si>
    <t xml:space="preserve">Adïgh Aghulïq Agut Alïp Alïpqutlugh Alïpshalçi Alïpshul Anar Apategin Apït Aqunçï Arslan Aruq Asuq Atutuq Aydaq Ayçur Baatur Bagha Baghïr Barchuq </t>
  </si>
  <si>
    <t xml:space="preserve"> Artuç Azgan Beslik Bulït Burtam Elbeslik Ershen Ilbeslik Ilbilgä Kadïñ Katun Lahpçïq Marjan Nayiñtay Otqan Qaraqaz Sarïgha Sutqiz Teken </t>
  </si>
  <si>
    <t>mongol = {</t>
  </si>
  <si>
    <t>graphical_cultures = { mongolgfx muslimgfx }</t>
  </si>
  <si>
    <t>horde = yes</t>
  </si>
  <si>
    <t>color = { 0.4 0.4 1.0 }</t>
  </si>
  <si>
    <t>Abagha Achigh Aguchu Ajai Ajinai Akhutai Alagh Alchi Alchidai Altan Ambaghai Arkhai Arasen Babur Badai Bagaridai Bala Barghujin Bartan Batu Bedugun Begter Belgutei</t>
  </si>
  <si>
    <t>Belgunutei Bilge Berke Bodonchar Bogen Bogorchu Bolkhadar Borjigidai Boroghul Bughu Bugidai Bugunutei Bujeg Bukha Bulughan Buri Burkhan Burundai Chagatai Chaghagan Chanai Chigu</t>
  </si>
  <si>
    <t xml:space="preserve">Chidukhul Chilagun Chiledu Chormakhan Chulgetei Dagun Daritai Dayir Dodai Duua Eljigedei Ghazan Ghunan Guchu Gughlug Guyug Harghasun Horkhudagh Hulegu Husun Inalchi Inancha Iturgen </t>
  </si>
  <si>
    <t>Jajiradai Jamugha Jebe Jochi Jurchedei Khabichi Khachi Khachigun Khadagh Khagatai Khaidu Khal Khorchi Khorilartai Khubilai Khudu Khutula Khuyildar Kogsegu Kokochu Megetu Megujin</t>
  </si>
  <si>
    <t>Menggei Mongke Morokha Munglig Nakhu Narin Nayaga Nogai Odchigin Ogodei Okhotur Oljaitu Oronartai Shiraghul Shirgugetu Subetei Suyiketu Taghai Tamachi Targhutai Temuge Temujin Temur_Timur</t>
  </si>
  <si>
    <t>Todogen Toghoril Toghtoga Tokhtamis Tolui Torolchi Tumen Uighurtai Ukhuna Usun Yedi Yegu Yeke Yesugei Yesunge Yokhunan Kadan Godan</t>
  </si>
  <si>
    <t>Al-Alta Alan Altani Borte Botokhui Bulughan Chabi Chagur Chakha Checheyigen Chotan Doregene Doquz Ebegei Gurbesu Hogelun Holuikhan Ibakha Khadagan Khogaghchin Khojin Khorijin Khugurchin Khulan Khutulun Mandukhai Mongoljin Nomolun Oghul Orbei Sokhatai Sorkhaghatani Tekine Temulun Töregene Yesugun Yesui Hoelun</t>
  </si>
  <si>
    <t>khitan = {</t>
  </si>
  <si>
    <t>graphical_cultures = { chinesegfx mongolgfx muslimgfx }</t>
  </si>
  <si>
    <t>dynasty_name_first = yes</t>
  </si>
  <si>
    <t>color = { 0.8 0.8 0.3 }</t>
  </si>
  <si>
    <t xml:space="preserve">Abaoji Abugu Aguo Alian Anduan Axin Baling Bancai Bei Biegute Bishe Chala Chucai Dashi Deguang Dilie Dilu Dinianzhuli Duba Duolubu Duoluo Fuguzhi Gaoqi Gou'er Gou’er Gunai Guozhe Hanshe Hechen Heluwo Helü </t>
  </si>
  <si>
    <t xml:space="preserve">Hongji Hougu Hudugu Hudujin Jilujuan Jing Jinshan Julü Juqu Kailuo Keling Ketuyu Kuge Lihu Liuge Loguo Mergan Mohuai Mohuba Mohui Mopei Muyan Nieli Noulisi Nuohebo Nuosi Pidi Pidie Pogu Puhui Qidegui Qinde </t>
  </si>
  <si>
    <t xml:space="preserve">Qinu Qizhen Quju Qulü Qushu Rian Rilujuan RuanSuogu Saba Salade Saladi Shancai Shaogu Shefuchen Shegui Shifang Shihuo Shilu Shouguonu Shulü Sibu Sougu Tanmozhe Tiande Tiebu Tongguyu Tuyu Wenshunu Wogan Wolila </t>
  </si>
  <si>
    <t>Wuge Wuwuchen Wuyu Xian Xibaxiong Xiduguan Xiuge Xi’er Xi’erzhi Xuedu Yali Yaliguo Yanchege Yanxi Yaogu Yaoshinu Yexian Yidougui Yilie Yudu Yudugu Yundeshi Zhengge Zhigu Zhiligu Zhilugu Zhongyuan Zhulie Zongzhen</t>
  </si>
  <si>
    <t>Bage Boshi Changshou Chaogui Cuiba Dianni Jiuge Kedun Lübugu Noujin Ping Pusuwan Saige Shige Shuge Shuogu Sokhatai Tabuyan Taige Taoge Xiao Xiao-Wen Xingge Yalixin Yange Yanmu Yanyan Yingtian Yueliduo</t>
  </si>
  <si>
    <t>jurchen = {</t>
  </si>
  <si>
    <t>color = { 122 114 92 }</t>
  </si>
  <si>
    <t>Abaohan Abulang Agu Aguda Agunai Aguo Aha Ahacu Ahai Ahaibaifu Aišï Aišïha Ajungha Albasæri Ali Alihan Alihemen Alin Alu Alubu Aludai Aluhan Aluobuhua Aluwan Ancen Ancu Andahai Aodi Asur Ašentan Ašïngha Bahai Bahei Bahulu Baifu Baoci Baohuoli Barha Beilu Biefoga Bugil Bulo Bulægæmaihu Cala Cangho Caoha Cenhulagæ Cotoya Cunggelo Cægæ Cæjæ Cændapan Cænhulagæ Daijuhu Daisu Dalunha Dašïn Digunai Diku Dili Diligi Dingge Dingju Dišun Dorbi Dumu Duši Dzhin Ecu Eiyeku Eiælu Eliduo Elu Elubu Eluguan Elun Fanca Fannu Fænsï Giahucï Giohua Gioli Guantu Gulan Guša Gæcïbuhua Gæjeæ Hacaha Hadar Hanpu Hanšï Hasaiæ Haæu Heda Hela Helibo Hesun Heye Hezhe Hezhenbao Heši Hešitan Hubošu Hudun Huihou Hulijia Hulu Hulubu Hushahu Hushida Husurugai Husurægai Hutunla Hutuwa Huçienu Huša Ibaha Icïgæ Ihalacï Iji Ilungha Inginggia Ingjïna Irnuræu Išiha Jabingia Jahodai Jahudai Jaligi Jogosang Juguta Julæ Jïlunggusu Kunaha Kunuma Kušinu Labuda Loloho Louši Manduhe Mangda Mapo Meng’an Mentemu Miešïnu Moliye Muha Mutalu Mutawuta Mædeæ'æ Naduošï Nanhe Nianhan Nibucï Nigæ Nijængæ Ninggisa Ninggujua Ningji Ningjiasu Nudægæ Nuhu Nujænge Nülinai Ohænægæ Oon Pandu Pocišu Pudu Puladu Pulihei Puluhu Pusulie Sagai Sagezhou Sahamieæ Sahani Saiha Sain Salinian Satšï Soli Songge Sonu Souru Suike Sungida Sïaoha Tege Telin Tudu Tugesu Tunon Tušïnge Cala Cïnu Uda Udaun Udisa'æ Uhuwæ Ulu Ušïnha Weiçin Wennu Woben Wodai Wohu Wolibu Wolie Woli’an Wolu Wolun Wosai Woye Wozhe Wucimai Wudubu Wugucu Wugunai Wulie Wuyašu Wuzhu Wæuanjæ Yacïnggia Yangdai Yangha Yangmudau Yansun Yawuta Yingge Yinzhuke Yongji Yunji Zhanmeihe Zhušennu Ælijesænæ Æncïæng Æsuræku Ætæ Šalungha Šangnggu Šengguo Šensi’abu Šentumen Šiebucu Šiekude Šielihu Šielu Šieyibao Šigiyanu Šigunai Šijianu Šilu Šilula Šinde Šinilie Šišihuan Šunian Šuntçing Šïbua Šïlangha Šïlu Šïlungha Šïngsï Šïpuni</t>
  </si>
  <si>
    <t>Abha Abuha Acïburu Aihuma Alan Alihu Ambala Amban Ancun Ania Baiyang Bia Bira Boroæri Buctunggi Bugu Buiyemei Bulæhei Buræki Caca Cïcïhei Dahumo Dala Diben Dirgara Dohomo Dorhon Dulun Dunuke Duwæbæ Eihæn Feicen Fonto Fontomo Fulagiæn Giahun Gluma Gorhon Guifala Gulmahai Gætilæ Indahong Inænggi Jabu Jalur Jaolamai Juhæ Jæku Jïrijïhæi Liwaha Læfu Meihæ Miehæ Minggan Monon Morin Mudur Mudusæ Mulan Munggan Muwæ Mæcu Mædæri Mæjïlæn Mæjïlænbæ Nadan Nailahu Narhun Ngauyahu Nienieæri Niogohæ Nionieha Nongiæn Orho Orhoda Orin Oso Ošïha Pula Puluhuzhi Sadugai Saimanggi Samao Sibiehung Sisæri Sogiæn Songgi Suan Sufa Suhæ Sækæ Tasha Tugi Tumæn Tunggi Tuwæri Ulhu Ulin Ulu Ulya Unduhung Uyewun Ušïn Wanduhung Weihan Wulu Yewuju Zhusiban Zhusihui Ærdæ Šagulizhen Šigge Šigu Šigu’er Šoun Šumu Šunja Šænun Šïlasun Šïlæun Šïngæ Šïrha</t>
  </si>
  <si>
    <t>dynasty_title_names = no</t>
  </si>
  <si>
    <t>graphical_cultures = { muslimgfx }</t>
  </si>
  <si>
    <t xml:space="preserve">bedouin_arabic = { </t>
  </si>
  <si>
    <t>graphical_cultures = { arabicgfx muslimgfx }</t>
  </si>
  <si>
    <t>color = { 0.1 0.75 0.1 }</t>
  </si>
  <si>
    <t>Abu-Bakr_Abu-Bakr Aarif Abdul-Gafur Abdul-Jaleel Abdul-Qadir Abdul-Wahab Abdul_Abdul Abdullah_Abdullah Aghlab Akin Ali_Ali Alim Aram Azam Bahir Burhanaddin</t>
  </si>
  <si>
    <t>Fadil_Fadl Fadl_Fadl Faruk_Farroukh Ghalib Hafiz Halil_Khalil Hasan_Hasan Husam Hussayn_Hussein Ibrahim_Abraham Idris Is'mail_Ismail Isa Jabir Jalil Jibril_Gabriel Khaireddin Khalil_Khalil Mahdi Mahmud_Mahmud</t>
  </si>
  <si>
    <t>Mansur Mirza Mubarak_Barak Muhammad_Muhammad Mukhtar Murad_Morad Musa_Moses Muslihiddin Muzaffaraddin Najib Nasr_Nasr Nizam Qawurd Ramadan_Ramadan Sa'daddin Sadiq Sami Samir Shaiban</t>
  </si>
  <si>
    <t>Shamir Shujah Sulayman_Solomon Talib Ubayd Uways Yahya_Yahya Ya'qub_Jacob Youkhanna_John Yusuf_Joseph Zeyd</t>
  </si>
  <si>
    <t>Adila Amsha Asiya Faghira Habiba Hanifa Jahaira Kamala Layla_Laila Maryam_Maria Nafisa Nyawela Parand Parween Paymaneh Paywand Qamara Rafiqa Rasa Rashida Reshawna</t>
  </si>
  <si>
    <t>Saaman Sabba Saghar Sahba Sajida Samira Semeah Setara Shahrbano Shahzadah Shameem Shararah Sheeftah Sheeva Shogofa Shokouh Shola Sholah Simin Souzan</t>
  </si>
  <si>
    <t>Taliba Tanaz Taneen Yagana Yakta Yasmin_Yasmin Zaynab</t>
  </si>
  <si>
    <t>from_dynasty_prefix = "mn "</t>
  </si>
  <si>
    <t>male_patronym = "ibn "</t>
  </si>
  <si>
    <t>female_patronym = "bint "</t>
  </si>
  <si>
    <t>maghreb_arabic = { # Berber</t>
  </si>
  <si>
    <t>graphical_cultures = { berbergfx arabicgfx muslimgfx }</t>
  </si>
  <si>
    <t>color = { 0.2 0.9 0.2 }</t>
  </si>
  <si>
    <t>Abakada Abazza Abbas_Abbas Abdul_Abdul Abdul-Azeem Abdul-Haleem Abdul-Kareem Abdul-Rahman Abdullah_Abdullah Abidin Adal Adam_Adam Aderbal Adergazuz</t>
  </si>
  <si>
    <t>Adherbal Admer Adrir Adum Afaghis Afalawas Afalku Afer Afulay Agafay Agama Agdada Agdun Agellid Aggur Aghali Aghecher Aghilas Agwillul</t>
  </si>
  <si>
    <t>Ahamatu Aheyyad Ahmad_Ahmad Ajdir Ajeddig Akaday Akateiaji Akli Akorakor Aksel_Caecilius Aksil_Caecilius Akutla Akzer Al'a'addin Ali_Ali Alyamas Amawal</t>
  </si>
  <si>
    <t>Amayas Amaz'uz' Ambay Amdegh Amellal Amennay Ameska Amessan Amin Amma Ammuc Amray Amri Amud Anaba Annaber Antalas Anwa Aras</t>
  </si>
  <si>
    <t>Asad Asaru Asirem Aszellay Atissi Awdia Awgustin_Augustine Awinagh Awlagh Awzal Aylal Ayt'ere Az'ar Az'regh Azenkwed Azim Azrur Badda Badis</t>
  </si>
  <si>
    <t>Bagay Barakat_Barak Beddis Berkan Bezz'i Br'ir'uc Bukkus Buwayh Buxtuc Capussa Cucung Dali Fahd Fath Fella Firhun Firmus Frawsen Gaia Galussa Gauda</t>
  </si>
  <si>
    <t>Gaya Ghani Ghanim Ghaysan Ghumer Gildun Gulusa H'emmu Haidar Hamad Hashim Hiba Hiempsal Himmi Hotha Hussamaddin Ibiza Ibrahim_Abraham Iccaam</t>
  </si>
  <si>
    <t>Ifni Ifser Ighlaf Igider Igmi Iher Iken Ilyas_Ilyas Immeghar Immel Irgen Is'mail_Ismail Isalcas Ishaq_Isaac Isli Issam It'ij Itber Itri Ixfensen Ixzi Izri Jaffar Jamal Kadidu</t>
  </si>
  <si>
    <t>Kamal Karidenna Kawsen Kenan Keraja Khalid Khanchla Khenchela Khidr Kussil Lacumaces Laweye Lewnis Luki_Lucius Madidu Magsen Mahtar Malik</t>
  </si>
  <si>
    <t>Marwan Masgaba Masgava Masinissa Masmud Masnsen Massinissa Massiva Massnsen Mastan Mastanabal Matiya_Matthew Maysar Maziba Mazigh</t>
  </si>
  <si>
    <t>Medjan Mellal Mennad Menzu Meq'wran Mez'yan Mezwar Micipsa Misagenes Misibsen Mu'izz Muh'end Muhammad_Muhammad Mukhtar Mula Murad_Morad Musa_Moses Mustafa_Mustafa</t>
  </si>
  <si>
    <t>Muzaffaraddin N'Guna Nasr_Nasr Nazar Niptasan Nizamaddin Ptolemee_Ptolemy Qutaiba Rashid Sa'id Salah Salla Salomon_Solomon Sammer</t>
  </si>
  <si>
    <t>Sayyid Seghada Sekla Shamsaddin Sifaks Sifal Sinbad Sisso Stembanos Suggut Sultan T'ar'iq Tabat Tacfin Taffounnout Tahir Takfarinas Tanan Tariq</t>
  </si>
  <si>
    <t>Tegama Thabitah Tifan_Theophanus Tiljad Ugdada Ugwistan Umar_Umar Uqess'un Uregh Urtilian Urz'ig Uzmir Uzza Wahab Watt'as Xamida Yabdas Yaghmurasen</t>
  </si>
  <si>
    <t>Yahya_Yahya Yattuy Yeften Yeh'lem Yiliyen Yuba Yugerten Yugurthen Youkhanna_John Yunes_Jonah Yusuf_Joseph Yuva Z'effun Zafir Zalelsan Zayar Zer'wal Zigza Ziri Zubeyr</t>
  </si>
  <si>
    <t>Aaliyah Aamina Aamira Aaqila Aarifa Aazzi Adelah_Adela Adiba Adilah Adilia Adiva Adjan Aeesha Aesha Aisha Amira Badeea Badia Badra Bahac</t>
  </si>
  <si>
    <t>Bahiyya Bajila Bakka Baraah Barakah Baria Bashira Basilie Basima Basimah Bghnat Bibya Bilqis Cala Canh'a Cantara D'r'ifa Daisha Dalal Dasin</t>
  </si>
  <si>
    <t>Dema Dimah Dinara Dua Durra Durriyya Edza Eleonorka_Eleanor Faghissa Fahriya Fariza Fedada Fer'r'udja Gedduda Ghida Ghnima Guraya Gwejda H'edda</t>
  </si>
  <si>
    <t>Hadiya Hawwa Hemu Herru Iija Iiju Ittû Izza Jaida Jdira Jeddjiga Kahina Kamila Kanimana Kella Kenwa Kisa Kulla Kwella Lalla Laysa Lem'an Lemta</t>
  </si>
  <si>
    <t>Lumsi Lunja Lwiza Lyaqut Mamma Massa Meghighda Melek Menna Menza Mernissa Monica_Monica Myassa Najiba R'uza Ra'isa Rahima Randja Rula Sadiqa</t>
  </si>
  <si>
    <t>Salaama Sekkura Siddiqa Silya Siman T'awes T'item Tadefi Tadla Tadmut Tafrara Tafsut Tagwillult Taheyyatt Takama Taklit Talalit Taljat Tament</t>
  </si>
  <si>
    <t>Tamimunt Tamrust Tanaszart Tanebdatt Tanefzawit Tanest Taninna Tarifa Tariwelt Tasa Tasa'fut Taszellayt Tatbirt Tati Taweckint Tawenza Tawnat</t>
  </si>
  <si>
    <t>Tawzalt Tayri Tayyurt Tazdayt Tazenkwedt Tazirit Tazrurt Tella Temzi Tfit Tigmi Tikinas Tilelli Timmi Tinhinan Tintadefi Tintifawin Tinzert Tisent</t>
  </si>
  <si>
    <t>Tislit Titbirt Titrit Tizemt Tiziri Triya Tudert Tuh'r'ict Tureght Ultafa Wenza Wnissa Wrina Z'diant Z'ergha Zaghwa Zahida Zamba Zibba Zilgum Zubayda</t>
  </si>
  <si>
    <t>Zunagha Zwina Zwira</t>
  </si>
  <si>
    <t>mat_grf_name_chance = 20</t>
  </si>
  <si>
    <t>mat_grm_name_chance = 20</t>
  </si>
  <si>
    <t>mother_name_chance = 30</t>
  </si>
  <si>
    <t>levantine_arabic = {</t>
  </si>
  <si>
    <t>graphical_cultures = { levantinegfx arabicgfx muslimgfx }</t>
  </si>
  <si>
    <t>color = { 0.3 0.95 0.3 }</t>
  </si>
  <si>
    <t>Abdul-Azeem Abdul-Hamid Abdul-Lateef Abdul-Razzaq Abdul-Wahad Abdullah_Abdullah Adhid Adil Akab Ala'i Ali_Ali Amir Ashraf Aziz Bashar Boutros_Peter Da'ud_David Faisal</t>
  </si>
  <si>
    <t>Fayiz Ghazi Hakam_Hakam Hamdan Hashmaddin Hussayn_Hussein Ibrahim_Abraham Imamaddin Isa Is'mail_Ismail Ismat Jahan Jamil Kamran Khalid Khudayar Majid Mas'ud</t>
  </si>
  <si>
    <t>Muaddam Muhammad_Muhammad Muhsin Mukhtar Murad_Morad Musa_Moses Muzaffar Muzaffaraddin Nasraddin Nuraddin Nuri Radhi Rasul Sa'ud Salahaddin Seyfullah Sharaf</t>
  </si>
  <si>
    <t>Sirhan Taimur Tawfiq Umaya Wahid Yahya_Yahya Ya'qub_Jacob Yasar Youkhanna_John Zahir</t>
  </si>
  <si>
    <t>Aisha Aziza Duha Farida Golbahar Gulnar Gulnaz Gulpari Hafsa Hasti Huma Ibtisam Jalila Kamala Karima Khandan Khaterah Khatira Kinah Lala Madiha Mahdokht</t>
  </si>
  <si>
    <t>Mahsa Mahwash Marwa Mastana Mehri Mina Minoo Munawwar Muzhdah Nahal Najela Nasiba Nastaran Nazaneen Nazy Neelab Negar Niki Nikoo Noushin Rabiya</t>
  </si>
  <si>
    <t>Rajiya Sadiya Salma Sitara Thana Zahra_Zahra Zuhayra</t>
  </si>
  <si>
    <t>egyptian_arabic = {</t>
  </si>
  <si>
    <t>graphical_cultures = { egyptiangfx levantinegfx arabicgfx muslimgfx }</t>
  </si>
  <si>
    <t>color = { 0.1 0.6 0.1 }</t>
  </si>
  <si>
    <t>Aaron_Aaron Abanoub Abderahman_Abderrahman Abdul-Aziz Abdul-Haq Abdul-Madjid Abdul-Salaam Abdullah_Abdullah</t>
  </si>
  <si>
    <t>Abianos_Abijah Abisalom Ablarion Abraam_Abraham Abu-Bakr_Abu-Bakr Adnan Agathon_Agathos Agathonikos_Agathonikos Agathos_Agathos</t>
  </si>
  <si>
    <t>Ahmad_Ahmad Akbar_Akbar Alam Ali_Ali Amr Androus_Andrew Anthinos_Anthimos Arsenios_Arsenios Ashraf_Ashraf Asim</t>
  </si>
  <si>
    <t>Athanasios_Athanasius Badr Bashir Biktor_Victor Binyamin_Benjamin Bishoi_Bishara Boutros_Peter Danyal_Daniel Dawlat Da’oud_David</t>
  </si>
  <si>
    <t>Ezra_Ezra Farhan Firuz_Peroz Gabri’el_Gabriel Georgios_George Ghiyasaddin Habil_Abel Hakam_Hakam Hammud Hanri_Henry Haroun_Aaron Hisham</t>
  </si>
  <si>
    <t>Hussayn_Hussein Ibrahim_Abraham Ilyas_Elijah Is'mail_Ismail Izzaddin Jalaaladdin Jawdat Jerjer_Gregory Kemaladdin Khalil_Khalil Krystafer_Christopher</t>
  </si>
  <si>
    <t>Latif Lot Malik Matta_Matthew Mehtar Mikail_Michael Mikhael_Michael Milad_Milad Mina_Menas Muammar Muhammad_Muhammad</t>
  </si>
  <si>
    <t>Mukhtar Murad_Morad Murshid Musa_Moses Muzaffaraddin Nabil Nasir Nassib Nuraddin Pamin Qadir Ra'uf Rafiq Ridwan Sabah Salim_Salim Sha'ban</t>
  </si>
  <si>
    <t>Sharif Suhail Tadros_Theodore Tajaddin Tayyib Touma_Thomas Usama Walid Yahya_Yahya Yared Yassir Youkhanna_John Youssef_Joseph Zaia_Isaiah Zakariyah_Zachary</t>
  </si>
  <si>
    <t xml:space="preserve">Acenith Alia Amunet Andali Asanet Asenath Asenet Azenet Badiat Cena Fatima_Fatima Halima </t>
  </si>
  <si>
    <t xml:space="preserve">Jamila Khadija Majida Mariam_Maria Nabila Nura Radiya Rana Sacmis Safiya </t>
  </si>
  <si>
    <t>Samira Suhaila Tawaret Taweret Titi Thuriya Zara Zahra_Zahra</t>
  </si>
  <si>
    <t>andalusian_arabic = {</t>
  </si>
  <si>
    <t>graphical_cultures = { berbergfx andalusiangfx } #westerngfx</t>
  </si>
  <si>
    <t>color = { 0.4 0.6 0.1 }</t>
  </si>
  <si>
    <t>Abbad Abbas_Abbas Abdallah_Abdullah Abdul-Aziz Abdul-Hakam Abdul-Hasan_Hasan Abdul-Hazm Abdul-Rahman Abdul-Razzaq Abdul_Abdul Abu</t>
  </si>
  <si>
    <t>Abu-Bakr_Abu-Bakr Adfuns_Alphonse Ahmad_Ahmad Ali_Ali Amr Ayyub_Job Balashk_Vasco Bilal Fadl_Fadl Fath Galind_Galindo Garsiya_Garcia Hakam_Hakam Hilal Ibrahim_Abraham Isma'il_Ismail</t>
  </si>
  <si>
    <t>Jyad Lubb_Lupo Ma'n Mubashir Muhammad_Muhammad Mundir Musa_Moses Muyahid Raf Rashid Rasiq Sa'd Sanyo_Sancho Siddray Suleyman_Solomon Tariq Tifilwit</t>
  </si>
  <si>
    <t>Umar_Umar Utman Wannaqo_Inigo Ya'far Yahaff Yahya_John Yusuf_Joseph</t>
  </si>
  <si>
    <t xml:space="preserve">Abda Ahu Aiza Aliyah Butayna Daniyah Dima Fahra Fahriya Fatima_Fatima Gamila Ghada Habiba Huda Ibtisam Isra Karima Kera Khadija Layla_Laila </t>
  </si>
  <si>
    <t>Maha Malika Mariam_Maria Munya_Munia Nadia Naila Nur Rafiqa Rahat Raisa Randa Safiya Salma Shakira Suraya Tahira Tarifa Thashim Umm Wahida</t>
  </si>
  <si>
    <t>Yasmin_Yasmin Zahida Zahra</t>
  </si>
  <si>
    <t>russian = {</t>
  </si>
  <si>
    <t>color = { 0.2 0.4 0.1 }</t>
  </si>
  <si>
    <t>Afanasiy_Athanasius Alexandr_Alexander Alexei_Alexis Andrei_Andrew Boris_Boris Briachislav_Bretislaus Daniil_Daniel Davyd_David Demid Dmitriy_Demetrius Dobrynia Fedot_Theodat Feodor_Theodore Gavriil_Gabriel Gleb</t>
  </si>
  <si>
    <t>Grigoriy_Gregory Iakov_Jacob Igor_Ingvar Iliya Ingvar_Ingvar Ivan_John Iziaslav Kirill_Cyril Konstantin_Constantine Koz'ma_Cosmas Lev_Leo Matfei_Matthew Mikhail_Michael Mitrofan Mstislav_Mstislav</t>
  </si>
  <si>
    <t>Nikita Oleg_Helge Pavel_Paul Putiata Radoslav Rodislav Rogvolod Roman_Roman Rostislav Rurik_Rurik Ruslan Simeon_Simon Stanislav_Stanislav Stepan_Stephen Sudislav</t>
  </si>
  <si>
    <t>Svetozar Sviatopolk_Svatopluk Sviatoslav_Sviatoslav Terentiy Trifon Vasiliy_Basil Vasilko Viacheslav_Vaclav Vladimir_Vladimir Vladislav_Vladislav Voislav Volodar Vseslav</t>
  </si>
  <si>
    <t>Vsevolod Vyshata Vysheslav Yaropolk Yaroslav_Jaroslav Yefimiy Yelisey Yemelyan_Emil Yeremey Yevstafiy Yuriy_George</t>
  </si>
  <si>
    <t>Agafya_Agatha Agrafena Alexandra_Alexandra Anastasia_Anastasia Anna_Anna Boleslava Darya Dobrava Dobronega Dobroslava Yefimia_Euphemia Yefrosinia_Euphrosyne Yekaterina_Catherine</t>
  </si>
  <si>
    <t>Yelizaveta_Elizabeth Yevdokia_Eudocia Yevpraxia Feodora_Theodora Feodosia_Theodosia Fevronia Gorislava Gradislava Gremislava Irina_Irene Xenia Liubava</t>
  </si>
  <si>
    <t>Liudmila_Liudmila Malfrida Malusha Maria_Maria Marina_Marine Olena_Helen Olga Pereyaslava Praskovya Praxida Prebrana Predslava Premyslava</t>
  </si>
  <si>
    <t>Pribislava Rogneda Rostislava Sbyslava Sofia_Sophia Sviatoslava Tatyana Ulita Ulyana Varvara Vasilisa Veleslava Verkhoslava</t>
  </si>
  <si>
    <t>Vseslava Viacheslava Yaroslava Zabava Zvenislava</t>
  </si>
  <si>
    <t>male_patronym = "ovich"</t>
  </si>
  <si>
    <t>female_patronym = "ovna"</t>
  </si>
  <si>
    <t>mat_grf_name_chance = 40</t>
  </si>
  <si>
    <t>mat_grm_name_chance = 30</t>
  </si>
  <si>
    <t>ilmenian = {</t>
  </si>
  <si>
    <t>color = { 0.45 0.6 0.2 }</t>
  </si>
  <si>
    <t>Briachislav_Bretislaus Demid Dobrynia Fedot_Theodat Gleb Igor_Ingvar Iliya Iziaslav Lev_Leo Mitrofan Mstislav_Mstislav</t>
  </si>
  <si>
    <t>Nikita Putiata Radoslav Rodislav Rogvolod Rostislav Ruslan Stanislav_Stanislav Sudislav Svetozar Sviatopolk_Svatopluk Sviatoslav_Sviatoslav Terentiy Trifon Viacheslav_Vaclav Vladimir_Vladimir Vladislav_Vladislav Voislav Volodar Vseslav</t>
  </si>
  <si>
    <t>Vsevolod Vyshata Vysheslav Yaropolk Yaroslav_Jaroslav Yefimiy Yelisey Yeremey Yevstafiy</t>
  </si>
  <si>
    <t>Boleslava Darya Dobrava Dobronega Dobroslava Yefimia_Euphemia Yefrosinia_Euphrosyne Fevronia Gorislava Gradislava Gremislava</t>
  </si>
  <si>
    <t>Liubava Liudmila_Liudmila Malfrida Malusha Maria_Maria Marina_Marine Olena_Helen Olga Pereyaslava Praskovya Praxida Prebrana Predslava</t>
  </si>
  <si>
    <t>Premyslava Pribislava Rogneda Rostislava Sbyslava Sviatoslava Tatyana Ulita Ulyana Varvara Vasilisa Veleslava Verkhoslava</t>
  </si>
  <si>
    <t>severian = {</t>
  </si>
  <si>
    <t>color = { 0.5 0.8 0.3 }</t>
  </si>
  <si>
    <t>volhynian = {</t>
  </si>
  <si>
    <t>color = { 0.65 0.8 0.3 }</t>
  </si>
  <si>
    <t>pommeranian = {</t>
  </si>
  <si>
    <t>graphical_cultures = { westernslavicgfx }</t>
  </si>
  <si>
    <t>color = { 0.4 0.6 0.4 }</t>
  </si>
  <si>
    <t>Aleksander_Alexander Andrzej_Andrew Antoni_Antonius Aron_Aaron Barnim Bartosz_Bartolomeus Bedrich_Frederick Bezprzym Blazej_Blaise Bogislaw_Boguslaw Bohdan_Bogdan Bohumir Boleslaw_Boleslav Boriwoj_Borijov Bozydar_Theodat Branimir Branislav</t>
  </si>
  <si>
    <t>Bretislav_Bretislaus Casimir_Casimir Ctibor_Ctibor Dobieslaw Dobromil Drosuk Dytryk_Thierry Frantisek_Francis Gawel_Gallus Grzegorz_Gregory Havel_Gallus Jacenty_Hyacinth Jakub_Jacob Jakusz_Jacob Janusz_John Jaromar_Jaromir</t>
  </si>
  <si>
    <t>Jaromil Jaromir_Jaromir Jaroslav_Jaroslav Jedrzej_Andrew Jindrich_Henry Jirí_George Jozef_Joseph Juliusz_Julius Kajetan Kamil_Camillus Karel_Charles Kasper Kazimierz_Casimir Kliment_Clement Kolman_Koloman Kornel_Cornelius Kresimir Krzeslaw</t>
  </si>
  <si>
    <t>Krzysztof_Christopher Lech Leszek Lubomir Lucjan_Lucius Ludvik_Louis Marek_Marcus Marian_Marius Martin_Martin Mateusz_Matthew Mieszko Mikolás_Nicholas Miloslaw Milosz_Milosz Miroslaw_Miroslav Mscislaw_Mstislav Msciwoj</t>
  </si>
  <si>
    <t>Oldrich_Ulrich Ondrej_Andrew Otokar_Otakar Patryk_Patrick Pawel_Paul Piotr_Peter Prendota Przemysl_Premysl Przybyslaw Radomil Radomir Radoslav Rostislav Ryszard_Richard Sambor Sobieslav_Sobeslaus Stanislaw_Stanislav</t>
  </si>
  <si>
    <t>Strasz Swietopelk_Svatopluk Swietoslaw_Sviatoslav Szczepan_Stephen Szczesny Szymon Tadeusz_Theodore Tomasz_Thomas Udalrich Urjasz Vojtech_Vojtech Waclaw_Vaclav Walenty_Valentin Wratislaw_Vratislav Wawrzyniec_Laurence Wenceslaw_Vaclav</t>
  </si>
  <si>
    <t>Wincenty_Vincent Wizlaw Wladyslaw_Vladislav Wlodek Wlodzimierz Wlodzislaw_Vladislav Wratislaw_Vratislav Zbigniew_Zbynek Zdenek Zdislav Zygmunt_Sigmund</t>
  </si>
  <si>
    <t>Agnieszka_Agnes Alzbeta Andela Anna_Anna Berta_Bertha Bohuslava Bozena Branislava Dagmar Danuta Dobravy Dobroniega Dorota_Dorothy Dragomira Edyta_Edith Ewa Geira Gertruda_Gertrude</t>
  </si>
  <si>
    <t>Gracja_Grace Grazyna Halina Hanna Irena_Irene Izabela_Elizabeth Jadwiga_Hedwig Jarka Jarmila Jolanta_Yolanda Judyta_Judith Kamila_Camilla Katarina_Catherine Kenna Kornelia_Cornelia Krystyna_Christina Ksenia Lidia</t>
  </si>
  <si>
    <t>Ludmila_Liudmila Magda_Magdalena Magdalena_Magdalena Malgorzata Marcelina Maria_Maria Markéta Martyna_Martina Mateja Matylda_Matilda Milena Miroslava Pechna Róza_Rosa Radomila Radomira Radoslava</t>
  </si>
  <si>
    <t>Raina_Raina Regelinda Rycheza_Richeza Salomea Smiechna Stanislava Stefana_Stephania Svetlana Urszula_Ursula Václava Vladislava Wera Wojslawa Zdenka Zofia_Sophia Zwinislawa</t>
  </si>
  <si>
    <t>bohemian = {</t>
  </si>
  <si>
    <t>color = { 0.4 0.6 0.5 }</t>
  </si>
  <si>
    <t>Albert_Albert Albrecht_Albert Ales_Alexander Arnost_Ernest Bavor Bedrich_Frederick Benes_Benedict Bocek Bohuslav_Boguslaw Boleslav_Boleslav Bores Borijov_Borijov Bretislav_Bretislaus Budivoj Castolov Cenek_Vincent Chval Ctirad Diepold_Dietpold</t>
  </si>
  <si>
    <t>Detrich_Thierry Drslav Gerhard Hanus_John Havel_Gallus Heralt Herman_Herman Hrabis Hynek_Henry Jan_John Jaromír_Jaromir Jaroslav_Jaroslav Jesek Jindrich_Henry Jirík_George Karel_Charles Kojata Konrád_Konrad Kuník Litold</t>
  </si>
  <si>
    <t>Markvart Matous_Matthew Mikulás_Nicholas Milic Mojmír Ojír Oldrich_Ulrich Ondrej_Andrew Ota_Otto Otakar_Otakar Pelhrim Petr_Peter Premysl_Premysl Prokop_Procopius Rajmund_Raymond Rostislav Sezima Slavibor</t>
  </si>
  <si>
    <t>Slavomír Smil Sobieslav_Sobeslaus Spytihnev Strachkvas Svatobor Svatopluk_Svatopluk Tobiás Václav_Vaclav Viktorín Vítek_Guy Vanek Vilém_William Vladimír_Vladimir Vladislav_Vladislav Vojtech_Vojtech</t>
  </si>
  <si>
    <t xml:space="preserve">Vratislav_Vratislav Vsebor_Vsebor Závis Zbynek_Zbynek Zdík Zdirad Zikmund_Sigmund </t>
  </si>
  <si>
    <t>Adléta Anezka Anna_Anna Barbora_Barbara Bedriska Blazena Bohuslava Boleslava Bozena Bozislava Bretislava Dobromila Dobroslava Domaslava Dorota_Dorothy</t>
  </si>
  <si>
    <t>Doubravka Drahomíra Drahoslava Eliska_Elizabeth Eufemie_Euphemia Gertruda_Gertrude Guta Hedvika Helena_Helen Jana Jaroslava Jitka Johanka Judita_Judith Justina Katerina_Catherine</t>
  </si>
  <si>
    <t>Klára_Clara Konstancie_Constance Kristyna_Christina Kunhuta Libuse Ludmila Marie_Maria Markéta Mlada Olga Perchta Pribyslava Richeza_Richeza Skonka Stanislava Svatava</t>
  </si>
  <si>
    <t>Vilemína_Willhelmina Viola_Yolanda Vladislava Vojslava_Vojslava Zdislava Zdenka Zofie_Sophia</t>
  </si>
  <si>
    <t>polish = {</t>
  </si>
  <si>
    <t>color = { 0.4 0.6 0.55 }</t>
  </si>
  <si>
    <t>Aleksander_Alexander Andrzej_Andrew Bartosz_Bartolomeus Bezprym Boguchwal Bogumil Boleslaw_Boleslav Boncza_Bonifacius Borzyslaw Bozydar_Theodat Borzywoj_Borijov Budziwuj Czcibor_Ctibor Czyrzniech</t>
  </si>
  <si>
    <t>Dalimir Daniel_Daniel Dobieslaw Dobrogost Dobromir Doman Domawuj Dytryk_Thierry Eustachy_Eustace Gaudenty Gierolt_Gerald Gniewomir Gniewosz Gosciwuj Goszczon Henryk_Henry Imram</t>
  </si>
  <si>
    <t>Izbor Józef_Joseph Jacek_Hyacinth Jaksa_Jacob Jakub_Jacob Jakusz Jan_John Janislaw_John Janko_John Janusz_John Jaroslaw_Jaroslav Jerzy_George Karol_Charles Kazimierz_Casimir Konrad_Konrad Krystyn_Christian Krzeslaw Lambert_Lambert Leszek</t>
  </si>
  <si>
    <t>Maciej_Matthew Macko_Matthew Malowuj Marcin_Martin Maslaw Mateusz_Matthew Mieszko Mikolaj_Nicholas Milobrat Milosz_Milosz Miroslaw_Miroslav Msciwoj Mszczuj Nadbor Niezamysl Odon_Otto Pawel_Paul Pelka</t>
  </si>
  <si>
    <t>Piotr_Peter Piskla Prendota Przemyslaw_Premysl Przybor Sambor Sedziej Sedzimir Sieciech Siemomysl Siemowit Skarbimir Snowid Spytko Stanislaw_Stanislav</t>
  </si>
  <si>
    <t>Stefan_Stephen Stoigniew Strasz Sulislaw Sulistryj Swietopelk_Svatopluk Swietoslaw_Sviatoslav Szczesny_Felix Tomasz_Thomas Trojden Twardomir Usciech Waclaw_Vaclav Wanko_Vaclav Wawrzyniec_Laurence</t>
  </si>
  <si>
    <t>Wielislaw Wieslaw Wincenty_Vincent Wit_Guy Witosz Wladyslaw_Vladislav Wojciech_Vojtech Wojuta Wszebor_Vsebor Zbigniew_Zbynek Zbyszko_Zbynek Zegota_Ignatius Zelibrat</t>
  </si>
  <si>
    <t>Zygmunt_Sigmund</t>
  </si>
  <si>
    <t>Adelajda Adleta Agnieszka_Agnes Aldona Anastazja_Anastasia Anna_Anna Beata Bozena Danuta Dobrawa Dobronega Elzbieta_Elizabeth Eufemia_Euphemia Eufrozyna_Euphrosyne Gertruda_Gertrude Grzymislawa</t>
  </si>
  <si>
    <t>Helena_Helen Jadwiga_Hedwig Jolanta_Yolanda Judyta_Judith Katarzyna_Catherine Kazimiera Kenna Kinga_Kunigunde Konstancja_Constance Krystyna_Christina Kunegunda_Kunigunde Lucja_Lucia Ludmila_Liudmila Magdalena_Magdalena Malgorzata Maria_Maria</t>
  </si>
  <si>
    <t>Matylda_Matilda Milena Nadzieja Nawoja Pechna Rycheza_Richeza Ryksa Salomea Samboja Scholastyka_Scholastica Smiechna Stanislawa Swietoslawa Wislawa Wojslawa_Vojslava</t>
  </si>
  <si>
    <t>Wolislawa Wszebora Wszemila Zofia_Sophia Zwinislawa</t>
  </si>
  <si>
    <t>#male_patronym = "owski"</t>
  </si>
  <si>
    <t>#female_patronym = "owska"</t>
  </si>
  <si>
    <t>#prefix = no</t>
  </si>
  <si>
    <t>pat_grf_name_chance = 40</t>
  </si>
  <si>
    <t>slovieni = {</t>
  </si>
  <si>
    <t>color = { 0.4 0.6 0.35 }</t>
  </si>
  <si>
    <t>Ctiboh Ctibor Cestmír Dalibor Dobromil Dobroslav Drahomír Drahoslav Dušan Gorazd Horislav Hrdoslav Hromislav Hviezdoslav</t>
  </si>
  <si>
    <t>Chrabroš Chvalimír Igor Ivan Jaromil Jaromír Jaropluk Jaroslav Kazimír Kocel Krasomil Ladislav Ladomír Levoslav Lubomír Luboš Ludomil Ludovít Krasislav</t>
  </si>
  <si>
    <t>Milan Miloslav Miroslav Miloš Miloboj Mojmír Mstislav Múdroslav Nitrabor Oleg Ostromír Ostrivoj Polan Pravoslav Predslav Prelimír Pribina Prisnec Prokop</t>
  </si>
  <si>
    <t>Radislav Radomír Radoslav Radovan Raslav Rastislav Ruslav Siloš Slavoj Slavomír Sokol Spitihnev Stanislav Svatoboj Svatopluk Svatoslav Svetozár Svorad Stastko</t>
  </si>
  <si>
    <t>Tichomil Tichomír Tvrdomil Vavrinec Velemír Viacslav_Vaclac Vieroslav Vitemir Vladan Vladimil Vladimír_Vladimir Vlastibor Vlastislav Vojmil Vojtech Vratislav_Vratislav Vratko Vyšebor</t>
  </si>
  <si>
    <t>Zdravoslav Zdravomil Zemislav Zobor Zubrivoj Zvonimír Zelimír</t>
  </si>
  <si>
    <t>Kostislava Kveta Kvetoslava Krásnoroda Lada Ladina Lesana Lubica Milomíra Miloslava Mislava Miroslava Pravomila Pravdomila</t>
  </si>
  <si>
    <t>Rodana Slávka Slavena Slavomíra Svatoslava Svetluša Svietlana Viera Vlasta Vlastimila Volimíra Vratislava Vyšemíra Zbislava Zlata Zivana Zivoslava</t>
  </si>
  <si>
    <t>#male_patronym = "ský"</t>
  </si>
  <si>
    <t>#female_patronym = "ská"</t>
  </si>
  <si>
    <t>croatian = {</t>
  </si>
  <si>
    <t>graphical_cultures = { croatsouthslavicgfx }</t>
  </si>
  <si>
    <t>color = { 0.4 0.2 0.2 }</t>
  </si>
  <si>
    <t>Adam_Adam Andrija Bartol_Bartolomeus Besar Bojan Boris Branimir Castimir_Casimir Danail_Daniel Dmitar_Demetrius Dobromir Dragan Dragomir Drzislav Dujam Duym Filip_Philip Gaspar_Caspar Gheorghe_George Grigorii_Gregory</t>
  </si>
  <si>
    <t>Hranislav Hrvoje Igor_Ingvar Ioan_John Ivan_John Ivanis Jitej Karlo_Charles Koloman_Koloman Kresimir Ladislav_Vladislav Ljudevit Ljutomisl Lovro Matej_Matthew Mihajlo_Michael Milman Mislav Mutimir</t>
  </si>
  <si>
    <t>Nikolitza_Nicholas Ognjen Petar_Peter Prohor Radomir Ratimir_Ratimir Sebeslav Seslav Slavich Stanislav_Stanislav Stjepan_Stephen Sulvan Teodor_Theodore Tomislav Tvrdoslav Tvrtko Ulfo_Ulf Vid Vitomir Vlaicu</t>
  </si>
  <si>
    <t>Vukan Zvonimir</t>
  </si>
  <si>
    <t>Adriana_Adriana Anna_Anna Borislava Cededa Doroteja_Dorothy Ekaterina_Catherine Helena_Helen Jadviga_Hedwig Jovana_Joan Kera Ladika Maria_Maria Mihaela_Michaela Nada Petra Viola_Yolanda Jadranka Mare</t>
  </si>
  <si>
    <t>Antonija_Antonia Capeka Dragana Dubravka Emilija_Emily Gordana Jagoda Jelena_Helen Jelka Lucija_Lucia Katalin_Catherine Marija_Maria Marijana_Mariana Mirjana Mirna Mojca Natalija_Natalia Nataša</t>
  </si>
  <si>
    <t>Rijeka Silvija_Silvia Snjezana Sofija_Sophia Suzana_Susan Svjetlana Suronja Tatjana Tihana Valerija_Valeria Vedrana Visnja Vjekoslava Zlata Zvonimira</t>
  </si>
  <si>
    <t>from_dynasty_prefix = "od "</t>
  </si>
  <si>
    <t>serbian = {</t>
  </si>
  <si>
    <t>graphical_cultures = { serbsouthslavicgfx }</t>
  </si>
  <si>
    <t>color = { 0.5 0.3 0.3 }</t>
  </si>
  <si>
    <t>Aldimir Asen Berbat Blaz_Blaise Boleslav Borna Branimir Budimir Kosmin Danilo_Daniel Djordje_George Dmitar_Demetrius Dobroslav Dragija Dragos Dragutin Gavrilo_Gabriel Godimir Goran</t>
  </si>
  <si>
    <t>Grgur_Gregory Ilija_Elijah Ivan_John Josif_Joseph Josip_Joseph Jovan_John Kasjan Konstantin_Constantine Krsto_Christopher Lazar_Lazarus Ljudevit Luka_Luke Marko_Marcus Martin_Martin Matija_Matthew Mihailo_Michael Mihovil Milorad Milutin Mircea Miroslav_Miroslav Mislav Nenad Nikodim_Nicodemus Nikola_Nicholas</t>
  </si>
  <si>
    <t>Ninoslav Petar_Peter Porin Prvoslav Radoslav Rastko Ratomir_Ratimir Roman_Roman Serapion_Seraphin Simeon_Simon Sinisa Slavko Slobodan Stefan_Stephen Teodosije_Theodosius Trajan_Trajan Uros Visarion Vladimir_Vladimir Vladislav_Vladislav Vlastimir</t>
  </si>
  <si>
    <t>Vuk_Lupo Vukan Vukasin Vukoman Zoran Zvonimir</t>
  </si>
  <si>
    <t>Agata_Agatha Barbara_Barbara Branimira Desislava Dubravka Elena_Helen Hicela Jelena Karolina_Caroline Keratza Lovorka Marija_Maria Milka Neda Radica Zdenka Andjela Antonija</t>
  </si>
  <si>
    <t>Bastina Biljana Bistrina Bojana Casna Chasna Dejana Dragana Dragoslava Duga Dusica Gordana Grana Grubana Jagoda Jovana Jovanka Karika</t>
  </si>
  <si>
    <t>Ljubica Luka_Lucia Majka Malina Medeni Meki Milinka Miljana Miriti Mirjana Mudary Mudra Nada Nadanje Namena</t>
  </si>
  <si>
    <t>male_patronym = "ic"</t>
  </si>
  <si>
    <t>romanian = {</t>
  </si>
  <si>
    <t>color = { 0.6 0.4 0.4 }</t>
  </si>
  <si>
    <t>Adrian_Adrian Alexandru_Alexander Anghel_Angel Aron_Aaron Bajan Balc Barbat Basarab Bogdan_Bogdan Carol_Charles Ciprian_Cyprianus Ciubar Claudiu_Claudius</t>
  </si>
  <si>
    <t>Corneliu_Cornelius Costin Damjan_Damian Dan Dragos Dumitru_Demetrius Emerik_Aymeric Florin Franjo_Francis Gavril_Gabriel Gheorghe_George Grigore_Gregory Iacob_Jacob</t>
  </si>
  <si>
    <t>Iancu_John Ieremia_Jeremiah Ilie_Elijah Ioan_John Iorghu_George Iosif_Joseph Iuga Janos_John Ladislau_Vladislav Latcu Laurentiu_Laurence Litovoi Lucian_Lucius Marin_Marinus</t>
  </si>
  <si>
    <t>Mihai_Michael Milos_Milosz Mircea Moise_Moses Nicolaie_Nicholas Petre_Peter Pirvu Radovan Radu Roman_Roman Sas Seneslav Sergiu_Sergius Simion_Simon</t>
  </si>
  <si>
    <t>Stefan_Stephen Stelian Teodor_Theodore Tepes Tibor Tihomir Timotei_Timothy Tudor_Theodore Valentin_Valentin Valeriu_Valerius Vasile_Basil Veaceslav_Vaclav</t>
  </si>
  <si>
    <t>Victor_Victor Vilhelm_William Vintila Vlad</t>
  </si>
  <si>
    <t>Adelina_Adeline Adriana_Adriana Afina Alexandra_Alexandra Alexia Ana_Anna Anastasia_Anastasia Angela_Angela Arina_Irene Christina_Christina Clara_Clara Dana Ecatarina_Catherine</t>
  </si>
  <si>
    <t>Elena_Helen Elisabeta_Elizabeth Emilia_Emily Eufroysina_Euphrosyne Felicia_Felicia Floarea_Flora Iacoba_Jacoba Ioana_Joan Ionela Irina_Irene Iulia_Julia Maria_Maria Monica_Monica</t>
  </si>
  <si>
    <t>Natalia_Natalia Olimpia Paraschiva Petra Roxana Ruxandra Smaranda Sophia_Sophia Stana Stefana_Stephania Stefania_Stephania Teodora_Theodora</t>
  </si>
  <si>
    <t>Tereza_Teresa Vasilica_Basilica Violeta_Yolanda Voica Zina</t>
  </si>
  <si>
    <t>male_patronym = "escu"</t>
  </si>
  <si>
    <t>bulgarian = {</t>
  </si>
  <si>
    <t>color = { 0.7 0.5 0.5 }</t>
  </si>
  <si>
    <t>Aleksii_Alexis Balin Bernardin_Bernard Bertalan_Bartolomeus Bogoris_Boris Boril Bozidar_Theodat Braslav Dan Dionisii_Dionysus Dominik_Dominic Dragoman Dragshan Drzislav Evtimii Frujin German_Germanus Grgur_Gregory Hranimir</t>
  </si>
  <si>
    <t xml:space="preserve">Ioakim_Joakim Ivan_John Jerolim Kalojan Kocelj Kozma_Cosmas Kresimir Kulin Ljubomir Ljutomisl Marko_Marcus Mihail_Michael Mikica Miroslav_Miroslav Momchil Nikola_Nicholas Ognen Petar_Peter </t>
  </si>
  <si>
    <t>Prijezda Radislav Radu Sava Sermon Slavac Soimir Stracimir Svetislav Tomislav Trpimir Vasilii_Basil Viseslav Vladislav_Vladislav Vojnomir Zdeslav</t>
  </si>
  <si>
    <t>Aleksandra_Alexandra Aleksandrina Bilyana Bisera Bogdana Bogna Borislava Boyana Dana Desislava Donka Elisaveta_Elizabeth Emiliya_Emily Evdokiya_Eudocia Filipa_Philippa Gergana</t>
  </si>
  <si>
    <t>Hristina_Christina Iskra Iva_Joan Ivana_Joan Ivanka_Joan Ivet Lala Lidiya Lilyana_Lillian Lyudmila_Liudmila Maya Nadejda Nevena Nikolina Penka Rada Radka Raina_Raina Raya Rayna_Raina Rosa_Rosa</t>
  </si>
  <si>
    <t>Rositsa Silva Silviya_Silvia Snezhana Stoyanka Tereza_Teresa Todorka Tsveta_Tsvetanka Tsvetanka_Tsvetanka Vasilka_Basilica Violeta_Yolanda Yana_Joan Yoanan_Joan Yordanka Zhivka</t>
  </si>
  <si>
    <t>from_dynasty_prefix = "ot "</t>
  </si>
  <si>
    <t>male_patronym = "ov"</t>
  </si>
  <si>
    <t>female_patronym = "ova"</t>
  </si>
  <si>
    <t>bosnian = {</t>
  </si>
  <si>
    <t>color = { 0.3 0.1 0.1 }</t>
  </si>
  <si>
    <t>Boric Kulin Matej_Matthew Ninoslav "Matej Ninoslav" Prijezda Stjepan Tvrtko Vuk Vladislav Dabisa Sanko Vlatko Hrana Hran Sandalj Mihajlo_Michael Juraj_George Ostoja Hrvoje</t>
  </si>
  <si>
    <t>Pavle Petar_Peter Radislav Ivanis Nikola_Nicholas Tomas Vukac Radivoj Vukmir Vukasin Grgur Bogisa Sibislav Bogut Batalo Miroslav Brailo Hval Brajko Radic Priboje Batic</t>
  </si>
  <si>
    <t>Radogost Milovan Dragonja Andrija_Andrew Danis Krsmir Tisemir</t>
  </si>
  <si>
    <t>Katarina_Catherine Elizabeta_Elisabeth Jelena_Helena Gruba Stana Kujava Doroteja Vitaca Milisa Marija_Mary Resa Mara_Maria Vojaca Gojslava Teodora_Theodora Vojislava</t>
  </si>
  <si>
    <t>Andrijana_Andrea Mateja Miroslava Radislava Petra Nikolena_Nicola Nika Pavica</t>
  </si>
  <si>
    <t>carantanian = {</t>
  </si>
  <si>
    <t>color = { 0.5 0.3 0.5 }</t>
  </si>
  <si>
    <t>Bedoslav Beli Benebod Benko Bislav Blagosod Boleslav Bodigoj Bogomir Bogumil_Bogomil Bojnoslav Borigoj Borižit Borut Branimir Braslav Budigoj Budin Cestilo Cestimir Crné Crnel Crni Crnig Dalimir Danimir Debeligoj Dober Dobrislav Dobrej Dobren Dobrodej Dorogoj Dobromisl Dobroneg Dobrost Dobrovlast Dobrožit Domagoj Domažil Domomir Domomisl Dragomir Dragoslav Dragovit Glavac Glušo Gnevaš Godemir Godemisl Gojen Gojimir Gojislav Golodrag Golomir Golotek Gorazd Gostibil Gostidrag Grd Hoten Hotimir Hrast Inko Izbor Jaroslav Jelen Junik Lastigoj Lastimir Lastnik Ljuban Ljubiš Ljubodrag Ljuboneg Ljubotin Ljubšin Ljutic Ljutomir Manidrag Maraš Medved Mil Milaš Milej Milo Misl Minigoj Mirigoj Miromisl Miroslav Mistibor Mistislav Nacek Naciživ Nadovid Namdrag Našemisl Nebomir Negoj Negomir Nenadej Nepokor Neško Nežir Nico Omisl Petanko Pitalo Pomik Predoslav Premil Premisl Pribibor Pribigoj Pribislav Prisnec Prisnoslav Prodan Radek Radogej Radenko Radigoj Radin Radoh Radoš Radul Radušic Sebeteh Sebibor Sebidrag Sebigoj Sebimir Semiko Skrben Slav Slavko Slavuš Sojdrag Sprejmir Stagoj Stamer Stane Stanislav Stano Stansgoj Stanon Stislav Stojan Stojce Stojdrag Stojgoj Stojmir Stradoslav Stranimir Stregomil Sujce Svegoj Sveljub Svemir Svetec Svetin Svetodrag Svetogoj Svetomir Svetoslav Scenedrag Tihodrag Tihomir Tihožit Trdac Trdogoj Trdomir Trdoslav Trebec Trebegoj Trebeš Trebibor Trebibrat Trebil Trebin Trebimir Trebišin Trebivit Trebnik Trebušnež Uncat Unislav Val Valnik Vecegoj Vecevoj Veligoj Velikne Vencegoj Venko Vilan Vitin Vitomir Vitomisl Vitogoj Vitošlav Višegoj Višemir Vladimir Vlado Voinomir Volkoj Volkun Zababerad Zadrag Zdebor Zdedrag Zdegoj Zdemir Zdeslav Zdestan Zememišl Zemeteh Zemiboned Zemidrug Zemignev Zemin Zloslav Zverce Zvergoj Zverko Železen Židislav Žilec Žitigoj Žitomir Žitomisl Žitovit Žizemir</t>
  </si>
  <si>
    <t>Blaško Bogdan Bogoslav Božidar Božo Bojan Boril Boris Boroj Boško Branko Budislav Cvetni Cvetašin Cvetin Cvetoš Dejan Doberko Dobrilo Dobrovoj Dobroslav Dragaš Dragobrat Dražilo Dušan Godomir Gojko Gradimir Hraber Ivko Izeslav Jezerko Kazimir_Casimir Karan Kocelj Krilan Ljuben Ljubenko Liubivoj Ljubinko Ljubomir Ljuboslav Maleš Miladin Milan Milanko Milen Milenko Milevoj Milin Milinko Milislav Milovan Milorad Miloš Milun Miluš Milutin Miljen Miljko Milobrat Milodrag Mirko Mirodar Mišljen Mladen Negoš Nedeljko Ninko Nino Novko Obren Prerad Pribic Radan Radivoj Radinko Radislav Radic Radmil Radovan Radoj Radojko Radomir Radosim Radoslav Rajko Ratko Rebom Savo Slavoljub Sokol Srecan Srecko Stanko Stojadin Stojko Svetopolk_Svatopluk Šišman Šumijak Tašo Tihomil Uroš Valhun Vasoj Veselin Vecerin Vetko Vid Vidojko Vitko Vitor Vladoslav Vlatko Vojdrag Vojtek Volkašin Vratislav Zlatko Zlatoslav Zlatoust</t>
  </si>
  <si>
    <t>Bega Bela Belica Beliša Bitinja Blagica Bogumila Boželisa Branka Bratina Bratrica Budislava Crna Dobrava Dobrica Dobrilka Dobrinja Dobrota Dobrožica Dobrožižna Dobruška Dolgodelka Domnega Dražica Godeslava Gojica Gosta Gostinja Gostiša Govica Jaronega Jaroslava Jelena Ladana Laduta Lastuša Lazica Lepa Ljuba Ljubiha Ljubonega Ljubonja Ljubota Ljuta Ljutica Mala Manidraga Miljena Mislena Mirica Mirna Miroslava Nedeljka Negota Odola Pacemira Predobra Pribila Pribina Pribislava Prisnoba Prisnota Radonja Semika Slava Slavka Slovenka Sobemisla Stanila Stanislava Stislava Stojana Stojina Straha Stranka Svetoslava Tešina Težkona Tihica Tihomira Tihonja Tonislava Topa Trebenja Trebica Trebina Ubislava Vevera Vidina Vilana Volcina Volkinja Volkonja Volkota Vranica Zemidraga Zenislava Zla Zlativenca Zleslava Zverica Zverinja Zverka Židana Živina</t>
  </si>
  <si>
    <t>Bistra Bogdana Boža Bojana Bosiljka Brajna Cveta Cvetana Cudna Danica Daša Deva Dejana Divna Dobrana Dobrija Draga Dragica Golobica Gorislava Gradislava Granislava Grozda Grozdana Grobiša Ivka Jagoda Janja Jasna Jela Jelenka Kazimira Kalina Kosana Košuta Krilana Lilijana Ljubica Ljubomira Ljuboslava Maleša Malina Malinka Mila Milena Milislava Milica Milojka Milunka Miluša Milja Miljana Miljka Mira Mirca Mirjana Mica Mišljena Morava Neda Nišava Novica Ogrinja Pavica Prodana Rada Radana Radojka Rajka Sava Slavica Smiljana Stana Stanimir Stanka Stojna Tankosa Tankosava Tonka Vesela Vida Vidojka Vidoslava Volkoslava Volcica Zlatkoka Zorana Zorka Zvezdana Živkoka</t>
  </si>
  <si>
    <t>hungarian = {</t>
  </si>
  <si>
    <t>graphical_cultures = { magyargfx westerngfx }</t>
  </si>
  <si>
    <t>color = { 0.5 0.6 0.3 }</t>
  </si>
  <si>
    <t>Ábel_Abel Ádárn Ágoston_Augustine Álmos Árpád Õdön_Otto Alajos Ambrus_Ambrosius András_Andrew Antal Attila Bálint Béla_Albert Balázs Benedek_Benedict Bernát_Bernard Bertók Bertalan_Bartolomeus Boldizsár_Baltasar Bonuslo</t>
  </si>
  <si>
    <t>Borisz_Boris Csák Csaba Csongor Dénes_Denis Dömötör_Demetrius Dezsõ_Desiderius Domoszló Donát_Donatus Elek Elemér Endre_Andrew Ernõ_Ernest Fulöp_Philip Ferenc_Francis Frigyes_Frederick Gábor_Gabriel Gábriel_Gabriel Gáspár_Caspar Géza Gazsi</t>
  </si>
  <si>
    <t>Gellért_Gerard Gergely_Gregory György_George Gyula Imre István_Stephen Izsák_Isaac Jákob_Jacob János_John József_Joseph Jenõ Kálmán Károly_Charles Konrád_Konrad Kornél_Cornelius Kristóf_Christopher László_Vladislav Lázár_Lazarus Lõrinc_Laurence Lajos_Louis</t>
  </si>
  <si>
    <t>Lampert_Lambert Levente Lukács_Luke Márk_Marcus Márton_Martin Máté_Matthew Mátyás_Matthew Móric_Maurice Mózes_Moses Mihály_Michael Miklós_Nicholas Nándor_Ferdinand Orbán_Urban Oszkár_Oscar Pál_Paul Péter_Peter Sámuel_Samuel Sándor_Alexander Salamon_Solomon Saul Soma</t>
  </si>
  <si>
    <t xml:space="preserve">Szilveszter_Silvester Tádor_Theodore Tacsony Tamás_Thomas Tibor Tivadar Vazul_Basil Vencel_Vaclav Vilmos_William Zoltán Zsigmond_Sigmund Zsolt </t>
  </si>
  <si>
    <t>Ágnes_Agnes Éva_Eva Adelaida_Adelaide Agáta_Agatha Amália_Amelia Angyalka_Angela Anikó_Anna Aranka_Aurelia Berta_Bertha Borbála_Barbara Csilla_Csilla Csillag_Csilla Czenzi Dorottya_Dorothy Edit_Edith Emõke Emese Erika Erzsébet_Elizabeth Eszter_Esther</t>
  </si>
  <si>
    <t>Etel Euphemia_Euphemia Gizella_Gisela Györgyi_Georgia Hajnal Hedwig_Hedwig Ibolya_Yolanda Ildikó_Hildegard Illona Irén_Irene Jácinta_Hyacintha Józsa_Josepha Júlia_Julia Jolán Judith_Judith Kamilla_Camilla Katalin_Catherine Kinga_Kunigunde Klára_Clara</t>
  </si>
  <si>
    <t>Konstancia_Constance Krisztina_Christina Kunigunda_Kunigunde Luca_Lucia Mária_Maria Márta_Martha Magdolna_Magdalena Margaréta_Margaret Margit_Margaret Matild_Matilda Natália_Natalia Odola Orsolya_Ursula Panni_Anna Piroska_Priscilla Rózsa_Rosa Sára_Sarah Sarolt</t>
  </si>
  <si>
    <t>Skolasztika_Scholastica Sophia_Sophia Tundér Terezia_Teresa Viola_Yolanda Virág Zoltána Zsófia_Sophia Zsanett_Joan Zsuzsa_Susan</t>
  </si>
  <si>
    <t>from_dynasty_prefix = "a "</t>
  </si>
  <si>
    <t>male_patronym = "fi"</t>
  </si>
  <si>
    <t>persian = {</t>
  </si>
  <si>
    <t>color = { 0.8 0.8 0.4 }</t>
  </si>
  <si>
    <t>Abbas Abolhassan Afshar_Afshar Ahmad_Ahmad Akbar_Akbar Ali_Ali Allahyar Amin Anushirvan_Anushirvan Aram Ardahan_Ardahan Ardavan_Ardavan Ardeshir_Ardeshir Assad Aurang Ayeshah Babak_Babak Bahman</t>
  </si>
  <si>
    <t>Bahram_Bahram Bakhtiar_Bakhtiar Behrad Behrouz Bozorg Danush_Danush Darab Dariush_Darius Davud_David Djamasp Ebrahim_Abraham Ehsan Esfandiar_Esfandiar Eskander_Alexander Esma'il_Ismail Faramarz_Faramarz Faraz_Faraz Fareed_Farid Farhad_Farhad Fariborz_Fariborz</t>
  </si>
  <si>
    <t>Farroukh_Farroukh Farrukhzad_Farrukhzad Farzad_Farzad Fath Ferdows_Ferdows Fereedun_Feridun Ghobad Gholam Godarz Goshtasb_Goshtasb Hafez Hassan_Hasan Hazarasp_Hazarasp Hedayat Hooshyar_Hooshyar Hormazd_Hormazd Hormoz Hossein_Hussein</t>
  </si>
  <si>
    <t>Humayun Jahandar_Jahandar Jahangir_Jahangir Jahanshah_Jahanshah Jamshid_Jamshid Javeed_Javeed Kambiz Kamran Kavoos_Kavoos Keyghobad Keykhosrau_Keykhosrau Kharmandar_Kharmandar Khashayar_Khashayar Kavadh Khodadad_Khodadad Khosrau_Khosrau</t>
  </si>
  <si>
    <t>Khudayar_Khudayar Khurshid_Khurshid Kurush_Cyrus Mahmud_Mahmud Manuchihr_Manuchihr Manushihr_Manushihr Marzuban_Marzuban Mashad_Mashad Maziar Mehrab Mehrzad Mohammed_Muhammad Morad_Morad Morteza Mozaffar Nard Naveed Nawid Nezam Parviz Pashang_Pashang Peroz_Peroz</t>
  </si>
  <si>
    <t>Pujman Reza Rostam_Rostam Ruhollah Sadri Salman Shahab_Shahab Shahbaz_Shahbaz Shahin_Shahin Shahram_Shahram Shahrokh_Sharokh Shahruz_Shahruz Shahryar_Shahryar Shapur_Shapur Shayan_Shayan Sina Tahmasb_Tahmasb Vahhab_Vahhab Vahid</t>
  </si>
  <si>
    <t>Vali Vandad Varshasb_Varshasb Vishtasb_Vishtasb Yazdegerd Yousef_Joseph Zahak Zakaria_Zachary Zand Zartosht_Zartosht Zia</t>
  </si>
  <si>
    <t>Afsaneh Ahu Arghavan Azarmidokht Asa Azadeh Bahar Banafsheh Behnaz Burandokht_Pourandokht Darya Delaram Delbar Dinah Donya Elham Elnaz Farah Fareedeh Farnaz Farrin Farva</t>
  </si>
  <si>
    <t>Furuzan Ghamze Ghazal Ghoncheh_Ghoncheh Golbahar_Golbahar Golnaz_Golnaz Golpari Golshan Hamdam Hurmat Irandokht Jamileh Javaneh Leila Mahdokht Mahtab Mariam_Maria</t>
  </si>
  <si>
    <t>Navvaba Nazgol_Nazgol Nazilla Noor Parvaneh_Parvaneh Parvin Pertevniyal Pourandokht_Pourandokht Roshanora Roxana Salomeh Shahrzad Shahzadeh Shirin Soraya Touran</t>
  </si>
  <si>
    <t>Tourandokht Yasaman_Yasmin Yekta Zarrindokht Zeynab Zohreh</t>
  </si>
  <si>
    <t>male_patronym = "zade"</t>
  </si>
  <si>
    <t>female_patronym = "dokht"</t>
  </si>
  <si>
    <t>sogdian = {</t>
  </si>
  <si>
    <t>color = { 0.43 0.32 0.32 }</t>
  </si>
  <si>
    <t>Gurak Divashtich Yodkhsetak Tuhun Tarkhun Urak Turghar Lushan Nanaifarn Avyaman Yechi Chaki Mechun Tishifan Wupoyan</t>
  </si>
  <si>
    <t xml:space="preserve">Tarxun Wanxanak Nawekat Wiyus Uxushukan Bharxuman Skatch Sheshch Chaxren Ramch Shaw Maxak Ramtish Axushfarn Bhurz Chukshak Fudanyan Dishebo Vandak Khudayfarn Sili Tishrat Chunakk Namdar Xutawch Pisak Karz Nijat Chatfaratsaran Dewastich </t>
  </si>
  <si>
    <t xml:space="preserve">Varzakk Nanai-thvar Chuzakk Khwatawch Karzh Nizat Nanaikuch Ukhwan Pator Wakhushuvirt Maniakh Watch Shafnoshak </t>
  </si>
  <si>
    <t xml:space="preserve">Akhurmaztakk Akhushfarn_Akhushfarn Anghatnaw Anghatspadh Anushirvan_Anushirvan Ardavan_Ardavan Ardeshir_Ardeshir Armatsach Arsach Artikhuvandakh </t>
  </si>
  <si>
    <t xml:space="preserve">Artivan_Ardavan Aspandhat Astken Aurang_Aurang Avyaman-yan_Avyaman-yan Avyaman_Avyaman Avyamanch_Avyamanch Avyamanvandak Babak_Babak Bahram_Bahram </t>
  </si>
  <si>
    <t xml:space="preserve">Banda Barak_Barak Bharkhuman_Bharkhuman Bhurz_Bhurz Buddhadasa Chakar_Chakar Chakhapak Chakhren_Chakhren Cher_Cher Chetvandak Dariush_Darius </t>
  </si>
  <si>
    <t xml:space="preserve">Devadasa Dewashtich_Dewashtich Dhakh Dhruwaspvandak Esfandiar_Esfandiar Eskander_Alexander Ewakhsh Faramarz_Faramarz Farhad_Farhad Farn Farnaghat </t>
  </si>
  <si>
    <t xml:space="preserve">Farnch Farnkhund Farroukh_Farroukh Farrukhzad_Farrukhzad Farzad_Farzad Fatmiwach Ferdows_Ferdows Fereedun_Feridun Frikhwataw Ghawtus Ghobad_Ghobad </t>
  </si>
  <si>
    <t xml:space="preserve">Ghoshfarn Ghotamsach Godarz_Godarz Goshtasb_Goshtasb Hazarasp_Hazarasp Hormazd_Hormazd Hormoz_Hormoz Induk Irkin_Irkin Jamshid_Jamshid Jiamut </t>
  </si>
  <si>
    <t xml:space="preserve">Jimatvande_Jimatvande Kanak_Kanak Kanakk_Kanak Kartir Karzhtik Kavoos_Kavoos Kaway Kharstrang Khosrow_Khosrow Khun Khurshid_Khurshid Khwadhawanakk </t>
  </si>
  <si>
    <t xml:space="preserve">Khwarmew Khwasaw Khwasawch Kund Kundakk Kurush_Cyrus Kushan Kushanakanak Makhak_Makhak Marti Marzuban_Marzuban Maymarghch Methakan Mew Miren </t>
  </si>
  <si>
    <t xml:space="preserve">Muqanna Nanai Nanaidhvar Nanaifarn_Nanaifarn Nanaikhsay Nanaithvar_Nanaydvar Nanaizanch Nanayakk Nanevante_Nanevante Narisaf Narshakhi Nawchirth </t>
  </si>
  <si>
    <t xml:space="preserve">Nibothak_Nibothak Nipak_Nipak Nithan_Nithan Ot-tegin_Ot-tegin Papakk Parsak Parviz_Parviz Pashang_Pashang Patrodhan Pekako Peroz_Peroz Pesakk </t>
  </si>
  <si>
    <t xml:space="preserve">Pujman_Pujman Qishiq_Qishiq Ramtish_Ramtish Rashdhes Razmwanwan Resan Rewdhvar Rokhshan_Rokhshan Rostam_Rostam Rutha Sagharak Sas Sasan Satasp </t>
  </si>
  <si>
    <t xml:space="preserve">Sesh_Sesh Shahbaz_Shahbaz Shahin_Shahin Shahrokh_Sharokh Shans Shapur_Shapur Shaw_Shaw Shennu_Shennu Shirch Sina_Sina Spadh Spadhkharsh Srawakk </t>
  </si>
  <si>
    <t xml:space="preserve">Stayidh Suryakk Tahmasb_Tahmasb Takhsich Takhsichvandak Takut Tarkhun_Tarkhun Taw Tir Tishtrya_Tishtrya Tishvandak Turghar_Turghar Ukhushukan_Ukhushukan </t>
  </si>
  <si>
    <t xml:space="preserve">Urak_Urak Vagh Vaghrew Vahhab_Vahhab Varshasb_Varshasb Varzak_Varzak Varzirak Vishtasb_Vishtasb Viyus_Viyus Vuvva Wakhunam Wakhushakk Wakhushu Wanenak </t>
  </si>
  <si>
    <t>Wankaway Wankhanak_Wankhanak Wanrazmak Wanwans Wishaghn Xeykhosrow_Keykhosrow Y’n_Y’n Zand_Zand Zartosht_Zartosht Zymt_Zymt</t>
  </si>
  <si>
    <t xml:space="preserve">Nana Upach An Kang Aghatzak Anakhit Arghavan_Arghavan Banafsheh_Banafsheh Chat_Chat Chatis Chet Chinanch Darya_Darya Funa_Funa Furuzan_Furuzan Ghamze_Ghamze Ghoncheh_Ghoncheh </t>
  </si>
  <si>
    <t xml:space="preserve">Golbahar_Golbahar Golshan_Golshan Khansch Makh Mah_Mah Mahtab_Mahtab Miwnay Nana_Nana Nanai_Nanai Nanaidhat Navvaba_Navvaba Nazgol_Nazgol </t>
  </si>
  <si>
    <t xml:space="preserve">Nazilla_Nazilla Parvaneh_Parvaneh Parvin_Parvin Ranisa Roxana_Roxana Sanakhram Shahrzad_Shahrzad Shahzadeh_Shahzadeh Shayn Shirin_Shirin Touran_Touran </t>
  </si>
  <si>
    <t>Yasaman_Yasmin Yena_Yena</t>
  </si>
  <si>
    <t>from_dynasty_prefix = "m "</t>
  </si>
  <si>
    <t>male_patronym = "zk "</t>
  </si>
  <si>
    <t>female_patronym = "zk "</t>
  </si>
  <si>
    <t>tocharian = {</t>
  </si>
  <si>
    <t>color = { 0.75 0.45 0.95  }</t>
  </si>
  <si>
    <t>#Tocharian B</t>
  </si>
  <si>
    <t>Airawanta Ajatasatru Ajite Alp_Alp Ambare_Ambara Amprätasarme Amrätaraksite Amrätodane Anande Anathapindike Aniruddhe Andhave Anktsas Arjune_Arjuna Aranemi Arnyartate Arslam_Arslan Arthadarsi Aryamarg Aryaske Aryatewe Aryawarme Aryottame Asokamitre Asokaraksite Asoke_Ashoka Asärte Astawi Atakke Atidivakare Atyuccagami Atraikatte Bimbasare Caitike Caiytiska Cakravar Cakule Candramukhe Candravasu Candre Caracate Cina Cinatyuti Citre Cittaraksite Cowaske Dandakamal Devarakste Dhanike Dharma_Dharma Dharmacandre Dharmadase Dharmakame Dharmakamiske Dharmaraksite Dharmasome Dharmatrate Dharmawarme Dipankar Dirghanakhe Dravyasvare Durmukhe Ekasrinke Erkätsole Esmiñe Etrise Gayakasyape Gayasirs Gaye_Gaya Gunacamdre Gunasampade Hariscandre Hastake Hetubalike Indradhvaje Indratewe Indre_Indra Indriske Issapake Jatisrone Jetavam Jñanacamndre Jñanaghose Jñanakame Jñanakupte Jñanamokse Jñanasene Jñanasome Jñanasthite Jñanawirye Kadike Kalodaye Kalyanamokse Kalyanavraddhi Kalyanawartane Kanake_Kanaka Kanaske Kanthäke Kapilavarne Kapilavastu Kas Kasyap Katakarni Kaundinye</t>
  </si>
  <si>
    <t>Kauravye Kausal Kemarcune Kentarske Kercampey Kercapiske Kerdipole Kereptaññe Kimñe Klenkarako Klpapatre Klyotiska Kotile Koysam Ksemankare Ksmarjune Ksmawarme Ksmate Ksmateworsa Ksmika Kulkera Kumarapunye Kumpante Kunacamttrakau Kunacamttre Kwirapabhadra_Virabhadra Lariska Mahasammate Mahisvare Manisvare Mitrakseme Mitraske Mitre Moksasene Moksasome Moksawarme Molyoke Mukalanti Munkhare Murdhagate Nandabala Nandake Nande_Nanda Nandipale Nasme Ñatte Naradeve Ñirot Nupura Nyagrodhe Padmakesar Padmottare Pakacandre Pañcasikhi Pawaske Pesane Prabhankare Prabhase Pranada Prasamnake</t>
  </si>
  <si>
    <t>Pravare_Pravara Priyadeve Ptompile Puñaiyse Puñakame Puñaraksite Puñicamndre Punyamitre Purtas Rahule_Rahula Raktadewe Ratnacuda Ratnasikhi Rsivadam Rudramukhe Rudrasarme Sagare Samantatir Samcite Samghatrate Sanavasi Sanghasarme Sankene Sanum Saputanase Sarasike Sarmacamdre Sarsire Satuma Satyake Satyaraksite Siddharthe_Siddhartha Sidhasamgha Siladewe Silamitre Silarakite Silaraksi Silasoma Silavande Silawarne Silayase Silopake Simpraye Siñcake Sinke Sinku Skanatatte Skwarle Slacamndre Solarke Some Srestake Sudarse Sudas Suddhodane Sujate Sukase Suklodane Sunaksatre Sunetre Sutasome Sutate Swarnabuspe Swarnatepe Tarmacandre Tarmaraksite Tenare Tohkem Tonke Tukik Tunka_Tunka Tusi Udanalankar Udayi Ulkamukhe Uluke Upage Upagupte Upanande</t>
  </si>
  <si>
    <t>Uposathe Urbilvakasyape Uttaraphalguni Uttare Vaisravane Vaitike Varddhane Vidusake Vimalapuspe Vinaise Visale Wamsok Warwattaske Wäryaruci Wäryasene Wasampile Wasave Wiryadewe Wiryamitre Wiryasanti Wiryasiñi Wisikke Wrauske Yanayase Yarpaläske Yasa Yasawine Yase Yasonaka Yastare Yiswe_Jesus Yonge Yonu Ype Yudhisthire Yugaraje</t>
  </si>
  <si>
    <t>Amprätasene Amrätasene Arjuna Arunavati Aryakose Aryaraksite Ayardhyame Bhadra Cañca Dhrtirastre Jñati Kolite Kosthile Malika_Malika Maya_Maya Nagasene Priyasarini Punyasene Purike Purnaya Purohite Putere Räknaska Revati Roce Saci Santa Santisene Sari Sthulananda Sudarsane Sumagati Sumaise Sumati Sundari Suwarte Tarma_Dharma Tarmawirñe Tärtvisara Tati_Tati Tisye Upatisye Uppal Uppalavarna Vajrapani_Vajrapani Vasisthe Vitasake Yasaraksite Yasodhara</t>
  </si>
  <si>
    <t>from_dynasty_prefix = "mem "</t>
  </si>
  <si>
    <t>male_patronym = "soyä "</t>
  </si>
  <si>
    <t>female_patronym = "tkacer "</t>
  </si>
  <si>
    <t>kurdish = {</t>
  </si>
  <si>
    <t>graphical_cultures = { persiangfx } #arabicgfx</t>
  </si>
  <si>
    <t>color = { 0.3 0.35 0.1 }</t>
  </si>
  <si>
    <t>Abbas Abolhassan Alah-Verdi Allahyar Amin Aram Assad Aurang Ayeshah Azad Babek_Babak Bahman Behrad Behram_Bahram Behrouz Bextîyar_Bakhtiar Bozorg Cehandar_Jahandar Cehangir_Jahangir</t>
  </si>
  <si>
    <t>Cehanšah_Jahanshah Cemšîd_Jamshid Cevid_Javeed Danûš_Danush Darab Daryûš_Darius Davud_David Ebrahim_Abraham Efrasiyab_Afrasiyab Efšer_Afshar Ehmed_Ahmad Ehsan</t>
  </si>
  <si>
    <t>Ekber_Akbar Elî_Ali Enûširwan_Anushirvan Erdehan_Ardahan Erdewan_Ardavan Erdešîr_Ardeshir Esfendiyar_Esfandiar</t>
  </si>
  <si>
    <t>Eskander_Alexander Ešot_Ashot Eyyub_Job Feramez_Faramarz Feraz_Faraz Fath Ferhad_Farhad Ferhan_Farhan Ferheng_Farhang Feriburz_Fariborz Ferîd_Farid</t>
  </si>
  <si>
    <t>Ferîdun_Feridun Ferux_Farroukh Feruxzad_Farrukhzad Ferzad_Farzad Fezl_Fadl Fezlun_Fadlun Firdews_Ferdows Ghobad Gholam Godarz Goštasp_Goshtasb Hezarhesp_Hazarasp Hafez Hedayat</t>
  </si>
  <si>
    <t>Hesen_Hasan Hisên_Hussein Hormoz Hosen_Hussein Humayun Hurmiz_Hormazd Îsmaîl_Ismail Kambiz Kamran Keyghobad Keyxusrew_Keykhosrau Kâvus_Kavoos</t>
  </si>
  <si>
    <t>Kûrušê_Cyrus Mamlan_Muhammad Mashad Mehmûd_Mahmud Mehrab Mehrzad Mensûr_Mansur Menûçihr_Manuchihr Menûšihr_Manushihr Merwan_Marwan Merzuban_Marzuban Mesûd_Masud</t>
  </si>
  <si>
    <t>Mihemed_Muhammad Mîrza_Mirza Mistefa_Mustafa Murad_Morad Morteza Mozaffar Nard Naveed Nawid Nesir_Nazir</t>
  </si>
  <si>
    <t>Nesr_Nasr Nezam Nošîrwan_Nawshirwan Nêçîrvan_Nechirwan Parviz Pujman Pêšeng_Pashang Pîroz_Peroz Revend_Rawwad Reza Ruhollah Rustam_Rostam Sadri Salman Sina Surxap_Surkhab Tahmasp_Tahmasb</t>
  </si>
  <si>
    <t xml:space="preserve">Vahhab Vahid Vahusdan_Wahustan Vali Varšasp_Varshasb Vîštap_Vishtasb Xarmandar_Kharmandar Xašayar_Khashayar </t>
  </si>
  <si>
    <t>Xuršîd_Khurshid Xusrew_Khosrau Xušyar_Hooshyar Xwedadad_Khodadad Xwedayar_Khudayar Yezîd_Yazid Yousef Zahak Zakaria_Zachary Zand Zerdešt_Zartosht Zia</t>
  </si>
  <si>
    <t>Šadî_Shadhi Šahab_Shahab Šahbaz_Shahbaz Šahenšah_Shahanshah Šahin_Shahin Šahram_Shahram Šahryar_Shahryar Šahrux_Shahrokh Šahruz_Shahruz Šapur_Shapur Šarvin_Sharwin Šawur_Shavur Šayan_Shayan Šîrkûh_Shirkuh</t>
  </si>
  <si>
    <t>Adan Adar Ara Ardil Arezo Arezu Ariyan Arêz Arîman Arîn Asan Asteng Asê Avan Azadî Azrîn Aštî Badil Bahar Balnexšîn Banê Barîn Bawan Baziyan Bazê Befraw Befrîn Begîxan Belalûk Belqis</t>
  </si>
  <si>
    <t>Belîcan Benav Benaz Berbijîn Berdar Berdil Bersîn Berîcan Bexšîn Beyan Beybîn Beybûn Bezîn Bihar Bijîn Bilêse Binar Binav Binefš Binevš Biyan Biškoj Biškurîn Bohar Bênaz Bêrîcan Bêrîvan Burandoxt_Pourandokht</t>
  </si>
  <si>
    <t xml:space="preserve">Dengîn Derav Derzîn Desmal Devken Dilar Dilaram Dilare Dilawaz Dilber Dilcan Dildar Dilgerm Dilistan Dilkanî Dilnaz Dilvîn Dilxoš Dilxweš Diyarî Doman Dêrsim Dîlan Dîristan Esmercan Esmerxan </t>
  </si>
  <si>
    <t xml:space="preserve">Estêre Evîn Ewrîn Eyšan Ezcan Felek Fener Ferašîn Firmêsk Fîdan Gazî Gelavêj Gerdengaz Gozel Gozê Grîvan Guhtem Gulbehar_Golbahar Gulšen Gulnar Gulnaz_Golnaz Gêlas Helez Heliz Helvîn Hemayîl </t>
  </si>
  <si>
    <t>Kejê Keser Kevok Kevî Kewser Kezîzer Koçer Leylê Leymîn Lezîn Lolav Lorkê Lorî Lorîcan Lorîn Lêlav Lêvken Lîlyan Lîza Maša Mebest Mehrîban Mehrîcan Mehrîvan</t>
  </si>
  <si>
    <t>Mejbîr Mendal Mercam Merîvan Mirarîxan Miryem_Maria Mizgîn Muhabad Mêmê Mêrdîn Mêxek Mîdya Mîran Narîman Narîncan Navbihar Nawxoš Naz Nazdar Nazenîn Nazgul_Nazgol Nazik Naznaz Nazê Nermê Nermîn Nesrîn Newbohar Nexšîn</t>
  </si>
  <si>
    <t xml:space="preserve">Nešmîl Nešmîn Norcan Nêrgiz Nêrîn Nêzîk Nîdar Nîgar Nîroj Nîšan Nîštîman Perjîn Pervîn Perwane_Parvaneh Perwîn Perçem Perî Perîgul Perînaz Perîxan Perîšan Pexšan Peyman Pirjîn Piršeng Piršing Pore Poršeng Pêlîn Pîroz Pîšeng </t>
  </si>
  <si>
    <t xml:space="preserve">Rana Rengîn Rewša Rewšen Rihan Rindê Rojhelat Rojê Ronahî Ronak Rondik Rêjîn Rêzan Rîhan Rîken Rûciwan Rûgeš Rûken Rûzerîn Sarê Serbar Sercan Serferaz Serfiraz Sergul Serçinar Seyran Xatûn </t>
  </si>
  <si>
    <t>Xêlîcan Xonçe_Ghoncheh Zernîšan Zerya Zerê Zerî Zerîxan Zeytîn Zeytûn Zilfê Zoya Zozan Zêrîn Zîlan Zînet Zînê Šana Šanaz Šayan Šehrîban Šelal Šemam Šengê Šepal Šepirze Šermîn Ševba Ševîn Šêlaz Šîlan Šînî Šîwen</t>
  </si>
  <si>
    <t>male_patronym = "kurê "</t>
  </si>
  <si>
    <t>female_patronym = "kiçê "</t>
  </si>
  <si>
    <t>afghan = { # a.k.a. Pashtun</t>
  </si>
  <si>
    <t>saka = {</t>
  </si>
  <si>
    <t xml:space="preserve">Haskadatta Huyi Hvam Hvarda Hvardamaya Hvimdu Ikam Irasamga Jabgu Jajahasa Kamnai Kayam Kharusa Khina Khuradatta Khvarnarse Kimashana Kimashani </t>
  </si>
  <si>
    <t xml:space="preserve">Kimatcuna Kirtti Kriti Kunala Kushtana Mamatti Manohara Murlimin Naganpaka Nipandaka Padatcaina Pakyau Phimduka Presamdha Punarrjam Punekula </t>
  </si>
  <si>
    <t xml:space="preserve">Purgula Raghu Samgai Samgaka Samgalaka Sangrama Sayausa Sham Shambhava Shikshananda Shinganca Shiresala Shirvamdai Shribhadra Shtrugize Shudamgula </t>
  </si>
  <si>
    <t xml:space="preserve">Shura Sidaka Sihya Siladharma Simhyi Skunkha Sthavira Sudarrjam Sudhana Sumauna Sumtharaka Tayasham Tcusyau Vadhaga Vagiti Vaham Vahana </t>
  </si>
  <si>
    <t>Vardhana Varman Vasudeva Vidakai Vidaram Vijita Vijitasimha Vikrama Virsha Visaram Vishirapumna Visma Ysambasta Zambasta</t>
  </si>
  <si>
    <t>ethiopian = {</t>
  </si>
  <si>
    <t>graphical_cultures = { africangfx westafricangfx }</t>
  </si>
  <si>
    <t>color = { 0.4 0.4 0.3 }</t>
  </si>
  <si>
    <t>Amare Dahnay Desta Getachew Geteye Girma Abai Abebe Afework Aman Assefa Atoberhan Azmera Bekele Benaim Berhanu Berhanua Berihun Berta Bworo Daniachew Dawit Demissie Eremias Ezana Fasilidas Fethee Gabra Gebereal Gebre Gondar Hackeem Haeran Hagos Hakeem_Hakim Hakiem_Hakim Hakim_Hakim Hakym_Hakim Iskander_Alexander Iskinder_Alexander Iyasu_Joshua Jima Kafa Kaleb Kelile Kelyle Kifle Lebna Lema Loua Mamo Mekonnen Melaku Mengesha Merille Miruts Negash Negasi Negus Ogbae Ogbai Oromo Rahad Selassie Semer_Semer Semere_Semer Sisay Tamirat Tariku Taye Tefere Teferi Teka Tekle Tengene Teruworq Tesfaye Tessema Tewodros_Theodore Yacob_Jacob Yohannas_John Yonas_Jonah Zula</t>
  </si>
  <si>
    <t>Habesha Abeba Abrihet Adanech Adina Alaworld Alitash Amhara Ayana Bathsheba Bekele Belkis Berhane Berta Cheren China Debre Debtera Desse</t>
  </si>
  <si>
    <t>Desta Dilla Falasha Falashina Fana Fannah Genat Hagos Jahzara Jazarah Kayla Kelile Kelyle Keren Kess Kifle Lishan Louama Magdala_Magdalena Maharene</t>
  </si>
  <si>
    <t>Makda Makeda Mandera Melesse Mellesse Misrak Negasi Nishan Nyala Qwara Retta Seble Sela Selamawit Selassie Semhar Senalat Sheba Shinasha</t>
  </si>
  <si>
    <t>Sisay Tavavich Teru Totit Tsage Wagaye Yehudit_Judith Zala Zauditu Zeina Zena Zenia</t>
  </si>
  <si>
    <t>somali = {</t>
  </si>
  <si>
    <t>color = { 0.2 0.2 0.1 }</t>
  </si>
  <si>
    <t>Abadir Abdale Abdirahman Abdulah_Abdullah Abram_Abraham Abu-Bakr_Abu-Bakr Adan Adeer Ahmed_Ahmad Ali_Ali Amlale Aul Awe</t>
  </si>
  <si>
    <t>Aydahis Balad Baraka_Barak Barakat_Barak Ciise Dagale Dhidhin Hamalmal Hamar Hamid Hantale Haqq Harire</t>
  </si>
  <si>
    <t>Ibrahim_Abraham Irir Isman Jamal Kadhafo Kedafu Khalaf Liban Mahammad_Muhammad Mahamed_Muhammad</t>
  </si>
  <si>
    <t>Mahamud_Mahmud Mansur Nahwi Naleye Nassir Nur Omer Sa'ad Sa'adaddin Sabir Sabr Sabraddin</t>
  </si>
  <si>
    <t>Sadiq Salah Siciid Talha Umar Umardin Yayyo Yusuf_Joseph Zuber_Zubeyr</t>
  </si>
  <si>
    <t>Aasha Adey Alaso Ambro Amburo Asha Asli Astur Awa Awrala Ayaan Barni Basr Beydaan</t>
  </si>
  <si>
    <t>Billan Canab Cawo Deeqa Delombira Dobira Faadumo Fathia Fawzia Geesi Haweeya Hibaaq</t>
  </si>
  <si>
    <t>Hodan Hoodo Iftiin Jiinow Khadra Ladan Leyla_Laila Libin Luula Magol Maka Mariam_Maria</t>
  </si>
  <si>
    <t>Mulki Nasteexo Sagal Sahra Sufia Ubah Ubax Waris Xalwo</t>
  </si>
  <si>
    <t>nubian = {</t>
  </si>
  <si>
    <t>color = { 0.6 0.6 0.5 }</t>
  </si>
  <si>
    <t>Aarôn_Aaron Aberikos Abraam_Abraham Añgelos_Angel Andreas_Andrew Athanasios_Athanasius Balô Bartholomaios_Bartolomeus Birêl Chael Christophoros_Christopher Dauid_David Dimetheos_Timothy</t>
  </si>
  <si>
    <t>Dioskoros Diônisios_Dionysus Eliezer Eionkouda Emmanouel_Emmanuel Enôch_Enoch Ephannê Epimachos Epiphanios Gabriel_Gabriel Gabrielkouda Gabrielophorou Gennatios_Gennadius</t>
  </si>
  <si>
    <t>Geôrgios_George Hêlias_Elijah Hoase_Jesse Hoassi_Jesse Hoasse_Jesse Iacob_Jacob Ieremias_Jeremiah Iêsous_Jesus Iêsousinkouda Iôannou_Jonah Iôannês_John Iordanes_Jordan Ioseph_Joseph Kalinikos_Kallinikios Kollouthos</t>
  </si>
  <si>
    <t>Krisanthos_Chrystanthos Kuriakos_Kyriakos Kurillos_Cyril Lazaros_Lazarus Leon_Leo Leontios_Leontius Makarios_Makarius Mariana_Marianus Mariankouda Marianos_Marianus Marios_Marius Markos_Marcus Marturophoros</t>
  </si>
  <si>
    <t>Mašanñal Maththias_Matthew Mêlênkouda Mena Menankouda Merkourios_Mercurius Michaêl_Michael Michaêlkouda Mouses_Moses Orna Panigiros Papasinen Papasinkouda Patrikios_Patrick</t>
  </si>
  <si>
    <t>Paulos_Paul Petros_Peter Petrou_Peter Philotheos Philemon Prochoros Raphael_Raphael Raphaelkouda Samson Senouthios Sentiko Sergios_Sergius Simeoni_Simon Soizuros Solomôn_Solomon Sotinkouda Stephanos_Stephen</t>
  </si>
  <si>
    <t>Stephanou Thadeosi_Thaddeus Theodôros_Theodore Theodosios_Theodosius Theodote_Theodat Thoma_Thomas Tophêna Tirsakouni Zacharias_Zachary Zosima_Zosimus</t>
  </si>
  <si>
    <t>Agathe Alethia Anthelia Athanasia Chaelsoñoja Chrissa Christina Douriko Egaloskoura Eikkir Eionmnne Eionñoka Eitou Elisabeth_Elizabeth Eirena_Irene Eirene_Irene Eirota Eirotatouññlki</t>
  </si>
  <si>
    <t>Entaeiri Eôneille Ephannê Epimachosi Eudosia_Eudoxia Eulabia Eusebia Eustephanou Fatima_Fatima Genseoua Hellene_Helen Hemene Iannia_Joan Iêsousyko Ioustina_Justina Kel Kerike Kersiami Kettoudi</t>
  </si>
  <si>
    <t>Keudonia Kurake_Kyriake Maraña Maria_Maria Mariam_Maria Mariane_Mariana Marianou_Mariana Michaêliko_Michaela Ñašša Ñeššadena Ñejin Ñilesa Ñojjl Ñoltou Ñonne Ñonnen Ñouddl Ñssitkitol Ouarenô Patrikia_Patricia Pelagia</t>
  </si>
  <si>
    <t>Penatti Pesanthia Petronia_Petronia Prisisilla_Priscilla Rahimah Sophia Sousanna_Susan Staurophania Theobronia Theodorake Theodosia_Theodosia Theognosta Theophania Theophilia Theipisthe Theozia Zerebekka</t>
  </si>
  <si>
    <t>daju = {</t>
  </si>
  <si>
    <t>color = { 0.95 0.9 0.65 }</t>
  </si>
  <si>
    <t>Adam Ahmed_Ahmad Anqarib Asil Bakhit Ber Bogirg Bokdoru Bolad Born Bug Chang Chaski Dahab Dong Ede Ett Ferne Gaguwe Galan Gelgel Gon Habib Hajar Hassaballah Ibedou Ibrahim_Abraham Ishaq_Isaac Issa Izzo Jal Jamne Kalge Kamalgi Karim Kasefroge Kosom Koydin Kukne Kur Lanhjin Magjin Maland Malaz Mbakin Meayge Meewge Moussa Moustafa_Mustafa Murtin Omar Pen Pid Risha Rong Salih Shendi Shuaeib Wadanh Youssouf_Joseph Yug</t>
  </si>
  <si>
    <t>Amm Awdinh Bakhita Ber Bis Bor Buk Chaski Emsire Gaguwe Gosgod Hamam Jamne Kakaw Kimzir Kubuy Kugurg Kulk Lanhjin Maj Mariam Musin Ngid Okk Pid Raqiq Ur Usk Wadanh</t>
  </si>
  <si>
    <t>kanuri = {</t>
  </si>
  <si>
    <t>graphical_cultures = { westafricangfx africangfx }</t>
  </si>
  <si>
    <t>color = { 0.8 0.45 0.75 }</t>
  </si>
  <si>
    <t>Abbas Abdallah Abdul Abdulraham Abubakar Adam_Adam Ahmed Airimi Alhaji Ali Alooma Amin Amr Arku Arsu Baba Baram Bikorom Biri Bukar Bulu Buyuma Dabbalemi Dala Daoud_David Dugu Dunama Fune Gaji Gajideni Galrima Gana Garbai Gazali Gazi Ghana Hume Hummay Ibrahim_Abraham Idris Kaday Kanemi Kashim Katakarmabe Katur Kiyari Kura Kuri Kuwaana Madu Mahmoud Mamane Modu Mohammed_Mohammed Mufioma Murama Musa Mustafa Nikale Osman Said Salmama Sanda Sani Sef Selma Shettima Shu Suleyman_Solomon Tandja Umar Waziri Yahya_John Yaqub_Jacob Yusuf_Joseph Zannah</t>
  </si>
  <si>
    <t>Aisha Aissa Aliyah Amina Aziza Bakhita Cinta Daniyah Dikwa Fatima_Fatima Halima Jalila Kaltum Karima Khadija Khalila Kili Layla Malika Mariam_Maria Mina Nadia Rashida Shadia Shakira Sukda Tebunnu Wahida Ya Yasmin</t>
  </si>
  <si>
    <t>hausa = {</t>
  </si>
  <si>
    <t>color = { 0.9 0.55 0.8 }</t>
  </si>
  <si>
    <t>Abasama Abbas Abdul Abdulkareem Abdulraham Abu Abubakar Adam_Adam Adamu Ado Ahmed Ahmedu Ali Aliyu Aminu Amir Ashakuka Atuma Bagunda Bako Balarabe Barau Barbushe Bashar Bashir Bawa Bawo Bayajidda Bayero Bello Bilal Biram Burema Burja Cikkoku Dadi Dakauta Dallatu Danasabe Danjuma Danladi Danlami Daoud_David Daren Dauda Daura Faisal Faizu Faruk Faruq Fuad Gaddo Gambo Gani Gijimasu Gobir Gowon Gugwa Habib Hadi Hafiz Hammada Hamzah Hassan Hussain Hussein Ibrahim Ibrahim_Abraham Idris Imam Isa Ishaku Ishaq_Isaac Ismaila Jalil Jamal Jatau Jibril Kabe Kado Kamil Kanajeji Kandala Kano Karbagari Kareem Katsina Khalifah Kisoki Korau Kukuna Kumbari Mahdi Mahmoud Mahmud Malam Mansur Mohammed_Mohammed Muhsin Musa Mustafa Nabil Nafata Naguji Nasir Nawata Nazaki Nohir Nomau Rahid Rano Rashidi Rumfa Said Salim Sambo Shahada Sharef Shashere Shekarau Sidi Soyaki Suleyman_Solomon Tahir Tanimu Tanko Tsamiya Tsaraki Uban Umar Umaru Usman Warisi Yahya_John Yaji Yakubu Yakufu Yamusa Yaqub_Jacob Yero Yohance Yohanna Yunfa Yunusa Yusa Yusuf Yusuf_Joseph Zaki Zaria</t>
  </si>
  <si>
    <t>Adia Aisha Aissa Aliyah Amina Aminah Aminatu Arria Arziki Asabe Asmau Atikah Auta Aziza Baba Bagwariya Bakhita Bakwa Balaraba Batatume Daniyah Danuwa Daura Daurama Faidah Faiqah Faizah Faraa Farih Fatima_Fatima Fatimah Gamata Gerda Gimbya Gino_Gino Gizirgizir Habibah Hadejia Hafsah Halima Halimah Hamata Hamidah Hanna Hassana Hazika Hussaina Ijaba Iman Ina Innagari Jalila Jamata Jamilah Jummai Kaka Karima Khadija Khadijah Khalila Khamees Khamisa Kili Kubra Kurfuru Ladi Lami Lantana Laraba Larai Latifah Layla Lina Lisha Lubabah Magajiya Magaram Magira Maimuna Malika Mansurah Mariam_Maria Marka Maryam Mina Nabilah Nadia Nafisah Naimah Rabiah Rahmah Rashida Rashidah Ruqayyah Safiyah Sakinah Salimah Samirah Sandamata Shadia Shakira Shata Shawata Shukriyah Sumayyah Talatu Turunku Wahida Walzama Yakumo Yanbamu Yasmin Yukuna Zahrah Zainab Zakiyyah Zama Zaytun Zubaydah</t>
  </si>
  <si>
    <t>zaghawa = {</t>
  </si>
  <si>
    <t>color = { 0.9 0.35 0.85 }</t>
  </si>
  <si>
    <t>Abakar Abba Abbas Abdul Abdulraham Adam_Adam Ahmed Ali At-Tayeb Brahim_Abraham Daoud_David Deli Dolo Gilding Goukouni Hishi Ibrahim_Abraham Idris Ingir Issa Kasu Kosu Ku Kuti Mahmoud Minni Mohammed_Mohammed Musa Oki Okiramaj Omer Osman Shartay Siddick Sora Suleyman_Solomon Tijani Timan Toholjo Tor Torfu Tugule Udure Yahya_John Yaqub_Jacob Yusuf_Joseph</t>
  </si>
  <si>
    <t>Aisha Aliyah Bado Bakhita Bi Eya Fatima Gir Hadurah Halima Hinda Ija Kadiga Khalila Layla Makka Malika Mariam_Maria Mounah Ning Ogai Rashida Shadia Shakira Sumah Sumiah Tele Ter Wahida Yasmin</t>
  </si>
  <si>
    <t>manden = {</t>
  </si>
  <si>
    <t>color = { 0.45 0.45 0.2 }</t>
  </si>
  <si>
    <t>Abi-Bakr_Abu-Bakr Abubakari_Abu-Bakr Akoi Alayaman Ali_Ali Ali-Fay Ali-Kolon Ali-Zalil Badä Bakr Bakr-Kanbu Bamari Bankanu</t>
  </si>
  <si>
    <t>Bannu Bassarou Bassi Birama Bisi Biyu Bonga Cisse Dankaran Daoud_David Dawud_David Demba Diara Düru</t>
  </si>
  <si>
    <t>Faga-Laye Fatta Fodi Fuluku Fädazu Gane Gao Hargani Harun Igoumou Ishaq_Isaac Ismail_Ismail Kabayo Kalabi Kambine</t>
  </si>
  <si>
    <t>Kanafa Kassa Kasseï Kaya Kayna Kinkin Kisha Kodama Koïzé Kukuray Kusoy Lahiltoul M'Bali Maammarou Maghan</t>
  </si>
  <si>
    <t>Mahmud_Mahmud Majan Malla Mamadi Mamoudou Manding-Bory Mari-Djata Maÿroumfa Missi-Izé Morobani Musa_Moses</t>
  </si>
  <si>
    <t>Nintasanay Nuh Ouali Ouankoÿ Ouati Reidja Sakoura Salman_Solomon Samsou-Béri Samsou-Keïna Sandaki Soumaba</t>
  </si>
  <si>
    <t>Soumaoro Soundiata Sulayman_Solomon Takoi Tib Tomo_Thomas Tunka Umar_Umar Yama Yaqub_Jacob Yasiboy Zakoi Zenku</t>
  </si>
  <si>
    <t>Adja Aichata Aissata Alima Aminata Amita Aoua Barakissa Bintou Deye Djeneba Djenly Djire Fadima</t>
  </si>
  <si>
    <t>Fatim Fatoumata Halima Hawa Ina Kadi Kilia Kolonkan Lorane Mariam_Maria Nafissa Namandjé Namiss Nana</t>
  </si>
  <si>
    <t>Safiatou Salimata Sassouma Sidibé Siya Sogolon Tekhaye Youma Zeïnab</t>
  </si>
  <si>
    <t>soninke = {</t>
  </si>
  <si>
    <t>color = { 0.35 0.35 0.2 }</t>
  </si>
  <si>
    <t xml:space="preserve">Abubakar Akoi Alayaman </t>
  </si>
  <si>
    <t xml:space="preserve">Bérété Bathily Bomou Bilali Bunama Badä Bamari Bannu Birama Bisi Biyu </t>
  </si>
  <si>
    <t>Cissi Diobé Dabo Diakhaba Diawara Daffi Doucouri Dankaran Demba Daoud_David Diara</t>
  </si>
  <si>
    <t>Fissourou Fadiga Fädazu Fuluku Gane Gao Ishaq_Isaac</t>
  </si>
  <si>
    <t>Kaba Kabayo Kalabi Kanafa Kambine Kassa Kaya Kayna Kinkin Kukuray Kusoy</t>
  </si>
  <si>
    <t xml:space="preserve">Marega M'Bali Maghan Majan Mamadi Mamoudou Mari-Djata Musa_Moses </t>
  </si>
  <si>
    <t>Niakhaté Nintasanay</t>
  </si>
  <si>
    <t>Wague Wali Wati</t>
  </si>
  <si>
    <t xml:space="preserve">Reidja Sy Sylla Sakho Soukhouna Sima Soumaré Sakoura Salman Sandaki Soumaba Soumaoro Soundiata Sulayman </t>
  </si>
  <si>
    <t xml:space="preserve">Tandian Tunka Tunka-Menin Tabouri Tounkara Touri Tandi Takoi Tib  </t>
  </si>
  <si>
    <t>Yansané Yatabéri Yama Yasiboy</t>
  </si>
  <si>
    <t>Zakoi Zenku</t>
  </si>
  <si>
    <t>Adja Alima Amita Aoua Aminata Aichata Aissata</t>
  </si>
  <si>
    <t>Barakissa Bintou Deye Djeneba Djenly Djire</t>
  </si>
  <si>
    <t>Fadima Fatim Fatoumata Halima Hawa</t>
  </si>
  <si>
    <t xml:space="preserve">Ina Kondolon Kadi Kilia Kolonkan </t>
  </si>
  <si>
    <t xml:space="preserve">Lorane Mariam Namandjé </t>
  </si>
  <si>
    <t>Nafissa Namiss Nana</t>
  </si>
  <si>
    <t>Sané Sogolon Safiatou Salimata Sidibé Siya Tekhaye</t>
  </si>
  <si>
    <t>Youma Zeinab</t>
  </si>
  <si>
    <t>songhay = {</t>
  </si>
  <si>
    <t>color = { 0.5 0.35 0.10 }</t>
  </si>
  <si>
    <t>Abi Abu Adamu_Adam Ahmad Al-Hajj Alayaman Ali Alkamiisa Ammar Ankabi Ar Arabi Aranda</t>
  </si>
  <si>
    <t>Baba Babba Bada Baki Bakr Bani Bano Baru Bassarou Bay Ber Binta Birma Bisi Biya Biyay Biyo Bonkana Borgo Boumi Bukar Buyunbu</t>
  </si>
  <si>
    <t>Daara Dala Dankataya Dao Daouda_David Dari Dawud_David Dum Dunku Duru</t>
  </si>
  <si>
    <t>Fadazaw Falaku Far Fari-Mondzo Fay Fi Fodi</t>
  </si>
  <si>
    <t>Hanga Hargani Harun Hassan Hin Huseini</t>
  </si>
  <si>
    <t>Ibrahim_Abraham Igoumou Ikoi Ishaq_Isaac Is’mail Ize Jim</t>
  </si>
  <si>
    <t>Kaasei Kanafa Kanbu Karaway Karay Karbachi Kayna Keina Kibu’u Kima Kimi Kinba Kinkin Kiray Kisha Kodama Koi Koize Kolon Komi Koy Ku Kukiya Kukura Kuli Kulun Kumay Kun Kur Kusoy Kusur</t>
  </si>
  <si>
    <t>Laraba Maammarou Mahmud Malla Mar Mar-Chindin Mayroumfa Missi Morobani Moussa Muhammed Musa</t>
  </si>
  <si>
    <t>Nari Nuh Nunta Ouankoy</t>
  </si>
  <si>
    <t>Samsou Samsou-Beri Sanay Shams Shinyunbu Silman Sorko-ije Sulayman Sunni</t>
  </si>
  <si>
    <t>Takoi Tib Tomo Uthman Wunka Yama Yaqub_Jacob Yasiboy Yuma Zakoi Zalil Zunku</t>
  </si>
  <si>
    <t xml:space="preserve">Adama Aisha Alkamiisa Amina Aminah Azzah </t>
  </si>
  <si>
    <t>Bilqis Chindi Daara Dangey</t>
  </si>
  <si>
    <t>Fanta Fatima_Fatima Fatimah Fitila</t>
  </si>
  <si>
    <t>Gando Geyka Hassana Hawa Huseina Kouton</t>
  </si>
  <si>
    <t>Lambu Layla Mecca Medina Nuru Tarifa Teko Zaynab</t>
  </si>
  <si>
    <t>graphical_cultures = { mesoamericangfx muslimgfx }</t>
  </si>
  <si>
    <t>alternate_start = { has_alternate_start_parameter = { key = culture value = full_random } has_dlc = "Sunset Invasion" }</t>
  </si>
  <si>
    <t>nahuatl = {</t>
  </si>
  <si>
    <t>graphical_cultures = { mesoamericangfx }</t>
  </si>
  <si>
    <t>color = { 1.0 0.5 0.0 }</t>
  </si>
  <si>
    <t xml:space="preserve">Acalan Acacitli Acamapichtli Acolmiztli Aculnahuacatl Ahuiliztli Ahuitzotl Atl Axayacatl Cacamatzin Chimalli Chimalpilli Chimalpopoca Cipac Coanacoch Coatl Cozahtli Cuauhtemoc Cuauhtl Cuetlachtli Cuetzpalli Cuixtli Cuitlahuac </t>
  </si>
  <si>
    <t xml:space="preserve">Huitzilin Huitzilihuitl Huitzitl Huitztecol Iquehuacatzin Itzcoatl Itzli Itzcuintli Ixtlilxochitl Mahchimaleh Matlal Mazatl Matlalihuitl Matlatzincatzin Maxtla Miztli Moctezuma Moquihuix Necuametl Nezahualcoyotl Nezahualpilli Nochehuatl </t>
  </si>
  <si>
    <t xml:space="preserve">Ocuil Olli Opochtli Ozomatli Quauhtli Tapayaxi Tecocoltzin Tecolotl Tetlepanquetzaltzin Tezozomoc Tizoc Tizocic Tlacaelel Tlacaeleltzin Tlalli Tlaloc Tochtli Tototl Tzompantzin Tlilpotonqui Topiltzin Totoquihuaztli </t>
  </si>
  <si>
    <t>Ueman Yaotl Yayauhqui Yolotli Yolyamanitzin Xicohtencatl Xiuhpilli Xihuitl Xipil Xipilli Xochitl Xochipepe Xochipilli Zipactonal Zolin</t>
  </si>
  <si>
    <t xml:space="preserve">Achcauhtli Acxocueitl Ahuiliztli Amoxtli Atl Atotoztli Ayauhcihuatl Azcalxochitzin Centehua Cihuaton Chalchiuitl Chicahua Chichimecacihuatzin Chipahua Chicomecoatl Chimalma Citlali Citlalli Citlalmina Coaxoch Coszcatl </t>
  </si>
  <si>
    <t>Cozamalotl Cuicatl Eleuia Eloxochitl Etalpalli Eztli Huehue-Zaca Itotia Iuitl Ixcatzin Izel Malinalxochitl Manauia Matlalatzin Mecatl Meztli Miahuaxiuitl Miyaoaxochitl Mizquixahual Momoztli Nahuatl Necahual Nelli Ohtli Papa Patli</t>
  </si>
  <si>
    <t>Quiauhxochitl Sacnite Techichpotzin Tezozomoc Tziquetzalpoztectzin Teiuc Teicuih Teyacapan Tepin Tezcatlan Tlacotl Tlahco Tlahcoehua Toltecatl Tonalnan Tlazozomizqui</t>
  </si>
  <si>
    <t>Yoltzin Xilonen Xiloxoch Xiuhtomiyauhtzin Xochitl Xocoh Xocoyotl Yaretzi Zeltzin Zyanya</t>
  </si>
  <si>
    <t>#from_dynasty_prefix = "of "</t>
  </si>
  <si>
    <t>pat_grm_name_chance = 25</t>
  </si>
  <si>
    <t>ashkenazi = {</t>
  </si>
  <si>
    <t>color = { 0.6 0.3 0.6 }</t>
  </si>
  <si>
    <t>Abba Abbaye Acha Achai Achunai Aharon_Aaron Alechsandri_Alexander Ammi Amram Amunah Ashi Asher Avomai Avraham_Abraham Azariah Baboi Baruch</t>
  </si>
  <si>
    <t>Bibai Binyamin_Benjamin Boaz Bustenai Chanan Chananel Chaninai Chanoch Chaim Chayim Chelbo Chisdai Chiyya Chizkiyah Chofni Chushiel</t>
  </si>
  <si>
    <t xml:space="preserve">Daniel_Daniel David_David Dimi Dodai Dudai Efrayim Eina Elazar Elchanan Eldad Eliezer Elyakim Gedalyah Gershom Ghayyat Giat Giza Hillel </t>
  </si>
  <si>
    <t xml:space="preserve">Hila Isaac_Isaac Ivomai Kafnai Kahana Kalonymos Levi Kiyomi Machir Malcha Mar Mari Matiyahu_Matthew Meir Menechem Menashe Mesharsheya Meshulam </t>
  </si>
  <si>
    <t xml:space="preserve">Mevasser Mishael Mordechai Moshe_Moses Nachman Nachshon Nasan Natan Natroi Natronai Nechemiah Nehilai Nesanel Nissim Paltoi Pirkoi </t>
  </si>
  <si>
    <t xml:space="preserve">Peter_Peter Rava Ravai Ravi Ravya Reuven_Reuben Rivai Saadiah Sechok Shabsai Shalom Shanoi Shemaryah Sherira Sheshna Shila Shimon Shinoi </t>
  </si>
  <si>
    <t xml:space="preserve">Shlomo_Solomon Shmuel_Samuel Sorgo Sulam Tachlifa Tamar Tzadok Tzemach Uri Yaakov_Jacob Yachya Yechiel Yehudah_Judah Yehudai_Judah Yehoshua_Joshua Yeshayah_Isaiah </t>
  </si>
  <si>
    <t>Yisrael Yitzchak_Isaac Yoel Yosef_Joseph Yoshiah Yosi Yuda Zakkai Zelekman Zuiskind</t>
  </si>
  <si>
    <t>Beila Belet Chana Doltza Esther_Esther Guta Guthela Madrona Matrona Minna Pultzelina Rachel Rivkah Saris Scolaster</t>
  </si>
  <si>
    <t>Shluida Shoinlin Shonlin Tziporah Yehudis_Judith Yeintil</t>
  </si>
  <si>
    <t>sephardi = {</t>
  </si>
  <si>
    <t>color = { 0.7 0.2 0.7 }</t>
  </si>
  <si>
    <t>Shlomo_Solomon Shmuel_Samuel Sorgo Sulam Tachlifa Tamar Tzadok Tzemach Uri Yaakov_Jacob Yachya Yechiel Yehudah_Judah Yehudai_Judah Yehoshua_Joshua Yeshayah_Isaiah</t>
  </si>
  <si>
    <t>graphical_cultures = { indiangfx muslimgfx }</t>
  </si>
  <si>
    <t>bengali = { # Indo-Aryan</t>
  </si>
  <si>
    <t>color = { 0.45 0.0 0.0 }</t>
  </si>
  <si>
    <t xml:space="preserve">Amritnarayan Balabhata Balinarayan Ballalsen Basudevnayaran </t>
  </si>
  <si>
    <t xml:space="preserve">Bhagadatta Bhairabendranarayan Bhatta Bhavashankari Bhimsingha Birnayaran </t>
  </si>
  <si>
    <t xml:space="preserve">Chandrasen Chandranarayan Chaturanan Chilarai </t>
  </si>
  <si>
    <t xml:space="preserve">Danujmadhava Dasharathadeva Devakhadga Devapala Devendranarayan </t>
  </si>
  <si>
    <t xml:space="preserve">Dhairjendranayaran Dharendranarayan Dharmapala Dhirsingha </t>
  </si>
  <si>
    <t xml:space="preserve">Gajnarayan Gopala Govindachandra Govindapala </t>
  </si>
  <si>
    <t xml:space="preserve">Hajo Harendranarayan Haridevnarayan Hariyamandal Hemantasen Indranarayan </t>
  </si>
  <si>
    <t xml:space="preserve">Jadu Jagaddipendranarayan Jatakhadga Jayanarayan Jayapala Jitendranarayan </t>
  </si>
  <si>
    <t xml:space="preserve">Kalyanachandra Kamalnarayan Keshabsen Khadgodyama Krishanmishra Krishnaroy </t>
  </si>
  <si>
    <t xml:space="preserve">Kumarapala Kumudnarayan Ladahachandra Lakshmansen Lakshmichandra Lakshminarayan Lomapada </t>
  </si>
  <si>
    <t xml:space="preserve">Madanapala Mahendrapala Mahendrasingha Mahindranarayan Mahipala Manava Mukundanarayan </t>
  </si>
  <si>
    <t xml:space="preserve">Naranarayan Narasingha Narayanapala Narendranarayan Nayapala Nripendranarayan </t>
  </si>
  <si>
    <t xml:space="preserve">Parikshitnayaran Prananarayan Prannath Pratapnarayan Pratapnarayanroy Pushkaranadhipa </t>
  </si>
  <si>
    <t xml:space="preserve">Raghudev Rajabhata Rajadinaj Rajaganesha Rajendranarayan Rajrajendranarayan Rajyapala </t>
  </si>
  <si>
    <t xml:space="preserve">Ramapala Ramnath Ranasura Ranjitsingha Roopnarayan Rudranarayan </t>
  </si>
  <si>
    <t xml:space="preserve">Samudrasen Shanibhangar Shashanka Shivanarayan Shivendranarayan Shukladhwaj Shurapala </t>
  </si>
  <si>
    <t xml:space="preserve">Srichandra Srimanta Subarnachandra Sukhdev Suryanarayan Traillokyachandra </t>
  </si>
  <si>
    <t xml:space="preserve">Udirnakhadga Uditanarayan Upendranayaran Vakapala Vapyata Vigrahapala </t>
  </si>
  <si>
    <t>Vijaynarayan Vijaysen Vijaysingha Virajdendranarayan Vishwarupsen Vishwasingha</t>
  </si>
  <si>
    <t xml:space="preserve">Bhairav Singh "Bhavesh" "Bhogishwar" "Dev Singh" "Dhir Singh" Dhireshwar </t>
  </si>
  <si>
    <t xml:space="preserve">Ganeshwar Singh "Gang Dev" Harasimhadeva "Hari Singh" "Hemant Sen" </t>
  </si>
  <si>
    <t xml:space="preserve">Kameshwar "Kirti Singh" Jyotirishwar "Laxman Sen" "Laxminath Singh Dev" Madanpal </t>
  </si>
  <si>
    <t xml:space="preserve">Nanya Dev "Nar Singh" "Narsingh Dev" "Padma Singh" "Rambhadra Singh Dev" Rameshwar </t>
  </si>
  <si>
    <t>Samant Sen "Shakrasingh Dev" "Shiv Singh"  "Vallal Sen" "Vijay Sen"</t>
  </si>
  <si>
    <t xml:space="preserve">Agnimitra Andhraka Ayus Bhagabhadra Bhikhari Bhumimitra Devabhuti Ghosha Gopal Govindapal </t>
  </si>
  <si>
    <t xml:space="preserve">Khsetravridha Maharshi Mahendra Maurayadhwaj Narayana Pulindaka Pusyamitra </t>
  </si>
  <si>
    <t xml:space="preserve">Sahtiya Susarman Vajramitra Vasudeva Vasujyeshtha Vasumitra </t>
  </si>
  <si>
    <t>Amrapali Amritakala Asima Bhavashankari "Bishwas Devi" Bhogavati Bibibai Dattadevi Devavati "Devi Ahiylya" Gandharavati</t>
  </si>
  <si>
    <t>Gayatri Himadrija Hira Jira Kanchani Mahendrani Malavyadevi Nayanadevi Rani Ratnadevi Suvrata</t>
  </si>
  <si>
    <t>Syamadevi Vijnayavati Vina Yajnavati</t>
  </si>
  <si>
    <t>castes = yes</t>
  </si>
  <si>
    <t>oriya = { # Indo-Aryan</t>
  </si>
  <si>
    <t>color = { 0.8 0.4 0.0 }</t>
  </si>
  <si>
    <t xml:space="preserve">Anangabhima Anantasaktivarman Anantavarman Apsaradeva Arthapatiraja Ayasobhita Balabhadra Barjena </t>
  </si>
  <si>
    <t xml:space="preserve">Betta Bhanu Bhavadattavarman Bhimaratha Bhimasena Bhramarbara Bhupendra Bhupendravarman Chandravarman </t>
  </si>
  <si>
    <t xml:space="preserve">Charamparaja Damodara Danai Danarnava Dayita Dayitavarman Devananda Devendravarman Dharmaraja Dharmarstha </t>
  </si>
  <si>
    <t xml:space="preserve">Dhruvananda Dibyasingha Digbhanja Durgaraja Durjaya Durjayabhanja Gangadhara Gandhata Gangakavilasa Gayada </t>
  </si>
  <si>
    <t xml:space="preserve">Gopinatha Gunamaharnava Gunarnava Gundama Hamvira Harekrushna Hastivarman Hemantavarman Indranatha Indravarman </t>
  </si>
  <si>
    <t xml:space="preserve">Jahangir Janmejaya Jayananda Jayaraja Jayasimha Jayasthambha Jayavarma Jayavarmadeva Kakharua Kalaha Kalahastambha </t>
  </si>
  <si>
    <t xml:space="preserve">Kalasa Kalua Kalyankalasa Kamarnava Kanchana Kanchanastambha Kapilendra Kapilendradeva Karnadeva Khadaga Kotta </t>
  </si>
  <si>
    <t xml:space="preserve">Kottabhanja Ksemankaradeva Kulastambha Lakshmikaradeva Madhavaraja Madhavavarman Madhukamarnava Mahendraditya </t>
  </si>
  <si>
    <t xml:space="preserve">Mahendravarman Mahinda Manamatra Matradhyarya Mukunda Nahusa Nandaprabhanjana Nandaprabhanjanavarman Nandavarman </t>
  </si>
  <si>
    <t xml:space="preserve">Narasimha Narendra Netta Nettabhanja Padmanava Paramananda Prasannamatra Prataparudra Pravaraja Prithivarman </t>
  </si>
  <si>
    <t xml:space="preserve">Prithivimaharaja Prithvibhanja Prithvidena Pulindasena Puranjaya Purushottama Rajabhanja Rajaraja Ramachandra </t>
  </si>
  <si>
    <t xml:space="preserve">Ramachandradeva Ranabhanja Ranabhita Ranadurjaya Ranga Rangabhanja Sailobhava Sainyabita Saktivarman Samantavarman </t>
  </si>
  <si>
    <t xml:space="preserve">Sambhuyasa Sankaravarman Santikaradeva Sarabha Satru Satrubhanja Satyavarman Sila Silabhanja Sivakaradeva Sivananda </t>
  </si>
  <si>
    <t xml:space="preserve">Skandavarman Sobhanaraja Solyana Subhakaradeva Sudevaraja Suravala Teja Tejavarsha Tustikara Udaya Udayavarsha Udita </t>
  </si>
  <si>
    <t xml:space="preserve">Udyotakesari Umavarman Unmattasimha Utidavarsha Vaaraharaja Vajrahasta Vidhyadhara Vidhyadharabhanja Vijaya Vinayaditya </t>
  </si>
  <si>
    <t>Vinita Vishakavarman Vrishadhvaja Vyaghraraja Yayati</t>
  </si>
  <si>
    <t xml:space="preserve">Ahiavadevi Apsaradevi Bhogavati Dandi Dandimahadevi Dattadevi Devavati Dharma Dharmamahadevi Durlabha Gandharavati </t>
  </si>
  <si>
    <t xml:space="preserve">Gauri Gaurimahadevi Kalyanavati Karnadevi Kuladevi Lakshmi Lakshmikaradevi Lilavati Mahadevi Nayanadevi Rajasundari </t>
  </si>
  <si>
    <t>Ratnavati Suvrata Syamadevi Vakula Vakulamahadevi Vasumati Vijnanavati Vijnayavati Yajiyavati Yajnavati</t>
  </si>
  <si>
    <t>assamese = { # Indo-Aryan</t>
  </si>
  <si>
    <t>color = { 0.6 0.3 0.0 }</t>
  </si>
  <si>
    <t xml:space="preserve">Balavarman Bhaskarvarman Bhattamahabahu Bhutivarman Birapala Brahmapala Chandramukhavarman </t>
  </si>
  <si>
    <t xml:space="preserve">Dharmapala Ganapativarman Gopala Harjjaravarman Harshadeva Harshapala Harshavarman </t>
  </si>
  <si>
    <t xml:space="preserve">Indrapala Jayamala Jayapala Kalyanavarman Kumarapala Mahendravarman Narayanavarman </t>
  </si>
  <si>
    <t xml:space="preserve">Pralambha Purandelapala Pushyavarman Ratnadhwajpala Ratnapala </t>
  </si>
  <si>
    <t xml:space="preserve">Salasthamba Samudravarman Sthitavarman Supratisthitavarman Susthitavarman </t>
  </si>
  <si>
    <t>Timgyadeva Tyagasimha Ummoka Vanamalavarmadeva Vigrahastambha Vijaya Virabahu</t>
  </si>
  <si>
    <t>Ahiavadevi Bhogavati Dattadevi Devavati Durlabha Gandharavati Kuladevi Nayanadevi</t>
  </si>
  <si>
    <t>Ratnavati Suvrata Syamadevi Vasumati Vijnanavati Vijnayavati Yajiyavati Yajnavati</t>
  </si>
  <si>
    <t>hindustani = { # Indo-Aryan</t>
  </si>
  <si>
    <t>color = { 0.9 0.1 0.0 }</t>
  </si>
  <si>
    <t xml:space="preserve">Achalraj_Achalraja Achalraja_Achalraja Adhandev Adityadeva Ajmal Alsi Amir Anangpal_Anangpala Anangpala_Anangpala Anupapala_Anupapala </t>
  </si>
  <si>
    <t xml:space="preserve">Anuppal_Anupapala "Apara Gangeya" Arjunpal_Arjunpala Arjunpala_Arjunpala Arjunavarman Bacchdev Bachraj Baghpal_Baghpala Baghpala_Baghpala </t>
  </si>
  <si>
    <t xml:space="preserve">Bahadur-Singh Beejpal_Beejpala Beejpala_Beejpala Bhaadar Bhilpala Bhoj_Bhoja Bhoja_Bhoja Bhojavarman_Bhoja Bhopal Bhumpal_Bhumpala </t>
  </si>
  <si>
    <t xml:space="preserve">Bhumpala_Bhumpala Birpal_Birpala Birpala_Birpala Bisaldeva Brahmadeva Brahmapala Brahmdevpal Chand Devapala Devavarman Dhanga_Dhanga </t>
  </si>
  <si>
    <t xml:space="preserve">Dhangadeva_Dhanga Dharmapala Dhaulshaya Dilipapala_Dilipapala Dilippal_Dilipapala Doth Draupad_Draupada Draupada_Draupada Dugarendra </t>
  </si>
  <si>
    <t>Gambhir Ganapatideva Gandadeva Gangeya Ghatamdeva Gopal_Gopala Gopala_Gopala Govindachandra Govindapala Govindaraja_Govindaraja Govindraj_Govindaraja</t>
  </si>
  <si>
    <t xml:space="preserve">Hamir Hammiravarman Harpal Harsa_Harsa Harshapala_Harsa Hirapal_Hirapala Hirapala_Hirapala Indrapal_Indrapala Indrapala_Indrapala Ishtpala </t>
  </si>
  <si>
    <t xml:space="preserve">Jaganpal_Jaganpala Jaganpala_Jaganpala Jagatpal_Jagatpala Jagatpala_Jagatpala Jagdev_Jagdeva Jagdeva_Jagdeva Jaidas Jaipal Jaitugideva Jasapala_Jasapala </t>
  </si>
  <si>
    <t xml:space="preserve">Jaspal_Jasapala Jatanpal_Jatanpala Jatanpala_Jatanpala Jayapala Jayasakti Jayasimha Jayavarman Jhetpal_Jhetpala Jhetpala_Jhetpala Junpala </t>
  </si>
  <si>
    <t xml:space="preserve">Kailaspal_Kailaspala Kailaspala_Kailaspala Kalkurna Kalyanachandra Kakhopal_Kakhopala Kakhopala_Kakhopala Kamal Kanhad Kanvarpal_Kanvarpala </t>
  </si>
  <si>
    <t xml:space="preserve">Kanvarpala_Kanvarpala Karnpal Keeratdeva Khadag Khetrapal_Khetrapala Khetrapala_Khetrapala Kiratpal_Kiratpala Kiratpala_Kiratpala Krishnray </t>
  </si>
  <si>
    <t xml:space="preserve">Krsnapa Kumarapala Kunwar_Kunwar Kunwarpal_Kunwar Ladahachandra Lakshmandeva Lokpala Madanapala Madanavarman Maharana Mahendrapal_Mahendrapala </t>
  </si>
  <si>
    <t xml:space="preserve">Mahendrapala_Mahendrapala Mahipal_Mahipala Mahipala_Mahipala Mahipata Mahlakadeva Mandandeva Mangaldeva Margdeva Mihira Nagapala Nagdeo Nannuka </t>
  </si>
  <si>
    <t xml:space="preserve">Naravarman Narayanapala Narpal Nayapala Nihaal Nihalray Paramardideva Pavak Peepalraj Popatraj Pritampal_Pritampala Pritampala_Pritampala Prithipala </t>
  </si>
  <si>
    <t xml:space="preserve">Prithvi_Prithvi Prithvipal_Prithvi Prithviraj_Prithviraja Prithviraja_Prithviraja Prithvivarman Rahila Rajapala Rajyapala Ramabhadra Ramachandra </t>
  </si>
  <si>
    <t xml:space="preserve">Rampal_Rampala Rampala_Rampala Rana Rangraj_Rangraja Rangraja_Rangraja Ratnapala Rijhpala Roshandeva Salivaahan Sallaksanavarman Saugandeva Shurapala </t>
  </si>
  <si>
    <t xml:space="preserve">Sisupal_Sisupala Sisupala_Sisupala Sohanpal Somasi Someshvara Sonpal_Sonpala Sonpala_Sonpala Srichandra Subhatavarman Sukhinpal_Sukhinpala </t>
  </si>
  <si>
    <t xml:space="preserve">Sukhinpala_Sukhinpala Sulakshanpal Sultanpal_Sultanpala Sultanpala_Sultanpala Surajpal_Surajpala Surajpala_Surajpala Traillokyachandra Tejapala_Tejpal </t>
  </si>
  <si>
    <t xml:space="preserve">Tejpal_Tejpal Tolpal Trailokyavarman Trilochanpala Udayaditya Udaysangh Uddharandeva Vachhal Vakpati Vapyata Varshapala_Varshapala Varshpal_Varshapala </t>
  </si>
  <si>
    <t xml:space="preserve">Vasudev Vidurathpal_Vidurathpala Vidurathpala_Vidurathpala Vidyadhara Vigrahapala Vigraharaja Vihangpal Vijayapala Vijayasakti Vinayakapala Vindhyavarman </t>
  </si>
  <si>
    <t>Viramdeva Viravarman Virsinghadeva Yasovarman</t>
  </si>
  <si>
    <t xml:space="preserve">Akal Anantadevi Damayanti Dattadevi Dehanagadevi Dhruvadevi Dhruvasvamini Hemavati </t>
  </si>
  <si>
    <t>Kakanvati Kalayandevi Kanchuka Kanwar Karmavati Kumaradevi Lakshman Maharani Mahidevi Nattadevi</t>
  </si>
  <si>
    <t xml:space="preserve">Prabhavati Prabhavatigupta Prasadhanadevi Puppadevi Rajamati Sanyukta Shrimitradevi </t>
  </si>
  <si>
    <t>mat_grf_name_chance = 25</t>
  </si>
  <si>
    <t>gujurati = { # Indo-Aryan</t>
  </si>
  <si>
    <t xml:space="preserve">Abhayapala Acharya Ahila Ajairaja_Jayaraja Ajayapala Ajay-Singh Alhana Allat Amarangeya Ambra-Prasad Amritapala Anahilla </t>
  </si>
  <si>
    <t xml:space="preserve">Ari-Singh Arjunavarman Arnoraja Asaraja Asvapala Balaprasada Baliraja Bhatarka Bhert-Patt Bhima_Bhima Bhimadeva_Bhima </t>
  </si>
  <si>
    <t xml:space="preserve">Bhim-Singh Bhuvan-Singh Bhoja Bhoo-Chand Chachiga Chamundaraja Chandanaraja Chandraraja Chaud-Singh Dadda Dambarisimha </t>
  </si>
  <si>
    <t xml:space="preserve">Deopali-Deo Devapala Dharapatta Dharasena Dharmapala Dhruvasena Dinakarn Dronasinha Dungar-Singh Durlabharaja Gajasimha </t>
  </si>
  <si>
    <t xml:space="preserve">Gopala Gopendraka_Gopendraraja Gopendraraja_Gopendraraja Govinda_Govindaraja Govindapala_Govindaraja Govindaraja_Govindaraja </t>
  </si>
  <si>
    <t xml:space="preserve">Guhasena Guvaka_Govindaraja Hammira Hammir-Singh Hanspal Hariraja Harischandra Hemachandra Jagadeva Jaitrasimha_Jaitrasimha </t>
  </si>
  <si>
    <t xml:space="preserve">Jaitra-Singh_Jaitrasimha Jaitugideva Jasapala Jaskarn Jayapala Jayaraja_Jayaraja Jayasimha_Jayasimha Jay-Singh_Jayasimha </t>
  </si>
  <si>
    <t xml:space="preserve">Jay-Singh-Deo Jayat-Singh_Jayasimha Jayavarman Jayshikari Jendraraja Jojalla Kalbhoj Kanhadadeva Karandeva_Karnadeva Karan-Singh </t>
  </si>
  <si>
    <t xml:space="preserve">Karnadeva_Karnadeva Katudeva Katukaraja Keerti-Verma_Kirtivarman Kelhana Kharagraha Khuman Kirtipala Kirtivarman_Kirtivarman </t>
  </si>
  <si>
    <t xml:space="preserve">Kumarapala Kshemraja_Xemraja Kshem-Singh Kshetra-Singh Kumar-Singh Lakhanapala Lakhshaman-Singh Lakshmana_Lakshmanadeva </t>
  </si>
  <si>
    <t xml:space="preserve">Lakshmanadeva_Lakshmanadeva Lakshmivarman Lavanyakarna Lunavarman Luntiga Madanapala Mahap Mahayak Mahendra_Mahendrapala </t>
  </si>
  <si>
    <t xml:space="preserve">Mahendrapala_Mahendra Mahipala Mahlakadeva Maladeva Manavasimha Mathan-Singh Mattat Mihira Mulraja Nagabhata Nagarjuna Nagraja </t>
  </si>
  <si>
    <t xml:space="preserve">Naradeva Narapati Naravarman_Naravarman Naravarmandeva_Naravarman Narayanapala Nar-Verma_Naravarman Narwahan Nayapala Padam-Singh </t>
  </si>
  <si>
    <t xml:space="preserve">Prahladana Pratapa Prithvipal_Prithviraja Prithivipala_Prithviraja Prithviraja_Prithviraja Purnpala Rahap Rajapala Rajyapala </t>
  </si>
  <si>
    <t xml:space="preserve">Ramabhadra Ramapala Ratan-Singh Ratnapala Rayapala Rudrapala Sahajapala Sahanapala Samanta_Samanta Samant-Singh_Samanta </t>
  </si>
  <si>
    <t xml:space="preserve">Samantasimha_Samanta Samarasimha_Samarasimha Samar-Singh_Samarasimha Shakti-Kumar Shaliwahan Shuchi-Verma Shurapala Siladitya </t>
  </si>
  <si>
    <t xml:space="preserve">Sindhuraja Singhraja Sinha Sinhad-Deo Siyaka Sohiya Someshwara Subhatavarman Suratrana Tejasimha_Tejasimha Tej-Singh_Tejasimha </t>
  </si>
  <si>
    <t xml:space="preserve">Trailokyavarman Tribhuvanapala Trilochanpala Udayaditya Udayasimha Udayavarman Upendra Vagbhata Vahadiasimha Vairisimha_Vairisimha </t>
  </si>
  <si>
    <t xml:space="preserve">Vairsingh_Vairisimha Vajradeva Vakapati_Vakpati Vakpati_Vakpati Vakpatiraja_Vakpati Valhana_Valhanadeva Valhanadeva_Valhanadeva </t>
  </si>
  <si>
    <t xml:space="preserve">Vallabharaja Vanraja Vapyata Vasudeva Vatsaraja Vigrahapala Vigraharaja_Vigraharaja Vigrharaja_Vigraharaja Vijada-Dasasyandana </t>
  </si>
  <si>
    <t xml:space="preserve">Vijai-Singh Vikramaditya Vinaykpala Vindhyavarman Virama Viradeva Viranarayana Virsinh-Deo Viryarama Xemraja_Xemraja Yasovarman </t>
  </si>
  <si>
    <t>Yograj</t>
  </si>
  <si>
    <t xml:space="preserve">Annaladevi Bauladevi Bhuyikadevi Candrabhattarikadevi Chachinidevi Dehanagadevi Delhanadevi Desaladevi Hariyadevi Laxmidevi </t>
  </si>
  <si>
    <t xml:space="preserve">Madhavi Mahalakshmi Mahidevi Manaladevi Mayanalladevi Namalladevi Padmaladevi Padmini Prasadhanadevi Pratha Rasaladevi </t>
  </si>
  <si>
    <t>Rudaladevi Rudrani Rupadevi Samyukta Sidhawa Somalladevi Suhava Sundaridevi Tihunaka Udayamati</t>
  </si>
  <si>
    <t>panjabi = { # Indo-Aryan</t>
  </si>
  <si>
    <t>color = { 0.8 0.3 0.2 }</t>
  </si>
  <si>
    <t xml:space="preserve">Ajit Amar "Amar Dasi" Amir Angad Arjun Atar Basawa Bhagwant Bhaimani Budh Chand Charat </t>
  </si>
  <si>
    <t xml:space="preserve">Damodar Dasu Datu Dayaram Didar Farid Fateh Gobind Gurdita </t>
  </si>
  <si>
    <t xml:space="preserve">Hargobind Hari "Har Krishan" "Har Rai" "Jai Ram" Jetha Jujhar </t>
  </si>
  <si>
    <t xml:space="preserve">Kalyan Kapur Kehar Kharak Khushal Lahna Lakhmichand Laxman </t>
  </si>
  <si>
    <t xml:space="preserve">Mahadev Mohan Mohri Nanak Narayan Nodha Partap Pheru Prithichand Prithvi "Ram Rai" Ranjit Ranjor </t>
  </si>
  <si>
    <t>Sahdev Shamsher Sher Srichand "Tegh Bahadur" "Tej Bhan" Thakur Zorawar</t>
  </si>
  <si>
    <t xml:space="preserve">Amro Anokhi Anup Begum Bhani Dani Gujri Jodhabai Khivi Kishan </t>
  </si>
  <si>
    <t xml:space="preserve">Lachmi Nanaki Nihal Ramo Sabhirai Sahib Sulakhni Sundari Tripta </t>
  </si>
  <si>
    <t>rajput = { # Indo-Aryan</t>
  </si>
  <si>
    <t>color = { 0.6 0.0 0.0 }</t>
  </si>
  <si>
    <t xml:space="preserve">Anuppal_Anupapala "Apara Gangeya" Arjunpal_Arjunpala Arjunpala_Arjunpala Arjunavarman Bacchdev Bachraj Baghpal_Baghpala </t>
  </si>
  <si>
    <t xml:space="preserve">Baghpala_Baghpala Bahadur-Singh Beejpal_Beejpala Beejpala_Beejpala Bhaadar Bhilpala Bhoj_Bhoja Bhoja_Bhoja Bhojavarman_Bhoja </t>
  </si>
  <si>
    <t xml:space="preserve">Bhopal Bhumpal_Bhumpala Bhumpala_Bhumpala Birpal_Birpala Birpala_Birpala Bisaldeva Brahmadeva Brahmapala Brahmdevpal Chand Devapala </t>
  </si>
  <si>
    <t xml:space="preserve">Devavarman Dhanga_Dhanga Dhangadeva_Dhanga Dharmapala Dhaulshaya Dilipapala_Dilipapala Dilippal_Dilipapala Doth Draupad_Draupada </t>
  </si>
  <si>
    <t xml:space="preserve">Draupada_Draupada Dugarendra Gambhir Ganapatideva Gandadeva Gangeya Ghatamdeva Gopal_Gopala Gopala_Gopala Govindachandra Govindapala </t>
  </si>
  <si>
    <t xml:space="preserve">Govindaraja_Govindaraja Govindraj_Govindaraja Hamir Hammiravarman Harpal Harsa_Harsa Harshapala_Harsa Hirapal_Hirapala </t>
  </si>
  <si>
    <t xml:space="preserve">Hirapala_Hirapala Indrapal_Indrapala Indrapala_Indrapala Ishtpala Jaganpal_Jaganpala Jaganpala_Jaganpala Jagatpal_Jagatpala </t>
  </si>
  <si>
    <t xml:space="preserve">Jagatpala_Jagatpala Jagdev_Jagdeva Jagdeva_Jagdeva Jaidas Jaipal Jaitugideva Jasapala_Jasapala Jaspal_Jasapala Jatanpal_Jatanpala </t>
  </si>
  <si>
    <t xml:space="preserve">Jatanpala_Jatanpala Jayapala Jayasakti Jayasimha Jhetpal_Jhetpala Jhetpala_Jhetpala Junpala Kailaspal_Kailaspala Kailaspala_Kailaspala </t>
  </si>
  <si>
    <t xml:space="preserve">Kalkurna Kalyanachandra Kakhopal_Kakhopala Kakhopala_Kakhopala Kamal Kanhad Kanvarpal_Kanvarpala Kanvarpala_Kanvarpala Karnpal Keeratdeva </t>
  </si>
  <si>
    <t xml:space="preserve">Khadag Khetrapal_Khetrapala Khetrapala_Khetrapala Kiratpal_Kiratpala Kiratpala_Kiratpala Krishnray Krsnapa Kumarapala Kunwar_Kunwar </t>
  </si>
  <si>
    <t xml:space="preserve">Kunwarpal_Kunwar Ladahachandra Lakshmandeva Lokpala Madanapala Madanavarman Maharana Mahendrapal_Mahendrapala Mahendrapala_Mahendrapala </t>
  </si>
  <si>
    <t xml:space="preserve">Mahipal_Mahipala Mahipala_Mahipala Mahipata Mahlakadeva Mandandeva Mangaldeva Margdeva Mihira Nagapala Nagdeo Nannuka Naravarman </t>
  </si>
  <si>
    <t xml:space="preserve">Narayanapala Narpal Nayapala Nihaal Nihalray Paramardideva Pavak Peepalraj Popatraj Pritampal_Pritampala Pritampala_Pritampala Prithipala </t>
  </si>
  <si>
    <t xml:space="preserve">Prithvi_Prithvi Prithvipal_Prithvi Prithviraj_Prithviraja Prithviraja_Prithviraja Prithvivarman Rahila Rajapala Rajyapala Ramabhadra </t>
  </si>
  <si>
    <t xml:space="preserve">Ramachandra Rampal_Rampala Rampala_Rampala Rana Rangraj_Rangraja Rangraja_Rangraja Ratnapala Rijhpala Roshandeva Salivaahan </t>
  </si>
  <si>
    <t xml:space="preserve">Sallaksanavarman Saugandeva Shurapala Sisupal_Sisupala Sisupala_Sisupala Sohanpal Somasi Someshvara Sonpal_Sonpala Sonpala_Sonpala </t>
  </si>
  <si>
    <t xml:space="preserve">Srichandra Subhatavarman Sukhinpal_Sukhinpala Sukhinpala_Sukhinpala Sulakshanpal Sultanpal_Sultanpala Sultanpala_Sultanpala Surajpal_Surajpala </t>
  </si>
  <si>
    <t xml:space="preserve">Surajpala_Surajpala Traillokyachandra Tejapala_Tejpal Tejpal_Tejpal Tolpal Trailokyavarman Trilochanpala Udayaditya Udaysangh Uddharandeva </t>
  </si>
  <si>
    <t xml:space="preserve">Vachhal Vakpati Vapyata Varshapala_Varshapala Varshpal_Varshapala Vasudev Vidurathpal_Vidurathpala Vidurathpala_Vidurathpala Vidyadhara </t>
  </si>
  <si>
    <t xml:space="preserve">Vigrahapala Vigraharaja Vihangpal Vijayapala Vijayasakti Vinayakapala Vindhyavarman Viramdeva Viravarman Virsinghadeva Yasovarman Abhayapala </t>
  </si>
  <si>
    <t xml:space="preserve">Acharya Ahila Ajairaja_Jayaraja Ajayapala Ajay-Singh Alhana Allat Amarangeya Ambra-Prasad Amritapala Anahilla Ari-Singh Arnoraja Asaraja </t>
  </si>
  <si>
    <t>Asvapala Balaprasada Baliraja Bhatarka Bhert-Patt Bhima_Bhima Bhimadeva_Bhima Bhim-Singh Bhuvan-Singh Bhoja Bhoo-Chand Chachiga Chamundaraja</t>
  </si>
  <si>
    <t xml:space="preserve">Chandanaraja Chandraraja Chaud-Singh Dadda Dambarisimha Deopali-Deo Dharapatta Dharasena Dhruvasena Dinakarn Dronasinha Dungar-Singh </t>
  </si>
  <si>
    <t xml:space="preserve">Durlabharaja Gajasimha Gopala Gopendraka_Gopendraraja Gopendraraja_Gopendraraja Govinda_Govindaraja Govindapala_Govindaraja Guhasena </t>
  </si>
  <si>
    <t xml:space="preserve">Guvaka_Govindaraja Hammira Hammir-Singh Hanspal Hariraja Harischandra Hemachandra Jagadeva Jaitrasimha_Jaitrasimha Jaitra-Singh_Jaitrasimha </t>
  </si>
  <si>
    <t xml:space="preserve">Jasapala Jaskarn Jayaraja_Jayaraja Jayasimha_Jayasimha Jay-Singh_Jayasimha Jay-Singh-Deo Jayat-Singh_Jayasimha Jayshikari Jendraraja </t>
  </si>
  <si>
    <t xml:space="preserve">Jojalla Kalbhoj Kanhadadeva Karandeva_Karnadeva Karan-Singh Karnadeva_Karnadeva Katudeva Katukaraja Keerti-Verma_Kirtivarman Kelhana Kharagraha </t>
  </si>
  <si>
    <t xml:space="preserve">Khuman Kirtipala Kirtivarman_Kirtivarman Kshemraja_Xemraja Kshem-Singh Kshetra-Singh Lakhanapala Lakhshaman-Singh Lakshmana_Lakshmanadeva </t>
  </si>
  <si>
    <t>Lakshmanadeva_Lakshmanadeva Lakshmivarman Lavanyakarna Lunavarman Luntiga Mahap Mahayak Mahendra_Mahendrapala Mahendrapala_Mahendra Mahipala Maladeva</t>
  </si>
  <si>
    <t xml:space="preserve">Manavasimha Mathan-Singh Mattat Mulraja Nagabhata Nagarjuna Nagraja Naradeva Narapati Naravarman_Naravarman Naravarmandeva_Naravarman Nar-Verma_Naravarman </t>
  </si>
  <si>
    <t>Narwahan Padam-Singh Prahladana Pratapa Prithvipal_Prithviraja Prithivipala_Prithviraja Purnpala Rahap Ramapala Ratan-Singh Rayapala Rudrapala</t>
  </si>
  <si>
    <t xml:space="preserve">Sahajapala Sahanapala Samanta_Samanta Samant-Singh_Samanta Samantasimha_Samanta Samarasimha_Samarasimha Samar-Singh_Samarasimha Shaliwahan Shuchi-Verma </t>
  </si>
  <si>
    <t xml:space="preserve">Siladitya Sindhuraja Singhraja Sinha Sinhad-Deo Siyaka Sohiya Someshwara Suratrana Tejasimha_Tejasimha Tej-Singh_Tejasimha Tribhuvanapala Udayasimha </t>
  </si>
  <si>
    <t>Udayavarman Upendra Vagbhata Vahadiasimha Vairisimha_Vairisimha Vairsingh_Vairisimha Vajradeva Vakapati_Vakpati Vakpati_Vakpati Vakpatiraja_Vakpati</t>
  </si>
  <si>
    <t xml:space="preserve">Valhana_Valhanadeva Valhanadeva_Valhanadeva Vallabharaja Vanraja Vasudeva Vatsaraja Vigraharaja_Vigraharaja Vigrharaja_Vigraharaja Vijada-Dasasyandana </t>
  </si>
  <si>
    <t>Vijai-Singh Vikramaditya Vinaykpala Virama Viradeva Viranarayana Virsinh-Deo Viryarama Xemraja_Xemraja Yograj</t>
  </si>
  <si>
    <t>Annaladevi Bauladevi Bhuyikadevi Candrabhattarikadevi Chachinidevi Delhanadevi Desaladevi</t>
  </si>
  <si>
    <t>Hariyadevi Laxmidevi Madhavi Mahalakshmi Manaladevi Mayanalladevi Namalladevi Padmaladevi Padmini</t>
  </si>
  <si>
    <t>Pratha Rasaladevi Rudaladevi Rudrani Rupadevi Samyukta Sidhawa Somalladevi Suhava Sundaridevi Tihunaka Udayamati</t>
  </si>
  <si>
    <t>sindhi = { # Indo-Aryan</t>
  </si>
  <si>
    <t>color = { 1.0 0.2 0.0 }</t>
  </si>
  <si>
    <t xml:space="preserve">Abdullah Abdurrashid Abdurrahman Alauddin "Ali Sher" Amar Arnel Asamuddin Aziz </t>
  </si>
  <si>
    <t xml:space="preserve">Banhbina Bhungar "Bhungar Rao" Chanesar Doda "Dadu Phattu" "Dalu Rai" "Deva Rai" </t>
  </si>
  <si>
    <t xml:space="preserve">Fateh Khan Feruzuddin Genhra Hafif_Khafif Hamir Ismail_Ismail Junah Kahah Karan Khafif_Khafif Khaira Khinrah </t>
  </si>
  <si>
    <t xml:space="preserve">Mahmud_Mahmud Mubarak_Barak Muhammad_Muhammad Muhammed-Tur Munzir Nangar Nizamuddin Pahtu Punhun Raidhan </t>
  </si>
  <si>
    <t>Sabar Salahuddin Sanghar Sanjar Shahabuddin Sikandar Sumrah Syed Tai Tamachi Taghlak Umar Unar</t>
  </si>
  <si>
    <t>Bhagi Hamide Himu Sad Tari "Zainab Tari"</t>
  </si>
  <si>
    <t>Shakuntala Seetha Radha Marui Mumal Sorath Sohni</t>
  </si>
  <si>
    <t>Sassui Lilan Mokhi Natar Heer</t>
  </si>
  <si>
    <t>Dahar Premala Suhanadi</t>
  </si>
  <si>
    <t>marathi = { # Indo-Aryan</t>
  </si>
  <si>
    <t>color = { 0.8 0.2 0.0 }</t>
  </si>
  <si>
    <t xml:space="preserve">Abaji Amutrao Bahadur Bahiroji Balaji Bajirao Chimnaji Dattaji Daulatrao Dhanaji Dhondu </t>
  </si>
  <si>
    <t xml:space="preserve">Ekoji Fatehsinh Gopalrao Hambirao Harirao Jayajirao Jayappa Janakappa Jivajirao </t>
  </si>
  <si>
    <t xml:space="preserve">Khanderao Krishnarao Madhavrao Mahadji Malerao Malharrao Mankoji Martandrao </t>
  </si>
  <si>
    <t xml:space="preserve">Moropant Murarirao Nanasaheb Narayanrao Pandurangrao Pratapsinh </t>
  </si>
  <si>
    <t xml:space="preserve">Raghunathrao Rajaram Ramaswami Ramchandrapant Ramshastri Ranojirao </t>
  </si>
  <si>
    <t xml:space="preserve">Sadashivrao Sambhaji Sayajirao Serfoji Shahuji Shivaji Shivajirao </t>
  </si>
  <si>
    <t>Tryambakrao Tukkoji Tukojirao Tulojirao Venkatrao Vishwanathpant Yashwantrao</t>
  </si>
  <si>
    <t xml:space="preserve">Adityavarman Aiyaparaja Anantadeva Aparaditya Aparajita Arikesarin Arthapathi Avasara </t>
  </si>
  <si>
    <t xml:space="preserve">Bhavadatta Bhima Bhoja Bijjala Chandra Chandraditya Chhadvaideva Chhittaraja </t>
  </si>
  <si>
    <t xml:space="preserve">Daharasena Dhammayira Gandaraditya Goggiraja Gonka Guhala Guhalladeva Haripaladeva </t>
  </si>
  <si>
    <t xml:space="preserve">Indradatta Indraraja Jatiga Jayakeshi Jhanjha Kamadeva Kapardin Keshideva Kirtiraja </t>
  </si>
  <si>
    <t xml:space="preserve">Mallikarjuna Marsimha Mummuniraja Nagarjuna Nagavarma Naivarman Pullashakti Rattaraja </t>
  </si>
  <si>
    <t xml:space="preserve">Sanaphulla Shashthadeva Shivachitta Skandavarman Soddhala Someshvara Sovideva Suketuvarman </t>
  </si>
  <si>
    <t xml:space="preserve">Taila Tejahkantha Vappuvanna Vijayaditya Viravarmadeva Vishnuchitta Vyaghrasena </t>
  </si>
  <si>
    <t xml:space="preserve">Ahilyabai Ambikabai Anandibai Anubai Bhiubai Deepabai Durgabai Gangabai Gunvantibai </t>
  </si>
  <si>
    <t xml:space="preserve">Jankibai Jijibai Kamlabai Kashibai Laxmibai Mahadik Mastani Putalabai </t>
  </si>
  <si>
    <t>Rajasbai Rajkunvarbai Ramabai Ranubai Saibai Sagunabai Sakavaarbai Sayeebai Soyarabai Sujanbai Tarabai Yesubai</t>
  </si>
  <si>
    <t xml:space="preserve">Anjanibai Anuradha Durga Kamadevi Kamaladevi Kesarbai Kishori Kundaladevi Lasthiyavva </t>
  </si>
  <si>
    <t xml:space="preserve">Maya Mogubai Radhabai Radhika Shevanti Shudhamati Sovidevi Sudha Sumati Sunita </t>
  </si>
  <si>
    <t>sinhala = { # Indo-Aryans who arrived in Sri Lanka ca 600BC</t>
  </si>
  <si>
    <t>color = { 1.0 0.3 0.3 }</t>
  </si>
  <si>
    <t xml:space="preserve">Agabala Aggabodhi Agibuti Ananda Anikanga Apaya Arittha Avirada Ayasmantha Bhuvanekabahu Butisamana Chodaganga Dahamsena </t>
  </si>
  <si>
    <t xml:space="preserve">Danamitta Dappula Dathappabhuti Dathopatissa Dharmapala Dharmasena Dharmasoka Dhatusena Digakassapa Diganaguli </t>
  </si>
  <si>
    <t xml:space="preserve">Digasumana Gajabahu Hadaka Hadana Hujata Jayabahu Jetthatissa Jhotisena Kashyapa Kassapa Kitti Kittisena Kittivarma </t>
  </si>
  <si>
    <t xml:space="preserve">Magamitta Mahadeva Mahanaga Mahasattha Mahasena Mahasiva Mahinda Manavanna Mihidala Mihindala Mitta Moggallana </t>
  </si>
  <si>
    <t xml:space="preserve">Nandamitta Narendra Narendrasinha Nirmala Padita Parakkamabahu Parakramabahu Rajasinha Rakasala Ratana Rohaka </t>
  </si>
  <si>
    <t xml:space="preserve">Sadhatissa Sagala Saliya Sanghamitta Sanghatissa Sankha Sena Senarat Sidata Sigaratissa Silameghavanna Sinhabahu </t>
  </si>
  <si>
    <t xml:space="preserve">Siva Sobana Sobika Sudata Sumana Surakita Suratissa Tissa Udaya Upatissa Vassaba Vebeliya Vepali Vijayabahu </t>
  </si>
  <si>
    <t>Vikrama_Vikrama Vikramabahu Vimaladharma Vimaladharmasuriya Virabahu Viranarendra</t>
  </si>
  <si>
    <t xml:space="preserve">Abijliguta Ahali Anula Anurada Anuradi Anuridi Asadaguta Asali Aselaya Ata Barani Bodhideva Bohodevi Butadata </t>
  </si>
  <si>
    <t xml:space="preserve">Cadana Citadevi Citaguta Damadina Damaguta Damarajha Damarakita Damaruci Damasena Damati Damika Damutara </t>
  </si>
  <si>
    <t xml:space="preserve">Devanakata Devanapiya Devarakita Dhamarajha Dhamika Jhita Jhotisena Jhotiya Kalyanavati Kanadasika Kanaguta </t>
  </si>
  <si>
    <t xml:space="preserve">Kanatissa Kitaka Kituka Kubira Kumara Kumaradata Kumaratiha Lasani Lilavati Maga Magha Maka Maki Mita Nagadina </t>
  </si>
  <si>
    <t xml:space="preserve">Narayaguta Nuga Nugaya Paduma Palikada Pamatissa Purushadata Pusamitta Rajhita Ramadata Ramajhata Ramani </t>
  </si>
  <si>
    <t xml:space="preserve">Rasumiliya Reva Sagara Samidata Samudaguta Savera Seneya Silmini Siriguta Siripali Sivala Sivanabuti Somali Sugula </t>
  </si>
  <si>
    <t>Sujhata Sumanadevi Suri Suriguta Tisi Tissabuti Tissadata Tissadevi Tissamita Tissaraka Tissarakita Yahasaya Yahasini</t>
  </si>
  <si>
    <t>pat_grf_name_chance = 35</t>
  </si>
  <si>
    <t>nepali = {</t>
  </si>
  <si>
    <t>graphical_cultures = { bodpagfx indiangfx southindiangfx muslimgfx }</t>
  </si>
  <si>
    <t>color = { 0.65 0.25 0.1  }</t>
  </si>
  <si>
    <t>Aashish Ananta Ankit Akash Aramudi Babu Bhairaja Bibhas Bibek Bikash Bishal Chandra Finjo Gagan Hem Kamal Kiran Kush Malkit Manish Manu Milan Nabin Ngodup Nikkon Prajun Raju Ram Ranjan Sabin Sahil Sajit Sanjay Shanta Sudi Sumit Sunil Suraj Tenzin Tiray Udgam Vishal Yash</t>
  </si>
  <si>
    <t>Amita Asmita Aspru Birsha Bishnu Eyrum Heena Jass Karuna Khusbu Kukee Kusum Manna Maya Menkhu Palisha Reshma Sainyukta Sajita Samita Samixya Samyukta Sang Sarita Shirisha Shristi Sunita Swornima Tsamchoe</t>
  </si>
  <si>
    <t>graphical_cultures = { southindiangfx indiangfx muslimgfx }</t>
  </si>
  <si>
    <t>tamil = { # Dravidian - Southern India except Sri Lanka</t>
  </si>
  <si>
    <t>secondary_event_pictures = bengali</t>
  </si>
  <si>
    <t>color = { 1.0 0.7 0.2 }</t>
  </si>
  <si>
    <t xml:space="preserve">Amarapuyankan_Amarabhujanga Aparâcita_Aparajita Aparâcitavarman_Aparajitavarman Appûtaiyân Arikêcari_Arikesari Ariñcaya_Arinjaya Arulmolitêvar </t>
  </si>
  <si>
    <t>Arulmolivarman Atirâcêntira_Athirajendra Atitta_Aditya Avaniyâlappirantâr Avraaham_Abraham Brahmamârâyar Cadayan Cankili Cataiyavarman_Sadayavarman Catturukâlamakalâtittan Cayantavarman_Jayantavarman</t>
  </si>
  <si>
    <t xml:space="preserve">Celiyancentan Cekarâcacêkaran_Segarajasekaran Cevakattevan Ceyavîra Chaacko_Jacob Chaandy_Alexander Cimmavisnu_Simhavishnu Cinkapâku_Singhabahu Civakkoluntân Cuntara_Sundara Câramutaiyân Câttanân </t>
  </si>
  <si>
    <t xml:space="preserve">Cîvallapa_Seervallabha Cîvallapan_Seervallabhan Daniyel_Daniel Eappen_Stephen Eccavarâkan Eisow_Jesus Impânâyarpattan Irattapadikonda Irâcacimman_Rajasingan Irâcakecaripanmar Irâcarâca_Rajaraja </t>
  </si>
  <si>
    <t xml:space="preserve">Irâcâcekara_Rajasekhara Irâcâtirâca_Rajadhiraja Irâcâtirâcatevar Irâcâtitta_Rajaditya Irâcêntira_Rajendra Ittac_Isaac Iyob_Job Kadarangkonda Kanakacûriya Kantarâtitta_Gandarditya </t>
  </si>
  <si>
    <t xml:space="preserve">Karaikkiyemarrayilaiyân Karunandadakkan Karunandan Katunkon Kilân Kirâmarâcapattan Kontân Kossy_Joshua Kotukulapattan Kulacêkara_Kulasekhara Kulacêkaran_Kulasekharan </t>
  </si>
  <si>
    <t xml:space="preserve">Kulôttunka_Kulothunga Kunapûsana Kunavîra Kurian_Cyrus Kutameratiruvatikal Kôpperuñcimman_Kopperunchinga Lukose_Luke Makêntiravarman_Mahendravarman Manappâkkîlan </t>
  </si>
  <si>
    <t xml:space="preserve">Manavâlapperumâl Munnûrruvappattan Mâmpâkkamutaiyân Mânaticcuran Mârapanmar Mâravarman_Maravarman Mârkantaiyan Markose_Marcus Mâtevapattan Mâtevipattan Nantivarman_Nandivarman </t>
  </si>
  <si>
    <t xml:space="preserve">Naracimmavarman_Narasimhavarman Nirupatunkavarman_Nirupatonkavarman Niyâyaparipâlapattan Nârpattennâyirapattan Nâtittañcâttan Pantâram_Pandaram </t>
  </si>
  <si>
    <t xml:space="preserve">Parakesaripanmar Paramêsvaravarman_Parameswaravarman Paranirupacinkam_Paranirupasingham Pararâcacêkaran_Pararajasekharan Parâkkirama_Parakrama </t>
  </si>
  <si>
    <t xml:space="preserve">Parânkucan_Parankusan Parântaka_Parantaka Pathrose_Peter Pañcavan Paulose_Paul Periyapillai Perumâl Peruñcintevar Piramârâyan Piyliypaos_Philip Puvirâca_Puviraja Pâkkilân Pâlarâvâyan Ranatitta_Ranaditya </t>
  </si>
  <si>
    <t xml:space="preserve">Ranatîran_Ranadhiran Ravivarman Samuel_Samuel Tantivarman_Dantivarman Tennavan Thoma_Thomas Tiruccirrampalapattan Tirunattapperumâl Tirupuvanavîratevar Tripuvanacakkaravattikal </t>
  </si>
  <si>
    <t xml:space="preserve">Uravâkkinân Utaiya_Udaya Uttama Varakunan_Varagunan Varakunavarman_Varagunavarman Varôtaya Varughese_George Vellantânkinân Vicayâlaya_Vijayalaya Vicayâraka_Vijayaraga </t>
  </si>
  <si>
    <t xml:space="preserve">Vicayâtitta_Vijayaditya Vikkirama Vikramâtittâ_Vikramaditya Viranârâyanapattan Virâcakecaripanmar Vîracêkara_Virasekhara Vîrakêcari_Virakhesari </t>
  </si>
  <si>
    <t>Vîrarâcêntira_Virarajendra Vîrôtaya_Virodaya Yohannaan_John Yosef_Joseph Zacharria_Zachary Âccinataratippan Ânûrrenmanpiccan Âyirattalipattan</t>
  </si>
  <si>
    <t xml:space="preserve">Aaleyaamma_Elizabeth Accamma_Rebecca Accattêvi Annamma_Anna Aiyyârratikal Akkâranankayâr Amittiravalli Ammaiyâlvi Ammakkanâr Ammankâtêvi_Ammangadevi Ankâti Aramutaiyâl </t>
  </si>
  <si>
    <t xml:space="preserve">Aricukâti Ariyapillai Ariñcikai Ariñcikaipirâtti Ariñcikaippirâttiyâr Arulmolinankaiyâr Aruvanki Atavallâl Atittapatâriyâr Atittapitâri </t>
  </si>
  <si>
    <t xml:space="preserve">Atittapitâriyâr Atticapitâriyâr Avutaiyâlccâni Cankâni Cantirâdêvi Cenkulam Ceyyacôlam Ceyyavâymani Civatêvi Civallapatevi </t>
  </si>
  <si>
    <t xml:space="preserve">Corappaiyâr Câmuntappai Cêramankai Côlamâtêvi Eccumantai Eluvanai Eluvattûr Etuttapâtam Irâcinkam Irâcâticci Irâcacuntari </t>
  </si>
  <si>
    <t xml:space="preserve">Kalacci Kalicci Kanavati Kannapparaciyâr Kantiyûr Kariyamâtêvi Karumânikkam Kaucalaiyâr Kavatiyakkan Kañciakkan Kutitânkinâl </t>
  </si>
  <si>
    <t xml:space="preserve">Kuñcaramalli Kuñciramalli Kâmuttiri Kâraikkâl Kôkilânadigal Kôlâliyâr Kômalavalli Kôyinâccipitâriyâr Kûrrantêvi Kûttâtunâcci </t>
  </si>
  <si>
    <t xml:space="preserve">Mahâdeviyâr Malaiyamân Malapâti Maraikkâtu Mañcavi Mânikkam Mariamma Mâtêvatikal Mâtêvatikalâr Nakarattâl Naltêviyâr Namaiyâr Nankaiyâr Nantirinankai </t>
  </si>
  <si>
    <t xml:space="preserve">Netuntukkai Nilammai Nimmatikal Nâcci Nâcciyâlvi Nârani Nârâyani Nâñcûri Nîlakanti Nîliyâr Olimatiyâr Orriâlvi Pavitram Pennaraciyâr </t>
  </si>
  <si>
    <t>Peranankai Periyanâcci Perrappai Pillayâlvi Piramaccâni Piratamâtevi Pirriccâni Pollâtapillai Pommavâyi Ponnampalattatikalâr Punniyavâtti Pûvânti</t>
  </si>
  <si>
    <t xml:space="preserve">Raahelamma_Rachel Râcatêviyâr Râcakêcari Sâmavâyi Saramma_Sarah Sosamma_Susan Taturântakiyâr Tavañceytâl Tayânitiyâr Thresiamma_Teresa Tirumûlattânam Tiruvaranki Tiruvennâval Tiruvânaikkâvi </t>
  </si>
  <si>
    <t xml:space="preserve">Tiruvênkatam Tunaiyiruntâlcâni Tânatonkiyâr Têcappukal Têmpâvai Têvânrâl Tûnkânai Umaiyâlvâr Utaiyaval Utaiyañceytâl Vaccavaiyâr </t>
  </si>
  <si>
    <t>Varakuni Vatavâyil Venankai Vennâval Vicciyakkan Viccâtiri Vikkiramâtitti Viraiyâccilai Vitari Vânavanmâtêvi</t>
  </si>
  <si>
    <t>pat_grm_name_chance = 0</t>
  </si>
  <si>
    <t>mat_grm_name_chance = 0</t>
  </si>
  <si>
    <t>telugu = { # Dravidian</t>
  </si>
  <si>
    <t>color = { 0.8 0.8 0.0 }</t>
  </si>
  <si>
    <t xml:space="preserve">Allada Allayavema Amma Ammaraja Anavema Anavota Ayyapayya Baladitya Ballaladeva Beta Bhima Bhandanaditya Chennappa </t>
  </si>
  <si>
    <t xml:space="preserve">Danamava Devanayaka Durgaraja Ganapathideva Ganapathinayaka Indrabhattaraka Jayasimha Kaapayanayaka Kadeyaraja Kalakampa </t>
  </si>
  <si>
    <t xml:space="preserve">Kammanayaka Katayavema Kumaragiri Kubjavishnuvardhana Mahadeva Mahakala Mangiyuvaraja Mallapa Nachana Narendra </t>
  </si>
  <si>
    <t xml:space="preserve">Niravadyadhavala Nrpakama Pandaranga Prataparudra Prola Prolayanayak Prolayavema Prthiviyaraja Rajanayaka Rajaraja </t>
  </si>
  <si>
    <t xml:space="preserve">Rudradeva Saktivarman Singamanayaka Somaditya Vengabhupathi Vijayaditya Vimaladitya Virabhadra Vishnuvardhana </t>
  </si>
  <si>
    <t>Yuddamalla_Yuddamalla Yuddhamalla_Yuddamalla</t>
  </si>
  <si>
    <t>Anitalli Chamekamba Chandena Chellava Gamakamba Hariharamba Nagipoti Pammava Rudramba Rudramadevi Srimahadevi Tundaka</t>
  </si>
  <si>
    <t>kannada = { # Dravidian</t>
  </si>
  <si>
    <t>color = { 0.8 0.6 0.0 }</t>
  </si>
  <si>
    <t xml:space="preserve">Achugi Adikavi Ahavamalla Amoghavarsha Anekonda Asaga Avinita Ayanna Bhuvikrama Bijjama Bukka Butuga </t>
  </si>
  <si>
    <t xml:space="preserve">Chavundaraya Dantidurga Dashavarman Dhruva Durgasimha Durvinita Ereganga Ereyanga </t>
  </si>
  <si>
    <t xml:space="preserve">Gangaraja Gajankusha Gobburi Govinda Hakka Harihara Harivarman Indra </t>
  </si>
  <si>
    <t xml:space="preserve">Jagadhekamalla Jagaraya Jagattunga Jayasimha Jogama </t>
  </si>
  <si>
    <t xml:space="preserve">Kambarasa Kannama Karka Khottiga Kiriyasaga Kirtivarman Konganivarman Krishna </t>
  </si>
  <si>
    <t>Madhava Madhura Mallikarjuna Mallugi Mangalesi Marasimha Marulaganga Mushkara Narasanayaka</t>
  </si>
  <si>
    <t xml:space="preserve">Narasimha Neetimarga Nripakama Permadi Permanadi Polavira Praudharaya Pulakesi Purandaradasa </t>
  </si>
  <si>
    <t xml:space="preserve">Rachamalla Ramachandra Ramadeva Ramaraya Sankama Satyasraya Sharva Shivamara Singhana </t>
  </si>
  <si>
    <t xml:space="preserve">Somesvara Sovideva Sripadaraya Sripurusha Sriranga Srivikrama Tailapa Thimma Tirumalaraya </t>
  </si>
  <si>
    <t xml:space="preserve">Uchita Venkatadri Venkatapathi Vikramaditya Vijayaditya Vinayaditya Viraballala Viravijaya </t>
  </si>
  <si>
    <t xml:space="preserve">Virupaksha Vishnugopa Vishnuvardhana Yachama Yachamanedu </t>
  </si>
  <si>
    <t>Achyutadeva Krishnadevaraya Sadashiva Vendakadri Viranarasimha</t>
  </si>
  <si>
    <t xml:space="preserve">Akkadevi Bhavanaga Bijjabbe Chandaladevi Chandrabbalabbe Gangambika Hoysaladevi Kundakadevi </t>
  </si>
  <si>
    <t>Lakshmi Mahadevi Mailaladevi Obayamma Pertal Revakanimmadi Shantaladevi Vijamba</t>
  </si>
  <si>
    <t xml:space="preserve">Chinnambike Thirumalambike </t>
  </si>
  <si>
    <t>graphical_cultures = { bodpagfx mongolgfx indiangfx muslimgfx }</t>
  </si>
  <si>
    <t>bodpa = { # Tibetan</t>
  </si>
  <si>
    <t>color = { 1.0 0.2 0.0  }</t>
  </si>
  <si>
    <t>Aglen Balpo Chakna Changchub Chatri Chokey Chögyal Chukpo Daktri Degyal Denöl Desho Detrin Detsen Detrul</t>
  </si>
  <si>
    <t>Deu Dharmapala Dickey Dingtri Dompu Dondup Donyö Dorje Drag Dragpa Dranga Drigum Drogön Drongnyen Dusong</t>
  </si>
  <si>
    <t>Dzamling Esho Gampo Gangkarwa Gesar_Caesar Getong Gön Gongpa Gongru Gunggyal Gungsong Gungtsen</t>
  </si>
  <si>
    <t>Gyagar Gyal Gyalpo Gyaltore Gyaltsen Gyeltsen Isho Jamyang Jekundag Jetsun Könchok Kyidé Kunga</t>
  </si>
  <si>
    <t>Langdarma Lek Lekpa Lha Lhanang Lingpa Lodrö  Longtsen Löntsen Lotsen Lukhong Mangban Mangnyen</t>
  </si>
  <si>
    <t>Mangpoje Mangsham Mangsong Mangtsen Mertri Muné_Muné Mutik Mutri Muzu Nam Namdé Namkha Namri</t>
  </si>
  <si>
    <t>Namzhungtsen Ngawang Nyantsen Nyasig Nyigön Nyima Nyingpo Nytari Omade Öpoche Orgyen Ösung Pal</t>
  </si>
  <si>
    <t>Palden Palchen Pälkhortsän Palkye Phagpa Po Podé Pude Pungse Pungtsen Raksita Ramsha Ralpacan</t>
  </si>
  <si>
    <t>Rapsel Rinchen Sachen Sadnalegs Sambhota Selbar Senöl Shakya Shang Shanglon Shangnang Siptri Sönam</t>
  </si>
  <si>
    <t>Songtsen Sotri Sumnang Sutse Tagbu Takdra Taknang Taknye Taktsab Tawen Thönmi Thothori Thrikhyiding</t>
  </si>
  <si>
    <t>Tingngezin Tisho Tongtsen Tori Trashi Tridé Tridra Tridu Trimang Trinring Trinyen Trisong Trisu Trisumje</t>
  </si>
  <si>
    <t>Tritog Tritsen Tritsuk Tromo Trongzhi Tsangma Tsemo Tsen Tsendro Tsenpo Tsensong Tsentsän Tsenye Tsugru</t>
  </si>
  <si>
    <t>Tsuktsen Udumtsen Wangchuk Wangdu Yongten Yontan Yülsung Yumtän Zanam Zangtsa Zhangtsun Zhonnu Zimun</t>
  </si>
  <si>
    <t>Zindé Zungtsen</t>
  </si>
  <si>
    <t>Amala Bumphulwa Bum Cham Chimey Choden Chödron Chökyi Chöying Cogrobza Dagmo Dechen Devitara Dolma</t>
  </si>
  <si>
    <t>Dongkar_Dongkar Dringma Driza Dro Drönma Dronmalön Dunkyi Dzeden Gémaspranglod Gémathar Gyalyum</t>
  </si>
  <si>
    <t>Gyimsheng Hariti Jashi Jetsunma Jomo Kelzang Khadrobum Khribang Khrimalod Khritsun Koboza Konchog Kunga</t>
  </si>
  <si>
    <t>Kunzang Kyeden Kyi Lasya Lha Lhakee Lhamgonza Lhathrimo Machig Magyal_Magya Mangalal Mangmo Mangmoje</t>
  </si>
  <si>
    <t>Mungchang Nagzib Nanamsa Ngawang Nyendrak Nyitri Orgyen Pelgyimo Pelmo Pema Phoyongsa Phurbulcam Pogong</t>
  </si>
  <si>
    <t>Pongza Rinchen Sal Sadmarkar_Sadmarkar Sengemo Shonnu Taramo Tashi Thridang Thrimalö Thrisong Togo Tökarma</t>
  </si>
  <si>
    <t>Toktokteng Torma Tricham Trikar Trimonyen Trinle Tse Tsenma Tshistöng Tsomo Tsogyal Tsunmotog Tubten Wangmo</t>
  </si>
  <si>
    <t>Yeshe Yon Yondagmo Zangmo Zigsa</t>
  </si>
  <si>
    <t>tangut = {</t>
  </si>
  <si>
    <t>color = { 0.8 0.3 0.0  }</t>
  </si>
  <si>
    <t xml:space="preserve">Abaoji Abo Abugu Aguo Aguzhi Ala Dorjee Kalden Karma Lobsang Mingma Nawang Nima Chodak Changyuan </t>
  </si>
  <si>
    <t xml:space="preserve">Chucai Chun Chunyou Chuzhi Ci Cite Ciwang Dali Dao Daoyin Dashi Deguang Deming Dewang Deyuan </t>
  </si>
  <si>
    <t>Di Diela Dilie Dilu Dorlipun Du Duolubu Duoluo Duomi Fangde Fuguzhi Fuliu Fuyi Gan Gang Gaoligu</t>
  </si>
  <si>
    <t xml:space="preserve">Gongmao Gongzao Guan Guang Guangbi Gui Guochang Guozhe Hao He Hechen Hongben Hongdao Hongfan </t>
  </si>
  <si>
    <t xml:space="preserve">Hongji Hongyong Hongzhen Hougu Huaijie Huaixiu Hudujin Hui Huiyuan Hunhe Jie Jin Jing Jingtang </t>
  </si>
  <si>
    <t xml:space="preserve">Jinzhong Jiqian Jiuli Jiushao Jiyuan Jue Jun Junshi Kaigu Kailuo Keda Keling Kenagan Ketuyu </t>
  </si>
  <si>
    <t xml:space="preserve">Keyong Kuan Kuge Kui Kuo Liangzuo Lihu Lin Linggong Lishan Liuge Loguo Longqing Longxian Longxu </t>
  </si>
  <si>
    <t xml:space="preserve">Longyou Louguo Lu Luju Luzhi Mada Mai Maozhen Min Ming Mingyi Mohui Naihe Nieli Nielieji Noulisi </t>
  </si>
  <si>
    <t xml:space="preserve">Nu Paolu Pedie Pusuwan Qi Qianshun Qinde Quchulu Quju Qulie Qulu Renxian Renxiao Ruan Sage Salade </t>
  </si>
  <si>
    <t xml:space="preserve">Saladi Sha Shao Sheng Shenmi Shi Shihuo Shilu Shinan Shizhong Shu Shulu Si Sicheng Sidao Side Song </t>
  </si>
  <si>
    <t xml:space="preserve">Songrui Suogu Tabuyan Tadun Tai Taishan Taishi Taiyi Temei Tianxiang Tingjian Tong Tuguci Tuyu Waihe </t>
  </si>
  <si>
    <t xml:space="preserve">Wangrong Wansi Wanxin Wei Wen Wenshunu Wenzao Wolila Wotela Wuge Wujun Wumo Wuyi Wuyu Wuzheng Xi Xian </t>
  </si>
  <si>
    <t xml:space="preserve">Xiangwen Xiaozheng Xiaozhong Xiazhen Xidi Xinie Xiu Xiuge Xunning Yali Yan Yangxi Yanxi Yanzhang </t>
  </si>
  <si>
    <t xml:space="preserve">Yaogu Yaoshinu Yi Yilie Yiliu Yixinning Yongning Yougui Youqing Youyu Yu Yuanhao Yunching Yundeshi Yuyu </t>
  </si>
  <si>
    <t xml:space="preserve">Zanhua Zao Zeduan Zengbo Zhangyuan Zhaosan Zhen Zhengchang Zhengyan Zhibuwu Zhigu Zhilugu Zhixian Zhiyuan </t>
  </si>
  <si>
    <t xml:space="preserve">Zhong Zhonggong Zhongji Zhongxuan Zhongyan Zhongyuan Zhulie Zongjiao Zongzhen Zuli Zunxu Zuqian Xjwa Khej </t>
  </si>
  <si>
    <t>Xwej Thjij-po Changyun Cheng Chengjun Chixin Chonggui Chongrong</t>
  </si>
  <si>
    <t>Ai Ankang Bage Bai Bohai Boshi Cao Chadan Chang Changshou Changshounu Chen Chonghua Chu Chunqin Chuo</t>
  </si>
  <si>
    <t>Cui Cuiba Cuiluan Cuiping Da Daopo Daosheng Deng Deyao Dezhen Dianni Dong Duan Emei Feishan Fengcheng</t>
  </si>
  <si>
    <t>Fu Fujin Gao Ge Guang Guanyinnu Guo Han Hanyue He Hongdu Hongfu Honghong Hou Hu Hua Huang Huarui Huiming</t>
  </si>
  <si>
    <t>Jianchang Jiang Jin Jinfeng Jinluan Jiuge Lanling Li Liang Liao Liu Luanluan Ma Meizhu Meizi Meng Miaoniang</t>
  </si>
  <si>
    <t>Miaoyin Nalan Neiming Noujin Nuoujin Panpan Ping Pucha Puci Puning Pusage Pusuwan Puwei Qian Qiao Qin Qinai</t>
  </si>
  <si>
    <t>Qingnu Qingzhao Qungu Ren Renyi Ruishun Ruizhi Saige She Shen Shengtang Shi Shige Shiguang Shishi Shizhen</t>
  </si>
  <si>
    <t>Shuge Shuiqiu Shuogu Shuzen Shuzheng Siao Song Su Sun Tabuyan Tabuye Taige Taihe Tangqiao Tao Taoge Tian</t>
  </si>
  <si>
    <t xml:space="preserve">Tong Tudan Wa Wang Wenji Wu Wulinda Wuniang Xia Xiao Xiaoming Xiaoxiao Xingge Xingguo Xinyue Xu Xuanji </t>
  </si>
  <si>
    <t xml:space="preserve">Xuanyi Xueying Xunyang Yan Yange Yaniang Yanmu Yanshounu Yanxiu Yaonian Yaoniang Yaoying Ye Yi Yingtian Yingying </t>
  </si>
  <si>
    <t xml:space="preserve">Yongqing Yongxing Yu Yuan Yuanzhen Yuniang Yunying Yushan Zhai Zhang Zhaoyun Zheng Zhenjian Zhong </t>
  </si>
  <si>
    <t>Zhou Zhu Zhuzhu Zihe Ziye</t>
  </si>
  <si>
    <t>zhangzhung = { # Zhangzhung</t>
  </si>
  <si>
    <t>color = { 1.0 0.4 0.0  }</t>
  </si>
  <si>
    <t>Atimuwer Berkya Bonchung Chimetsukphü Chirum Chunmardang Dakhor Damitheke Damshe Dangwa Demdruk Denpar</t>
  </si>
  <si>
    <t>Dokchen Donla Draktsen Draktsubkye Drenpa Dud Duddul Durshen Dzomar Gawagye Gekhö Gön Göwar Gurser Guwer</t>
  </si>
  <si>
    <t>Gyalwa Gyer Gyerme Gyerpung Gyung Gyungyar Harachipar Hrido Hripa Hrista Jönwa Kalarasa Khyabpa Kuchi</t>
  </si>
  <si>
    <t>Kunla Kyabpai Kyeshe Kyichuk Kyile Labchen Lakring Lampa Langboche Larje Likmigyal Likmikya Likmur</t>
  </si>
  <si>
    <t>Liknyashur Liknyikya Liknyirhya Liwergyer Lokpai Löpo Lopön Ludrub Luje Lurab Lutsen Mabu Mangke Marpo</t>
  </si>
  <si>
    <t>Martang Mebar Meka Meri Merutse Milüsamlek Mikmar Milwo Mra Mrabon Mranyite Mrawa Mucho Mukhö Mukhung</t>
  </si>
  <si>
    <t>Mulakhung Mumar Muné_Muné Muwer Muwernor Namdak Namje Namkha Namse Nangwa Nangzher Naro Nor Norgyi Ökar</t>
  </si>
  <si>
    <t>Ösel Pebon Pholha Pung Pungse Rabtson Rakhuk Salwa Sangjo Sangpo Sangto Sehrigyer Senggetram Shebu Shele</t>
  </si>
  <si>
    <t>Shelgyung Shenlha Shenpa Shenrab Sridpa Takla Takma Tenzin Thenwa Thipang Thokgö Thoktse Thuchen Tobchen</t>
  </si>
  <si>
    <t>Tonggyung Tönpa Traphü Trideiöpo Tridem Tridü Trimen Triwer Troto Tsepo Wal Werya Yangje Yidring Zache</t>
  </si>
  <si>
    <t>Zijid Zingkye Zingpa Zutse</t>
  </si>
  <si>
    <t>Atak Ataklumo_Ataklumo Atakmo Ba Batsame Bumtsho Cha Changmo Chatsame Chukmo Dangra Dongkar_Dongkar</t>
  </si>
  <si>
    <t>Drangma Drablai Dronglek Duk Duktsuk Dzomo Gyi Gyichangmo Gyilumo Gyitsame Kering Khyungza Kyinam Kyidagi</t>
  </si>
  <si>
    <t>Kyukma Lekyi Lhogyal Liwer Lumo Magyal_Magyal Menchung Mewar Molha Mracham Nangze Neuchung Nyakchikma</t>
  </si>
  <si>
    <t>Ongma Ringtsun Semarkar_Sadmarkar Shenza Silema Takber Takliwer Ting Tingber Tinglumo Tingtsame Trakthung</t>
  </si>
  <si>
    <t>Tsa Tsadagi Tsame Tsatsame Tshogyal Trinyen Wangmo Yid Yidongma Yum Yumtsame Yuyi Zamatok Zangza Zazu</t>
  </si>
  <si>
    <t>sumpa = { # Sumpa</t>
  </si>
  <si>
    <t>color = { 0.8 0.2 0.1  }</t>
  </si>
  <si>
    <t>Dangraskya Datserhim Dirotiga Dudlutsen Krasnetse Kunhritse Litsakra Ljonlji Mangpu Martaskra Molingzan</t>
  </si>
  <si>
    <t>Muba Muguni Mugunpu Murkya Nejini Nerkya Nyagdod Nyilni Pantihritse Pantimatso Rangskya Rangwerro Rawerni</t>
  </si>
  <si>
    <t>Rtseni Sadslungse Sadsrung Shimwerro Skyartse Talsnetse Talwerni Thatseseto Thetsedar Thungni Tigrali</t>
  </si>
  <si>
    <t>Tigratinsho Tigunyiri Timinrang Tisrang Tsakrani Xinuoluo Zarani Zlaririm</t>
  </si>
  <si>
    <t>Ataklumo_Ataklumo Baninera Bartirkhum Bhardha Brizhalda Delhodshim Delosnyri Dhingtsamed Dhingyose</t>
  </si>
  <si>
    <t>Dudelos Dunshogs Khikhar Khirnyiri Khizhi Necugni Nelnesla Neltunyose Pantitsamed Racugni Shekhonti</t>
  </si>
  <si>
    <t>Sherkya Shethetse Shimdhing Shimyose Smarkangshe Smarshibi Smarshim Smartsamed Smaryose Thathurrtse</t>
  </si>
  <si>
    <t>Thungtsamed Thungyose Tingsho Tiseto Tishekhon Tortseli Tritiga Yutsog Zangsyag Zhamze Zhimzhalsto</t>
  </si>
  <si>
    <t>pat_grf_name_chance = 20</t>
  </si>
  <si>
    <t>mat_grf_name_chance = 30</t>
  </si>
  <si>
    <t>father_name_chance = 20</t>
  </si>
  <si>
    <t>graphical_cultures = { chinesegfx mongolgfx indiangfx muslimgfx }</t>
  </si>
  <si>
    <t>han = {</t>
  </si>
  <si>
    <t>color = { 211 44 44 }</t>
  </si>
  <si>
    <t>Ji Yu Deyi Wuji Xuanling Ruhui Jing Yanbo Shilian Shiji Xingcheng Zhining Suiliang Rengui Zhide Liangsi Daijia Chengsi Changliang Qinwang Jishan Xiujing Yuanzhong Chengqi Shi Ziyi Maozhen Wei Gongren Shidao Wenben Zhou Jifu Shi Dunli Yifu Zhenglun Jingzong Xiangdao Dunxin Liben Chujun Jingxuan Yuanchao Zhiwen Yan Weidao Judao Wenwei Zhaode Sansi Renjie Qiao Zaisi Xuanwei Shuji Anshi Chuke Zhizhong Shaojing Sili Chong Shuo Jiazhen Song Jiuling Linfu Guozhong Yuan Fuguo Huaiguang Sheng Jian Hong Minzhong Zhaodu Wenjing Kang Shuda Yuanji Gui Zheng Wenjie Yuan Maojiang Yushi Dexuan Luo Wenguan Chujun Jingxian Dezhen Siqian Xuantong Guangfu Youning Wuzi Qinke Tong Shou Hui Yanfan Huai Juyuan Chuna Zhizhong Rizhi Youqiu Huaizhen Xi Zhigu Huaishen Qianyao Guangting Yaoqin Xianke Shizhi Xilie Jiansu Jinqin Jin Sui Duo Mei Congdang Yanruo Yin Yan Zhou Junji Yaxiang Chengqing Yi Yanwei Chuyue Hongwu Anqi Renben Heng Yiyan Zhizhou Da'an Daiju Hongmin Weizhi Benli Xiaojie Jiongxiu Dan Jianzhi Huaiyuan Qinming Renyuan Zhigu Xiangxian Na Lin Zhengyi Jingchen Junliang Cha Fangzhi Lübing Youyi Sihui Fuyuan Zhigu Xingben Zhirou Youdao Zhihong Shenji Yuanzong Yuansu Rui Juyuan Yuanfang Shifang Jingquan Yunyuan Yuanheng Fangqing Daoguang Yuanchong Xu Jingze Rong Weiqian Yanzhao Jiafu Yuanhong Xilie Guan Mian Ting Qi Kui Hua Zunqing Zai Hongjian Gun Zhongchen Youfu Lin Yi Bo Congyi Gongfu Yanshang Zao Huang Hun Bi Can Zhi Dan Mai Sun Zongru Yuqing Ying Xunyu Zhiyi Huangshang Yuanheng Di Pan Deyu Jiang Hongjin Guanzhi Fengji Qun Yong Yijian Fu Wenchang Yuanying Sengru Chen Yizhi Chuhou Zongmin Shenxi Guyan Yuanyu Xun Tan Yixing Sifu Shen Rangyi Su Shang Minzhong Yuanshi Guicong Tao Mo Lang Shenyou Zhuan Shenquan Xian Shou Que Shang Zhan Ye Wei Che Gou Changtu Zhaodu Rangneng Yanchang Xisheng Chuan Pu Wo She Riyong Renshi Guangqi Zhirou Yanjing Dewei Shouyi Longji Jie Shouli Yuanzhen Xinfu Yun</t>
  </si>
  <si>
    <t>Anzong Wenshou Aiqin Que Daoan Maoying Qigui Rongji Huinan Yuying Yingwu Xianyuan Lingyuan Wanying Yingmei Zhenfeng Miaodeng Farong Yuzhu Jiangui Fanjing Daozheng Zhirong Huizhao Shuyi Shuyuan Jieyu Ronghua Zhaoyi Lanying Baoming Jingying Shaoming Huiduan Lingqu Yu'er Nizi Jinghui Shunhua Shangrou Hui Lingguang Lingying Lingbing Zhaopei Yao'er Miaorong Shaoji Jingyan Lihua Wuhua Xianji Shouji Zhaorong Ying Xianzi Puxian Lian Mingxiang Yuanhua Tong'e Mingyue Zhaojun "Zu'e" Yuguang Zuqi Zhonghua Yuyi Changyi Huanghua Xiaolian "E'zi" Manyue Yueyi Yueshang Qieluo Lingji Zhou Shuzhen Gui Hui Huitong "Wan'er" Shun Fangmei Zhenyi Caiping Yuhuan Qiniang Qiu Qiuniang Jianrong Chongyan Zhenniang Yuniang Fujin Shiguang "E'huang" "Nüying" Xinyue Hanyue Feishan Shunxuan Taihua Dexiu Jinfeng Chunyan Qiongxian E Taotao Bingyi Yunu Zuimei Chunluo Fengniang Daoqing Zhuozhen Yan Yanyan "Shi'er" "Xian'e" Nanxian Shanxiang Ai Shanli Jinluan "Xi'er" "Zhen'er" Wanyi Mantang Xijie Baozhu Xiuying Zhongyang Ruoxian Ruozhao Ruoxin Ruoxun Ruolun Miaozhen Mao'er Daoyi Niangzi Saihua Guiying Shengqiong Chaochao Fu Zhaoyun Rouniang Rounu Yuniang Biniang Rui Jinhua Guilan Shanwei Suyue Yunxian Nenniang Xiang Zhenli Cuiqiao Zhihui Lingxuan Jicong Shuzhu Yujing Yuanyuan Xiaowan Hengbo Mei Xiangjun Rushi Xianglan Ruying Yuhua Yuantong Yanxiang Xiurong Shouying Fuyuan Luzhen Ruirong Suzhen "Xiao'e" Xiaoying Xiaoyuan Xiaoji Xiuui "Nüjie" Qingyu Zhichong "Yi'an" Youwu Yupan Jinnu Jinluo Fujin "Hu'er" Jinxian Qiaoyun Sanjin Xiangyun Zhuzhu "Jin'er" Chuanzhu Jinzhu Xiaojin Huimei Miaoyu Quyi Siniang Sanniang "A'wu" Lizhi Jing Shu Lingyue Xianhui Jijiang "Guo'er" Huawan Huazhuang Chang Dehua Panpan Caichun Wenxiu Hong Honghong "A'man" Huimei Shuozhen Youwei Huilan Lize Mingda Sujie Yiyang Hua Yuhuan Shi Diaochan Zheng Liu Kangyi Feiyan Hou Jiangnu Na Shengtong Zhi</t>
  </si>
  <si>
    <t>from_dynasty_prefix = ""</t>
  </si>
  <si>
    <t>Culture Group</t>
  </si>
  <si>
    <t>Base group ethnicity</t>
  </si>
  <si>
    <t>Base ethnicity</t>
  </si>
  <si>
    <t>Notes</t>
  </si>
  <si>
    <t>Code</t>
  </si>
  <si>
    <t>North Germanic</t>
  </si>
  <si>
    <t>westerngfx</t>
  </si>
  <si>
    <t>norsegfx</t>
  </si>
  <si>
    <t>Norse culture in Scandinavia can split up by event between years 950 and 1150. This is prevented if top liege is Norse emperor or multi-king or if religious head is Norse.</t>
  </si>
  <si>
    <t>May raise Runestones, even if not Germanic religion.</t>
  </si>
  <si>
    <t>Seafaring - receives 90% discount to raised ship levies.</t>
  </si>
  <si>
    <t>Independent dukes are called petty kings</t>
  </si>
  <si>
    <t>Only Norse can raid if religion and government type do not allow raiding.</t>
  </si>
  <si>
    <t>swedish</t>
  </si>
  <si>
    <t>norwegian</t>
  </si>
  <si>
    <t>danish</t>
  </si>
  <si>
    <t>Central Germanic</t>
  </si>
  <si>
    <t>germangfx</t>
  </si>
  <si>
    <t>Converts to Italian if in de jure Italy, Sicily, or Sardinia and Corsica</t>
  </si>
  <si>
    <t>lombard</t>
  </si>
  <si>
    <t>Converts to French (except in Frisia)</t>
  </si>
  <si>
    <t>Converts to Portuguese if in de jure Galicia or Portugal and owner is non-Muslim</t>
  </si>
  <si>
    <t>suebi</t>
  </si>
  <si>
    <t>West Germanic</t>
  </si>
  <si>
    <t>englishgfx</t>
  </si>
  <si>
    <t>Created by events if Norman ruler controls Anglo-Saxon province in the region of England after year 1100.</t>
  </si>
  <si>
    <t>saxongfx</t>
  </si>
  <si>
    <t>Converts to German once Widukind rebellion has happened (which won't happen if Saxony remains independent of the Franks).</t>
  </si>
  <si>
    <t>Converts to Dutch if in de jure Frisia</t>
  </si>
  <si>
    <t>frisian</t>
  </si>
  <si>
    <t>Frankish, Saxon or Frisian provinces in de jure Frisia flip to Dutch</t>
  </si>
  <si>
    <t>dutch</t>
  </si>
  <si>
    <t>Latin</t>
  </si>
  <si>
    <t>frankishgfx</t>
  </si>
  <si>
    <t>normangfx</t>
  </si>
  <si>
    <t>Created by event if Norse ruler controls Frankish, Occitan or Breton province</t>
  </si>
  <si>
    <t>Seafaring - receives 90% discount to raised ship levies</t>
  </si>
  <si>
    <t>norman</t>
  </si>
  <si>
    <t>italiangfx</t>
  </si>
  <si>
    <t>Greater likelihood of being elected to College of Cardinals.</t>
  </si>
  <si>
    <t>trueoccitangfx</t>
  </si>
  <si>
    <t>occitan</t>
  </si>
  <si>
    <t>Roman</t>
  </si>
  <si>
    <t>romangfx</t>
  </si>
  <si>
    <t>Can be restored by decision. Blind characters cannot inherit.</t>
  </si>
  <si>
    <t>roman</t>
  </si>
  <si>
    <t>dalmatiangfx</t>
  </si>
  <si>
    <t>Blind characters cannot inherit.</t>
  </si>
  <si>
    <t>dalmatian</t>
  </si>
  <si>
    <t>Outremer</t>
  </si>
  <si>
    <t>outremergfx</t>
  </si>
  <si>
    <t>Can be formed by decision.</t>
  </si>
  <si>
    <t>outremer</t>
  </si>
  <si>
    <t>Sardinian</t>
  </si>
  <si>
    <t>sardinian</t>
  </si>
  <si>
    <t>Iberian</t>
  </si>
  <si>
    <t>occitangfx</t>
  </si>
  <si>
    <t>Enables Absolute cognatic gender law.</t>
  </si>
  <si>
    <t>southerngfx</t>
  </si>
  <si>
    <t>castillan [sic]</t>
  </si>
  <si>
    <t>Converts to Castillian, Catalan, Occitan or Andalusian depending on de jure kingdom and owner religion</t>
  </si>
  <si>
    <t>Byzantine</t>
  </si>
  <si>
    <t>easterngfx</t>
  </si>
  <si>
    <t>byzantinegfx</t>
  </si>
  <si>
    <t>Can castrate or blind prisoners via decision. Blind characters cannot inherit. Can also use "Restore Byzantium" decision.</t>
  </si>
  <si>
    <t>arberian</t>
  </si>
  <si>
    <t>armenian</t>
  </si>
  <si>
    <t>easternslavicgfx</t>
  </si>
  <si>
    <t>georgian</t>
  </si>
  <si>
    <t>persiangfx</t>
  </si>
  <si>
    <t>coptic</t>
  </si>
  <si>
    <t>Gothic</t>
  </si>
  <si>
    <t>crimeangfx</t>
  </si>
  <si>
    <t>Celtic</t>
  </si>
  <si>
    <t>celticgfx</t>
  </si>
  <si>
    <t>Enables Tanistry succession law.</t>
  </si>
  <si>
    <t>Independent dukes are called petty kings.</t>
  </si>
  <si>
    <t>scottish</t>
  </si>
  <si>
    <t>welsh</t>
  </si>
  <si>
    <t>breton</t>
  </si>
  <si>
    <t>Finno-Ugric</t>
  </si>
  <si>
    <t>ugricgfx</t>
  </si>
  <si>
    <t>finnish</t>
  </si>
  <si>
    <t>ugricbaltic</t>
  </si>
  <si>
    <t>komi</t>
  </si>
  <si>
    <t>khanty</t>
  </si>
  <si>
    <t>samoyed</t>
  </si>
  <si>
    <t>mordvin</t>
  </si>
  <si>
    <t>meshchera</t>
  </si>
  <si>
    <t>Baltic</t>
  </si>
  <si>
    <t>prussian</t>
  </si>
  <si>
    <t>Altaic</t>
  </si>
  <si>
    <t>turkishgfx</t>
  </si>
  <si>
    <t>Mongols can use Ultimogeniture even without following an organized religion.</t>
  </si>
  <si>
    <t>cumangfx</t>
  </si>
  <si>
    <t>khazar</t>
  </si>
  <si>
    <t>avar</t>
  </si>
  <si>
    <t>uyghur</t>
  </si>
  <si>
    <t>mongolgfx</t>
  </si>
  <si>
    <t>Khitan</t>
  </si>
  <si>
    <t>chinesegfx</t>
  </si>
  <si>
    <t>Jurchen</t>
  </si>
  <si>
    <t>Arabic</t>
  </si>
  <si>
    <t>muslimgfx</t>
  </si>
  <si>
    <t>arabicgfx</t>
  </si>
  <si>
    <t>Uses dynasty name as realm title.</t>
  </si>
  <si>
    <t>berbergfx</t>
  </si>
  <si>
    <t>Can always raid for loot. Seafaring - receives 90% discount to raised ship levies.</t>
  </si>
  <si>
    <t>levantinegfx</t>
  </si>
  <si>
    <t>East Slavic</t>
  </si>
  <si>
    <t>Converts to Russian if owner is not an unreformed pagan, not East Slavic or Finno Ugric, or is already Russian</t>
  </si>
  <si>
    <t>ilmenian</t>
  </si>
  <si>
    <t>severian</t>
  </si>
  <si>
    <t>volhynian</t>
  </si>
  <si>
    <t>West Slavic</t>
  </si>
  <si>
    <t>westernslavicgfx</t>
  </si>
  <si>
    <t>pommeranian [sic]</t>
  </si>
  <si>
    <t>bohemian</t>
  </si>
  <si>
    <t>polish</t>
  </si>
  <si>
    <t>Slovien</t>
  </si>
  <si>
    <t>slovieni [sic]</t>
  </si>
  <si>
    <t>South Slavic</t>
  </si>
  <si>
    <t>croatsouthslavicgfx</t>
  </si>
  <si>
    <t>croatian</t>
  </si>
  <si>
    <t>serbsouthslavicgfx</t>
  </si>
  <si>
    <t>serbian</t>
  </si>
  <si>
    <t>romanian</t>
  </si>
  <si>
    <t>bulgarian</t>
  </si>
  <si>
    <t>bosnian</t>
  </si>
  <si>
    <t>carantanian</t>
  </si>
  <si>
    <t>Magyar</t>
  </si>
  <si>
    <t>magyargfx</t>
  </si>
  <si>
    <t>Can use Tribal Invasion if Pagan, and either Tribal government or Elective Gavelkind succession.</t>
  </si>
  <si>
    <t>Can always raid for loot.</t>
  </si>
  <si>
    <t>Dynasty name first.</t>
  </si>
  <si>
    <t>hungarian</t>
  </si>
  <si>
    <t>Iranian</t>
  </si>
  <si>
    <t>tocharian</t>
  </si>
  <si>
    <t>baloch</t>
  </si>
  <si>
    <t>saka</t>
  </si>
  <si>
    <t>East African</t>
  </si>
  <si>
    <t>africangfx</t>
  </si>
  <si>
    <t>somali</t>
  </si>
  <si>
    <t>Independent dukes are called petty kings. Can always raid for loot.</t>
  </si>
  <si>
    <t>daju</t>
  </si>
  <si>
    <t>Central African</t>
  </si>
  <si>
    <t>westafricangfx</t>
  </si>
  <si>
    <t>manden [sic]</t>
  </si>
  <si>
    <t>soninke</t>
  </si>
  <si>
    <t>songhay</t>
  </si>
  <si>
    <t>Nahua</t>
  </si>
  <si>
    <t>Mesoamerican</t>
  </si>
  <si>
    <t>mesoamericangfx</t>
  </si>
  <si>
    <t>Ashkenazi</t>
  </si>
  <si>
    <t>Israelite</t>
  </si>
  <si>
    <t>No provinces have these cultures, but courtiers with them appear by event.</t>
  </si>
  <si>
    <t>Radhanite Quarter available for Silk Road Trade Posts</t>
  </si>
  <si>
    <t>ashkenazi</t>
  </si>
  <si>
    <t>Sephardi</t>
  </si>
  <si>
    <t>sephardi</t>
  </si>
  <si>
    <t>Indo-Aryan</t>
  </si>
  <si>
    <t>indiangfx</t>
  </si>
  <si>
    <t>Uses dynasty name as realm title</t>
  </si>
  <si>
    <t>oriya</t>
  </si>
  <si>
    <t>assamese</t>
  </si>
  <si>
    <t>sindhi</t>
  </si>
  <si>
    <t>bodpagfx</t>
  </si>
  <si>
    <t>nepali</t>
  </si>
  <si>
    <t>Dravidian</t>
  </si>
  <si>
    <t>southindiangfx</t>
  </si>
  <si>
    <t>Tibeto-Burman</t>
  </si>
  <si>
    <t>If religion is Bön or Buddhist, can adopt Monastic Feudal government</t>
  </si>
  <si>
    <t>Dynasty name first</t>
  </si>
  <si>
    <t>Can castrate prisoners via decision.</t>
  </si>
  <si>
    <t>After an Invasion of China, dynasty is more likely to remain in power.</t>
  </si>
  <si>
    <t>Can use the "Adopt Chinese Imperialism" decision.</t>
  </si>
  <si>
    <t>Horse</t>
  </si>
  <si>
    <t>horsegfx</t>
  </si>
  <si>
    <t>+10 Clan Sentiment</t>
  </si>
  <si>
    <t>+20 Mongol Opinion</t>
  </si>
  <si>
    <t>horse</t>
  </si>
  <si>
    <t>Cat</t>
  </si>
  <si>
    <t>catgfx</t>
  </si>
  <si>
    <t>Can be created through the absurd "Mittens the Spymaster" event chain, for a Lunatic  ruler who has a pet cat</t>
  </si>
  <si>
    <t>+25% Fertility</t>
  </si>
  <si>
    <t>-5 Vassal Opinion</t>
  </si>
  <si>
    <t>+20% Murder Plot Power</t>
  </si>
  <si>
    <t>cat</t>
  </si>
  <si>
    <t>Bear</t>
  </si>
  <si>
    <t>beargfx</t>
  </si>
  <si>
    <t>Can eat prisoners (graphical culture only) without incurring a "Crazy Cannibal" penalty modifier</t>
  </si>
  <si>
    <t>+15% Morale of Armies</t>
  </si>
  <si>
    <t>+10 Personal Combat Skill</t>
  </si>
  <si>
    <t>bear</t>
  </si>
  <si>
    <t>Hedgehog</t>
  </si>
  <si>
    <t>hedgehoggfx</t>
  </si>
  <si>
    <t>Can always raid for loot</t>
  </si>
  <si>
    <t>+20% Plot Power Defense</t>
  </si>
  <si>
    <t>hedgehog_culture</t>
  </si>
  <si>
    <t>Duck</t>
  </si>
  <si>
    <t>Aves</t>
  </si>
  <si>
    <t>duckgfx</t>
  </si>
  <si>
    <t>+20% Siege Speed</t>
  </si>
  <si>
    <t>duck_culture</t>
  </si>
  <si>
    <t>Dog</t>
  </si>
  <si>
    <t>Canidae</t>
  </si>
  <si>
    <t>doggfx</t>
  </si>
  <si>
    <t>+5 General Opinion</t>
  </si>
  <si>
    <t>dog_culture</t>
  </si>
  <si>
    <t>Elephant</t>
  </si>
  <si>
    <t>Proboscidea</t>
  </si>
  <si>
    <t>elephantgfx</t>
  </si>
  <si>
    <t>+2 Learning</t>
  </si>
  <si>
    <t>-25% Fertility</t>
  </si>
  <si>
    <t>+2 Health</t>
  </si>
  <si>
    <t>-20% Plot Power Defense</t>
  </si>
  <si>
    <t>+10 Personal Combat Skill</t>
  </si>
  <si>
    <t>elephant_culture</t>
  </si>
  <si>
    <t>Dragon</t>
  </si>
  <si>
    <t>Drachidae</t>
  </si>
  <si>
    <t>dragongfx</t>
  </si>
  <si>
    <t>+10% Demesne Income</t>
  </si>
  <si>
    <t>-50% Fertility</t>
  </si>
  <si>
    <t>+4 Health</t>
  </si>
  <si>
    <t>-10 General Opinion</t>
  </si>
  <si>
    <t>+30 Personal Combat Skill</t>
  </si>
  <si>
    <t>Can burn prisoners</t>
  </si>
  <si>
    <t>Can eat prisoners (graphical culture only) without incurring a "Crazy Cannibal" penalty modifier</t>
  </si>
  <si>
    <t>dragon_culture</t>
  </si>
  <si>
    <t>Red Panda</t>
  </si>
  <si>
    <t>Panda</t>
  </si>
  <si>
    <t>redpandagfx</t>
  </si>
  <si>
    <t>Vassal Opinion +5</t>
  </si>
  <si>
    <t>+10% Army Morale</t>
  </si>
  <si>
    <t>-15% Fertility</t>
  </si>
  <si>
    <t>red_panda</t>
  </si>
  <si>
    <r>
      <t>All Altaic cultures</t>
    </r>
    <r>
      <rPr>
        <sz val="11"/>
        <color rgb="FF222222"/>
        <rFont val="Arial"/>
        <family val="2"/>
      </rPr>
      <t> can raid. All Altaic cultures can use Tribal Invasion CB if Pagan, and either Tribal government or Elective Gavelkind succession.</t>
    </r>
  </si>
  <si>
    <r>
      <t>Mongol, Khitan and Jurchen</t>
    </r>
    <r>
      <rPr>
        <sz val="11"/>
        <color rgb="FF222222"/>
        <rFont val="Arial"/>
        <family val="2"/>
      </rPr>
      <t> (Horde cultures) are restricted to Agnatic succession. Without Horse Lords, Horde cultures can use Tribal Invasion if non-Christian.</t>
    </r>
  </si>
  <si>
    <r>
      <t>Mongols</t>
    </r>
    <r>
      <rPr>
        <sz val="11"/>
        <color rgb="FF222222"/>
        <rFont val="Arial"/>
        <family val="2"/>
      </rPr>
      <t> can also use the "Become Genghis Khan" decision.</t>
    </r>
  </si>
  <si>
    <r>
      <t>Khazars</t>
    </r>
    <r>
      <rPr>
        <sz val="11"/>
        <color rgb="FF222222"/>
        <rFont val="Arial"/>
        <family val="2"/>
      </rPr>
      <t>: Radhanite Quarter available for Silk Road Trade Posts</t>
    </r>
  </si>
  <si>
    <r>
      <t>Turkish, Karluk and Khitan</t>
    </r>
    <r>
      <rPr>
        <sz val="11"/>
        <color rgb="FF222222"/>
        <rFont val="Arial"/>
        <family val="2"/>
      </rPr>
      <t> use dynasty name as realm title.</t>
    </r>
  </si>
  <si>
    <r>
      <t>Khitan and Jurchen</t>
    </r>
    <r>
      <rPr>
        <sz val="11"/>
        <color rgb="FF222222"/>
        <rFont val="Arial"/>
        <family val="2"/>
      </rPr>
      <t> can use the "Adopt Chinese Imperialism" decision</t>
    </r>
  </si>
  <si>
    <r>
      <t>Horde culture: can use </t>
    </r>
    <r>
      <rPr>
        <sz val="11"/>
        <color rgb="FF0645AD"/>
        <rFont val="Arial"/>
        <family val="2"/>
      </rPr>
      <t>Tribal Invasion</t>
    </r>
    <r>
      <rPr>
        <sz val="11"/>
        <color rgb="FF222222"/>
        <rFont val="Arial"/>
        <family val="2"/>
      </rPr>
      <t> if not Christian (or if Pagan, and either Tribal government or Elective Gavelkind succession, with Horse Lords installed) restricted to </t>
    </r>
    <r>
      <rPr>
        <sz val="11"/>
        <color rgb="FF0645AD"/>
        <rFont val="Arial"/>
        <family val="2"/>
      </rPr>
      <t>Agnatic</t>
    </r>
    <r>
      <rPr>
        <sz val="11"/>
        <color rgb="FF222222"/>
        <rFont val="Arial"/>
        <family val="2"/>
      </rPr>
      <t> gender law. Can always raid for loot.</t>
    </r>
  </si>
  <si>
    <r>
      <t>Tangut</t>
    </r>
    <r>
      <rPr>
        <sz val="11"/>
        <color rgb="FF222222"/>
        <rFont val="Arial"/>
        <family val="2"/>
      </rPr>
      <t> can use the "Adopt Chinese Imperialism" decision</t>
    </r>
  </si>
  <si>
    <r>
      <t>Can be created through the </t>
    </r>
    <r>
      <rPr>
        <i/>
        <sz val="11"/>
        <color rgb="FF0645AD"/>
        <rFont val="Arial"/>
        <family val="2"/>
      </rPr>
      <t>Conclave</t>
    </r>
    <r>
      <rPr>
        <sz val="11"/>
        <color rgb="FF222222"/>
        <rFont val="Arial"/>
        <family val="2"/>
      </rPr>
      <t> or </t>
    </r>
    <r>
      <rPr>
        <i/>
        <sz val="11"/>
        <color rgb="FF0645AD"/>
        <rFont val="Arial"/>
        <family val="2"/>
      </rPr>
      <t>The Reaper's Due</t>
    </r>
    <r>
      <rPr>
        <sz val="11"/>
        <color rgb="FF222222"/>
        <rFont val="Arial"/>
        <family val="2"/>
      </rPr>
      <t> version of the events where a Lunatic  ruler </t>
    </r>
    <r>
      <rPr>
        <sz val="11"/>
        <color rgb="FF0645AD"/>
        <rFont val="Arial"/>
        <family val="2"/>
      </rPr>
      <t>appoints his horse</t>
    </r>
    <r>
      <rPr>
        <sz val="11"/>
        <color rgb="FF222222"/>
        <rFont val="Arial"/>
        <family val="2"/>
      </rPr>
      <t> the realm </t>
    </r>
    <r>
      <rPr>
        <sz val="11"/>
        <color rgb="FF0645AD"/>
        <rFont val="Arial"/>
        <family val="2"/>
      </rPr>
      <t>chancellor</t>
    </r>
    <r>
      <rPr>
        <sz val="11"/>
        <color rgb="FF222222"/>
        <rFont val="Arial"/>
        <family val="2"/>
      </rPr>
      <t> or </t>
    </r>
    <r>
      <rPr>
        <sz val="11"/>
        <color rgb="FF0645AD"/>
        <rFont val="Arial"/>
        <family val="2"/>
      </rPr>
      <t>Court Physician</t>
    </r>
    <r>
      <rPr>
        <sz val="11"/>
        <color rgb="FF222222"/>
        <rFont val="Arial"/>
        <family val="2"/>
      </rPr>
      <t>.</t>
    </r>
  </si>
  <si>
    <t>RGB</t>
  </si>
  <si>
    <t>RPG</t>
  </si>
  <si>
    <t>WP RBG Exceptions</t>
  </si>
  <si>
    <t>153, 38, 0</t>
  </si>
  <si>
    <t>179, 0, 0</t>
  </si>
  <si>
    <t>255, 255, 235</t>
  </si>
  <si>
    <t>26, 0, 0</t>
  </si>
  <si>
    <t>200, 100, 100</t>
  </si>
  <si>
    <t>200, 0, 100</t>
  </si>
  <si>
    <t>234, 201, 165</t>
  </si>
  <si>
    <t>252, 170, 0</t>
  </si>
  <si>
    <t>252, 150, 0</t>
  </si>
  <si>
    <t>252, 201, 0</t>
  </si>
  <si>
    <t>252, 100, 0</t>
  </si>
  <si>
    <t>142, 0, 170</t>
  </si>
  <si>
    <t>142, 100, 170</t>
  </si>
  <si>
    <t>142, 91, 209</t>
  </si>
  <si>
    <t>142, 37, 209</t>
  </si>
  <si>
    <t>142, 0, 209</t>
  </si>
  <si>
    <t>255, 255, 155</t>
  </si>
  <si>
    <t>255, 214, 236</t>
  </si>
  <si>
    <t>255, 255, 0</t>
  </si>
  <si>
    <t>255, 196, 194</t>
  </si>
  <si>
    <t>Sol name</t>
  </si>
  <si>
    <t>Creole</t>
  </si>
  <si>
    <t>Mediterranean</t>
  </si>
  <si>
    <t>European</t>
  </si>
  <si>
    <t>African</t>
  </si>
  <si>
    <t>Sahelian</t>
  </si>
  <si>
    <t>Bantu</t>
  </si>
  <si>
    <t>Middle Eastern</t>
  </si>
  <si>
    <t>Westerner</t>
  </si>
  <si>
    <t>Asian</t>
  </si>
  <si>
    <t>Zhonguonese</t>
  </si>
  <si>
    <t>Indonese</t>
  </si>
  <si>
    <t>Cultures if 107</t>
  </si>
  <si>
    <t>Earth with 861 provinces</t>
  </si>
  <si>
    <t>on Sol map 9/2/21?</t>
  </si>
  <si>
    <t>Westcoaster</t>
  </si>
  <si>
    <t>Aus name</t>
  </si>
  <si>
    <t>Aus group</t>
  </si>
  <si>
    <t>153, 0, 0</t>
  </si>
  <si>
    <t>on Aus map 9/9/21?</t>
  </si>
  <si>
    <t>COTC2 name</t>
  </si>
  <si>
    <t>COTC2 group</t>
  </si>
  <si>
    <t>(Reformed) Hellenic</t>
  </si>
  <si>
    <t>Same as Hellenic</t>
  </si>
  <si>
    <t>None</t>
  </si>
  <si>
    <t>Pagan</t>
  </si>
  <si>
    <t>Old Hellenic</t>
  </si>
  <si>
    <t>(Reformed) Bön</t>
  </si>
  <si>
    <t>Same as Bön</t>
  </si>
  <si>
    <t>Old Bön</t>
  </si>
  <si>
    <t>(Reformed) Zunist</t>
  </si>
  <si>
    <t>Same as Zunist</t>
  </si>
  <si>
    <t>Old Zunist</t>
  </si>
  <si>
    <t>(Reformed) Aztec</t>
  </si>
  <si>
    <t>Same as Aztec</t>
  </si>
  <si>
    <t>Old Aztec</t>
  </si>
  <si>
    <t>(Reformed) African</t>
  </si>
  <si>
    <t>Same as African</t>
  </si>
  <si>
    <t>Old African</t>
  </si>
  <si>
    <t>(Reformed) Suomenusko</t>
  </si>
  <si>
    <t>Same as Suomenusko</t>
  </si>
  <si>
    <t>Old Suomenusko</t>
  </si>
  <si>
    <t>(Reformed) Romuva</t>
  </si>
  <si>
    <t>Same as Romuva</t>
  </si>
  <si>
    <t>Old Romuva</t>
  </si>
  <si>
    <t>(Reformed) Tengri</t>
  </si>
  <si>
    <t>Same as Tengri</t>
  </si>
  <si>
    <t>Old Tengri</t>
  </si>
  <si>
    <t>(Reformed) Slavic</t>
  </si>
  <si>
    <t>Same as Slavic</t>
  </si>
  <si>
    <t>Old Slavic</t>
  </si>
  <si>
    <t>(Reformed) Germanic</t>
  </si>
  <si>
    <t>Same as Germanic</t>
  </si>
  <si>
    <t>Old Germanic</t>
  </si>
  <si>
    <t>Judaism</t>
  </si>
  <si>
    <t>Holy war</t>
  </si>
  <si>
    <t>Karaite</t>
  </si>
  <si>
    <t>Samaritan</t>
  </si>
  <si>
    <t>Can choose a Patron Deity, reincarnations</t>
  </si>
  <si>
    <t>Mazdan</t>
  </si>
  <si>
    <t>Manichaean has its own holy sites. They are Khozistan, Samarkand, Baghdad, Jerusalem and Udabhanda.</t>
  </si>
  <si>
    <t>Manichean is the only heresy with a separate Holy order.</t>
  </si>
  <si>
    <r>
      <t>Holy war</t>
    </r>
    <r>
      <rPr>
        <sz val="8"/>
        <color rgb="FF202122"/>
        <rFont val="Arial"/>
        <family val="2"/>
      </rPr>
      <t>, </t>
    </r>
    <r>
      <rPr>
        <sz val="8"/>
        <color rgb="FF0645AD"/>
        <rFont val="Arial"/>
        <family val="2"/>
      </rPr>
      <t>Sanctioned Invasion</t>
    </r>
  </si>
  <si>
    <t>Manichaean rulers can order courtiers to take monastic vows, like Christians, and have access to reincarnation events like Dharmics</t>
  </si>
  <si>
    <t> The Manichean Church (official title), Yamag (holding character's title).</t>
  </si>
  <si>
    <r>
      <t>Absolute Cognatic succession</t>
    </r>
    <r>
      <rPr>
        <sz val="8"/>
        <color rgb="FF202122"/>
        <rFont val="Arial"/>
        <family val="2"/>
      </rPr>
      <t>; female temple holders, </t>
    </r>
    <r>
      <rPr>
        <sz val="8"/>
        <color rgb="FF0645AD"/>
        <rFont val="Arial"/>
        <family val="2"/>
      </rPr>
      <t>commanders</t>
    </r>
    <r>
      <rPr>
        <sz val="8"/>
        <color rgb="FF202122"/>
        <rFont val="Arial"/>
        <family val="2"/>
      </rPr>
      <t> but NOT </t>
    </r>
    <r>
      <rPr>
        <sz val="8"/>
        <color rgb="FF0645AD"/>
        <rFont val="Arial"/>
        <family val="2"/>
      </rPr>
      <t>councillors</t>
    </r>
    <r>
      <rPr>
        <sz val="8"/>
        <color rgb="FF202122"/>
        <rFont val="Arial"/>
        <family val="2"/>
      </rPr>
      <t> (except the spiritual advisor), no penalty for female rulers/heirs, reincarnations. No concubines nor Divine Marriage mechanics.</t>
    </r>
  </si>
  <si>
    <r>
      <t>Holy war</t>
    </r>
    <r>
      <rPr>
        <sz val="8"/>
        <color rgb="FF202122"/>
        <rFont val="Arial"/>
        <family val="2"/>
      </rPr>
      <t> (also vs non-Hurufi, non-heretic Muslims), </t>
    </r>
    <r>
      <rPr>
        <sz val="8"/>
        <color rgb="FF0645AD"/>
        <rFont val="Arial"/>
        <family val="2"/>
      </rPr>
      <t>Muslim Invasion</t>
    </r>
    <r>
      <rPr>
        <sz val="8"/>
        <color rgb="FF202122"/>
        <rFont val="Arial"/>
        <family val="2"/>
      </rPr>
      <t>, </t>
    </r>
    <r>
      <rPr>
        <sz val="8"/>
        <color rgb="FF0645AD"/>
        <rFont val="Arial"/>
        <family val="2"/>
      </rPr>
      <t>County Conquest</t>
    </r>
  </si>
  <si>
    <r>
      <t>Decadence</t>
    </r>
    <r>
      <rPr>
        <sz val="8"/>
        <color rgb="FF202122"/>
        <rFont val="Arial"/>
        <family val="2"/>
      </rPr>
      <t>, </t>
    </r>
    <r>
      <rPr>
        <sz val="8"/>
        <color rgb="FF0645AD"/>
        <rFont val="Arial"/>
        <family val="2"/>
      </rPr>
      <t>Polygamy</t>
    </r>
    <r>
      <rPr>
        <sz val="8"/>
        <color rgb="FF202122"/>
        <rFont val="Arial"/>
        <family val="2"/>
      </rPr>
      <t>, </t>
    </r>
    <r>
      <rPr>
        <sz val="8"/>
        <color rgb="FF0645AD"/>
        <rFont val="Arial"/>
        <family val="2"/>
      </rPr>
      <t>Jihads</t>
    </r>
  </si>
  <si>
    <t> The Hurufi Skeikhdom [sic] (once established)</t>
  </si>
  <si>
    <t>Islam</t>
  </si>
  <si>
    <t>Hurufi</t>
  </si>
  <si>
    <r>
      <t>Holy war</t>
    </r>
    <r>
      <rPr>
        <sz val="8"/>
        <color rgb="FF202122"/>
        <rFont val="Arial"/>
        <family val="2"/>
      </rPr>
      <t> (also vs non-Druze, non-heretic Muslims), </t>
    </r>
    <r>
      <rPr>
        <sz val="8"/>
        <color rgb="FF0645AD"/>
        <rFont val="Arial"/>
        <family val="2"/>
      </rPr>
      <t>Muslim Invasion</t>
    </r>
    <r>
      <rPr>
        <sz val="8"/>
        <color rgb="FF202122"/>
        <rFont val="Arial"/>
        <family val="2"/>
      </rPr>
      <t>, </t>
    </r>
    <r>
      <rPr>
        <sz val="8"/>
        <color rgb="FF0645AD"/>
        <rFont val="Arial"/>
        <family val="2"/>
      </rPr>
      <t>County Conquest</t>
    </r>
  </si>
  <si>
    <r>
      <t>Decadence</t>
    </r>
    <r>
      <rPr>
        <sz val="8"/>
        <color rgb="FF202122"/>
        <rFont val="Arial"/>
        <family val="2"/>
      </rPr>
      <t>, </t>
    </r>
    <r>
      <rPr>
        <sz val="8"/>
        <color rgb="FF0645AD"/>
        <rFont val="Arial"/>
        <family val="2"/>
      </rPr>
      <t>Polygamy</t>
    </r>
    <r>
      <rPr>
        <sz val="8"/>
        <color rgb="FF202122"/>
        <rFont val="Arial"/>
        <family val="2"/>
      </rPr>
      <t>, reincarnations</t>
    </r>
  </si>
  <si>
    <r>
      <t>Holy war</t>
    </r>
    <r>
      <rPr>
        <sz val="8"/>
        <color rgb="FF202122"/>
        <rFont val="Arial"/>
        <family val="2"/>
      </rPr>
      <t> (also vs non-Qarmatian, non-heretic Muslims), </t>
    </r>
    <r>
      <rPr>
        <sz val="8"/>
        <color rgb="FF0645AD"/>
        <rFont val="Arial"/>
        <family val="2"/>
      </rPr>
      <t>Muslim Invasion</t>
    </r>
    <r>
      <rPr>
        <sz val="8"/>
        <color rgb="FF202122"/>
        <rFont val="Arial"/>
        <family val="2"/>
      </rPr>
      <t>, </t>
    </r>
    <r>
      <rPr>
        <sz val="8"/>
        <color rgb="FF0645AD"/>
        <rFont val="Arial"/>
        <family val="2"/>
      </rPr>
      <t>County Conquest</t>
    </r>
  </si>
  <si>
    <r>
      <t>Decadence</t>
    </r>
    <r>
      <rPr>
        <sz val="8"/>
        <color rgb="FF202122"/>
        <rFont val="Arial"/>
        <family val="2"/>
      </rPr>
      <t>, </t>
    </r>
    <r>
      <rPr>
        <sz val="8"/>
        <color rgb="FF0645AD"/>
        <rFont val="Arial"/>
        <family val="2"/>
      </rPr>
      <t>Polygamy</t>
    </r>
    <r>
      <rPr>
        <sz val="8"/>
        <color rgb="FF202122"/>
        <rFont val="Arial"/>
        <family val="2"/>
      </rPr>
      <t>, </t>
    </r>
    <r>
      <rPr>
        <sz val="8"/>
        <color rgb="FF0645AD"/>
        <rFont val="Arial"/>
        <family val="2"/>
      </rPr>
      <t>Jihads</t>
    </r>
    <r>
      <rPr>
        <sz val="8"/>
        <color rgb="FF202122"/>
        <rFont val="Arial"/>
        <family val="2"/>
      </rPr>
      <t>, </t>
    </r>
    <r>
      <rPr>
        <sz val="8"/>
        <color rgb="FF0645AD"/>
        <rFont val="Arial"/>
        <family val="2"/>
      </rPr>
      <t>Raiding</t>
    </r>
    <r>
      <rPr>
        <sz val="8"/>
        <color rgb="FF202122"/>
        <rFont val="Arial"/>
        <family val="2"/>
      </rPr>
      <t>. Cannot take part in the Hajj. Vassals do not mind if their levies are raised. Rulers lose prestige if at peace for too long. No Jizya tax.</t>
    </r>
  </si>
  <si>
    <t> The Qarmatian Caliphate (once established)</t>
  </si>
  <si>
    <t>Qarmatian</t>
  </si>
  <si>
    <t>As Ibadi</t>
  </si>
  <si>
    <t> The Kharijite Caliphate (once established)</t>
  </si>
  <si>
    <t>Yazidi has its own holy sites. They are Nishapur, Fars, Mosul, Mecca, and Jerusalem.</t>
  </si>
  <si>
    <r>
      <t>Holy war</t>
    </r>
    <r>
      <rPr>
        <sz val="8"/>
        <color rgb="FF202122"/>
        <rFont val="Arial"/>
        <family val="2"/>
      </rPr>
      <t> (also vs non-Yazidi, non-heretic Muslims), </t>
    </r>
    <r>
      <rPr>
        <sz val="8"/>
        <color rgb="FF0645AD"/>
        <rFont val="Arial"/>
        <family val="2"/>
      </rPr>
      <t>Muslim Invasion</t>
    </r>
    <r>
      <rPr>
        <sz val="8"/>
        <color rgb="FF202122"/>
        <rFont val="Arial"/>
        <family val="2"/>
      </rPr>
      <t>, </t>
    </r>
    <r>
      <rPr>
        <sz val="8"/>
        <color rgb="FF0645AD"/>
        <rFont val="Arial"/>
        <family val="2"/>
      </rPr>
      <t>County Conquest</t>
    </r>
    <r>
      <rPr>
        <sz val="8"/>
        <color rgb="FF202122"/>
        <rFont val="Arial"/>
        <family val="2"/>
      </rPr>
      <t>, </t>
    </r>
    <r>
      <rPr>
        <sz val="8"/>
        <color rgb="FF0645AD"/>
        <rFont val="Arial"/>
        <family val="2"/>
      </rPr>
      <t>Jihads</t>
    </r>
    <r>
      <rPr>
        <sz val="8"/>
        <color rgb="FF202122"/>
        <rFont val="Arial"/>
        <family val="2"/>
      </rPr>
      <t>, </t>
    </r>
    <r>
      <rPr>
        <sz val="8"/>
        <color rgb="FF0645AD"/>
        <rFont val="Arial"/>
        <family val="2"/>
      </rPr>
      <t>Caliphal Subjugation</t>
    </r>
  </si>
  <si>
    <r>
      <t>Decadence</t>
    </r>
    <r>
      <rPr>
        <sz val="8"/>
        <color rgb="FF202122"/>
        <rFont val="Arial"/>
        <family val="2"/>
      </rPr>
      <t>, </t>
    </r>
    <r>
      <rPr>
        <sz val="8"/>
        <color rgb="FF0645AD"/>
        <rFont val="Arial"/>
        <family val="2"/>
      </rPr>
      <t>Polygamy</t>
    </r>
    <r>
      <rPr>
        <sz val="8"/>
        <color rgb="FF202122"/>
        <rFont val="Arial"/>
        <family val="2"/>
      </rPr>
      <t>, </t>
    </r>
    <r>
      <rPr>
        <sz val="8"/>
        <color rgb="FF0645AD"/>
        <rFont val="Arial"/>
        <family val="2"/>
      </rPr>
      <t>Jihads</t>
    </r>
    <r>
      <rPr>
        <sz val="8"/>
        <color rgb="FF202122"/>
        <rFont val="Arial"/>
        <family val="2"/>
      </rPr>
      <t>, </t>
    </r>
    <r>
      <rPr>
        <sz val="8"/>
        <color rgb="FF0645AD"/>
        <rFont val="Arial"/>
        <family val="2"/>
      </rPr>
      <t>Excommunication</t>
    </r>
  </si>
  <si>
    <t> The Yazidi Sheikhdom (once established)</t>
  </si>
  <si>
    <t>Yazidi</t>
  </si>
  <si>
    <r>
      <t>Holy war</t>
    </r>
    <r>
      <rPr>
        <sz val="8"/>
        <color rgb="FF202122"/>
        <rFont val="Arial"/>
        <family val="2"/>
      </rPr>
      <t> (also vs non-Zikri, non-heretic Muslims), </t>
    </r>
    <r>
      <rPr>
        <sz val="8"/>
        <color rgb="FF0645AD"/>
        <rFont val="Arial"/>
        <family val="2"/>
      </rPr>
      <t>Muslim Invasion</t>
    </r>
    <r>
      <rPr>
        <sz val="8"/>
        <color rgb="FF202122"/>
        <rFont val="Arial"/>
        <family val="2"/>
      </rPr>
      <t>, </t>
    </r>
    <r>
      <rPr>
        <sz val="8"/>
        <color rgb="FF0645AD"/>
        <rFont val="Arial"/>
        <family val="2"/>
      </rPr>
      <t>County Conquest</t>
    </r>
  </si>
  <si>
    <r>
      <t>Decadence</t>
    </r>
    <r>
      <rPr>
        <sz val="8"/>
        <color rgb="FF202122"/>
        <rFont val="Arial"/>
        <family val="2"/>
      </rPr>
      <t>, </t>
    </r>
    <r>
      <rPr>
        <sz val="8"/>
        <color rgb="FF0645AD"/>
        <rFont val="Arial"/>
        <family val="2"/>
      </rPr>
      <t>Polygamy</t>
    </r>
  </si>
  <si>
    <t>Zikri</t>
  </si>
  <si>
    <t>Orthodoxy</t>
  </si>
  <si>
    <t>As Orthodox</t>
  </si>
  <si>
    <r>
      <t>Autocephaly</t>
    </r>
    <r>
      <rPr>
        <sz val="8"/>
        <color rgb="FF202122"/>
        <rFont val="Arial"/>
        <family val="2"/>
      </rPr>
      <t>, </t>
    </r>
    <r>
      <rPr>
        <sz val="8"/>
        <color rgb="FF0645AD"/>
        <rFont val="Arial"/>
        <family val="2"/>
      </rPr>
      <t>Excommunication</t>
    </r>
    <r>
      <rPr>
        <sz val="8"/>
        <color rgb="FF202122"/>
        <rFont val="Arial"/>
        <family val="2"/>
      </rPr>
      <t>, </t>
    </r>
    <r>
      <rPr>
        <sz val="8"/>
        <color rgb="FF0645AD"/>
        <rFont val="Arial"/>
        <family val="2"/>
      </rPr>
      <t>Mending the Great Schism</t>
    </r>
  </si>
  <si>
    <t> The Paulician Patriarchate</t>
  </si>
  <si>
    <t>Christianity</t>
  </si>
  <si>
    <t> The Iconoclast Patriachate (once established)</t>
  </si>
  <si>
    <t> The Monothelite Partriarchate</t>
  </si>
  <si>
    <t>Female temple holders, no penalty for female rulers/heirs</t>
  </si>
  <si>
    <r>
      <t>Absolute Cognatic succession</t>
    </r>
    <r>
      <rPr>
        <sz val="8"/>
        <color rgb="FF202122"/>
        <rFont val="Arial"/>
        <family val="2"/>
      </rPr>
      <t>; female temple holders, </t>
    </r>
    <r>
      <rPr>
        <sz val="8"/>
        <color rgb="FF0645AD"/>
        <rFont val="Arial"/>
        <family val="2"/>
      </rPr>
      <t>councillors</t>
    </r>
    <r>
      <rPr>
        <sz val="8"/>
        <color rgb="FF202122"/>
        <rFont val="Arial"/>
        <family val="2"/>
      </rPr>
      <t> and </t>
    </r>
    <r>
      <rPr>
        <sz val="8"/>
        <color rgb="FF0645AD"/>
        <rFont val="Arial"/>
        <family val="2"/>
      </rPr>
      <t>commanders</t>
    </r>
    <r>
      <rPr>
        <sz val="8"/>
        <color rgb="FF202122"/>
        <rFont val="Arial"/>
        <family val="2"/>
      </rPr>
      <t>, no penalty for female rulers/heirs, </t>
    </r>
    <r>
      <rPr>
        <sz val="8"/>
        <color rgb="FF0645AD"/>
        <rFont val="Arial"/>
        <family val="2"/>
      </rPr>
      <t>Divine marriage</t>
    </r>
  </si>
  <si>
    <t>Messalian</t>
  </si>
  <si>
    <r>
      <t>Autocephaly</t>
    </r>
    <r>
      <rPr>
        <sz val="8"/>
        <color rgb="FF202122"/>
        <rFont val="Arial"/>
        <family val="2"/>
      </rPr>
      <t>, </t>
    </r>
    <r>
      <rPr>
        <sz val="8"/>
        <color rgb="FF0645AD"/>
        <rFont val="Arial"/>
        <family val="2"/>
      </rPr>
      <t>Excommunication</t>
    </r>
  </si>
  <si>
    <t> The Monophysite Papacy</t>
  </si>
  <si>
    <t>Monophysite</t>
  </si>
  <si>
    <t>Catholicism</t>
  </si>
  <si>
    <t>Lollard</t>
  </si>
  <si>
    <t>Waldensian</t>
  </si>
  <si>
    <t>As Catholic</t>
  </si>
  <si>
    <r>
      <t>Excommunication</t>
    </r>
    <r>
      <rPr>
        <sz val="8"/>
        <color rgb="FF202122"/>
        <rFont val="Arial"/>
        <family val="2"/>
      </rPr>
      <t>, </t>
    </r>
    <r>
      <rPr>
        <sz val="8"/>
        <color rgb="FF0645AD"/>
        <rFont val="Arial"/>
        <family val="2"/>
      </rPr>
      <t>College of Cardinals</t>
    </r>
    <r>
      <rPr>
        <sz val="8"/>
        <color rgb="FF202122"/>
        <rFont val="Arial"/>
        <family val="2"/>
      </rPr>
      <t>, </t>
    </r>
    <r>
      <rPr>
        <sz val="8"/>
        <color rgb="FF0645AD"/>
        <rFont val="Arial"/>
        <family val="2"/>
      </rPr>
      <t>Investiture</t>
    </r>
    <r>
      <rPr>
        <sz val="8"/>
        <color rgb="FF202122"/>
        <rFont val="Arial"/>
        <family val="2"/>
      </rPr>
      <t>, </t>
    </r>
    <r>
      <rPr>
        <sz val="8"/>
        <color rgb="FF0645AD"/>
        <rFont val="Arial"/>
        <family val="2"/>
      </rPr>
      <t>Antipope</t>
    </r>
    <r>
      <rPr>
        <sz val="8"/>
        <color rgb="FF202122"/>
        <rFont val="Arial"/>
        <family val="2"/>
      </rPr>
      <t>, </t>
    </r>
    <r>
      <rPr>
        <sz val="8"/>
        <color rgb="FF0645AD"/>
        <rFont val="Arial"/>
        <family val="2"/>
      </rPr>
      <t>Crusades</t>
    </r>
    <r>
      <rPr>
        <sz val="8"/>
        <color rgb="FF202122"/>
        <rFont val="Arial"/>
        <family val="2"/>
      </rPr>
      <t>, </t>
    </r>
    <r>
      <rPr>
        <sz val="8"/>
        <color rgb="FF0645AD"/>
        <rFont val="Arial"/>
        <family val="2"/>
      </rPr>
      <t>Pilgrimage</t>
    </r>
  </si>
  <si>
    <t> The Fraticelli Pope (once established)</t>
  </si>
  <si>
    <t>Fraticelli</t>
  </si>
  <si>
    <r>
      <t>Absolute Cognatic succession</t>
    </r>
    <r>
      <rPr>
        <sz val="8"/>
        <color rgb="FF202122"/>
        <rFont val="Arial"/>
        <family val="2"/>
      </rPr>
      <t>; female temple holders, </t>
    </r>
    <r>
      <rPr>
        <sz val="8"/>
        <color rgb="FF0645AD"/>
        <rFont val="Arial"/>
        <family val="2"/>
      </rPr>
      <t>councillors</t>
    </r>
    <r>
      <rPr>
        <sz val="8"/>
        <color rgb="FF202122"/>
        <rFont val="Arial"/>
        <family val="2"/>
      </rPr>
      <t> and </t>
    </r>
    <r>
      <rPr>
        <sz val="8"/>
        <color rgb="FF0645AD"/>
        <rFont val="Arial"/>
        <family val="2"/>
      </rPr>
      <t>commanders</t>
    </r>
    <r>
      <rPr>
        <sz val="8"/>
        <color rgb="FF202122"/>
        <rFont val="Arial"/>
        <family val="2"/>
      </rPr>
      <t>, no penalty for female rulers/heirs</t>
    </r>
  </si>
  <si>
    <t>Cathar</t>
  </si>
  <si>
    <t>No</t>
  </si>
  <si>
    <r>
      <t>County Conquest</t>
    </r>
    <r>
      <rPr>
        <sz val="8"/>
        <color rgb="FF202122"/>
        <rFont val="Arial"/>
        <family val="2"/>
      </rPr>
      <t>, </t>
    </r>
    <r>
      <rPr>
        <sz val="8"/>
        <color rgb="FF0645AD"/>
        <rFont val="Arial"/>
        <family val="2"/>
      </rPr>
      <t>Subjugation</t>
    </r>
  </si>
  <si>
    <r>
      <t>Concubinage</t>
    </r>
    <r>
      <rPr>
        <sz val="8"/>
        <color rgb="FF202122"/>
        <rFont val="Arial"/>
        <family val="2"/>
      </rPr>
      <t>, defensive </t>
    </r>
    <r>
      <rPr>
        <sz val="8"/>
        <color rgb="FF0645AD"/>
        <rFont val="Arial"/>
        <family val="2"/>
      </rPr>
      <t>attrition</t>
    </r>
  </si>
  <si>
    <t> Collegium Pontificum</t>
  </si>
  <si>
    <t>Reformed Hellenic</t>
  </si>
  <si>
    <t>Athens</t>
  </si>
  <si>
    <t>Thessalonica</t>
  </si>
  <si>
    <t>Unrestricted succession laws, astrology, haruspicy, female temple holders</t>
  </si>
  <si>
    <t>Syrakusa</t>
  </si>
  <si>
    <t> The Sacred Bön Hierarchy</t>
  </si>
  <si>
    <t>Reformed Bön</t>
  </si>
  <si>
    <t>Garrison size +40%</t>
  </si>
  <si>
    <t>All Units Defensive +80%</t>
  </si>
  <si>
    <t>Home territory:</t>
  </si>
  <si>
    <r>
      <t>Raiding</t>
    </r>
    <r>
      <rPr>
        <sz val="8"/>
        <color rgb="FF202122"/>
        <rFont val="Arial"/>
        <family val="2"/>
      </rPr>
      <t>, Patron Gods, </t>
    </r>
    <r>
      <rPr>
        <sz val="8"/>
        <color rgb="FF0645AD"/>
        <rFont val="Arial"/>
        <family val="2"/>
      </rPr>
      <t>Concubinage</t>
    </r>
    <r>
      <rPr>
        <sz val="8"/>
        <color rgb="FF202122"/>
        <rFont val="Arial"/>
        <family val="2"/>
      </rPr>
      <t>, female temple holders, defensive </t>
    </r>
    <r>
      <rPr>
        <sz val="8"/>
        <color rgb="FF0645AD"/>
        <rFont val="Arial"/>
        <family val="2"/>
      </rPr>
      <t>attrition</t>
    </r>
    <r>
      <rPr>
        <sz val="8"/>
        <color rgb="FF202122"/>
        <rFont val="Arial"/>
        <family val="2"/>
      </rPr>
      <t>, reincarnation</t>
    </r>
  </si>
  <si>
    <r>
      <t>Holy war</t>
    </r>
    <r>
      <rPr>
        <sz val="8"/>
        <color rgb="FF202122"/>
        <rFont val="Arial"/>
        <family val="2"/>
      </rPr>
      <t> (costs 100 piety with 5 year truce), </t>
    </r>
    <r>
      <rPr>
        <sz val="8"/>
        <color rgb="FF0645AD"/>
        <rFont val="Arial"/>
        <family val="2"/>
      </rPr>
      <t>County Conquest</t>
    </r>
    <r>
      <rPr>
        <sz val="8"/>
        <color rgb="FF202122"/>
        <rFont val="Arial"/>
        <family val="2"/>
      </rPr>
      <t>, </t>
    </r>
    <r>
      <rPr>
        <sz val="8"/>
        <color rgb="FF0645AD"/>
        <rFont val="Arial"/>
        <family val="2"/>
      </rPr>
      <t>Great holy wars</t>
    </r>
  </si>
  <si>
    <t>Concubinage</t>
  </si>
  <si>
    <t> The Church of Zun</t>
  </si>
  <si>
    <t>Reformed Zunist</t>
  </si>
  <si>
    <t>Heavy infantry defensive: +20%</t>
  </si>
  <si>
    <t>Heavy infantry offensive: +20%</t>
  </si>
  <si>
    <t>Levy size +30%</t>
  </si>
  <si>
    <r>
      <t>Concubinage</t>
    </r>
    <r>
      <rPr>
        <sz val="8"/>
        <color rgb="FF202122"/>
        <rFont val="Arial"/>
        <family val="2"/>
      </rPr>
      <t>, </t>
    </r>
    <r>
      <rPr>
        <sz val="8"/>
        <color rgb="FF0645AD"/>
        <rFont val="Arial"/>
        <family val="2"/>
      </rPr>
      <t>Reformation</t>
    </r>
    <r>
      <rPr>
        <sz val="8"/>
        <color rgb="FF202122"/>
        <rFont val="Arial"/>
        <family val="2"/>
      </rPr>
      <t>, defensive </t>
    </r>
    <r>
      <rPr>
        <sz val="8"/>
        <color rgb="FF0645AD"/>
        <rFont val="Arial"/>
        <family val="2"/>
      </rPr>
      <t>attrition</t>
    </r>
  </si>
  <si>
    <r>
      <t>Holy war</t>
    </r>
    <r>
      <rPr>
        <sz val="8"/>
        <color rgb="FF202122"/>
        <rFont val="Arial"/>
        <family val="2"/>
      </rPr>
      <t> (costs 100 piety with 5 year truce), </t>
    </r>
    <r>
      <rPr>
        <sz val="8"/>
        <color rgb="FF0645AD"/>
        <rFont val="Arial"/>
        <family val="2"/>
      </rPr>
      <t>County Conquest</t>
    </r>
    <r>
      <rPr>
        <sz val="8"/>
        <color rgb="FF202122"/>
        <rFont val="Arial"/>
        <family val="2"/>
      </rPr>
      <t>, </t>
    </r>
    <r>
      <rPr>
        <sz val="8"/>
        <color rgb="FF0645AD"/>
        <rFont val="Arial"/>
        <family val="2"/>
      </rPr>
      <t>Tribal Invasion</t>
    </r>
    <r>
      <rPr>
        <sz val="8"/>
        <color rgb="FF202122"/>
        <rFont val="Arial"/>
        <family val="2"/>
      </rPr>
      <t>, </t>
    </r>
    <r>
      <rPr>
        <sz val="8"/>
        <color rgb="FF0645AD"/>
        <rFont val="Arial"/>
        <family val="2"/>
      </rPr>
      <t>Great holy wars</t>
    </r>
  </si>
  <si>
    <t> The Aztec Hierocracy</t>
  </si>
  <si>
    <t>Reformed Aztec</t>
  </si>
  <si>
    <t>Marrakesh</t>
  </si>
  <si>
    <r>
      <t>County Conquest</t>
    </r>
    <r>
      <rPr>
        <sz val="8"/>
        <color rgb="FF202122"/>
        <rFont val="Arial"/>
        <family val="2"/>
      </rPr>
      <t>, </t>
    </r>
    <r>
      <rPr>
        <sz val="8"/>
        <color rgb="FF0645AD"/>
        <rFont val="Arial"/>
        <family val="2"/>
      </rPr>
      <t>Tribal Invasion</t>
    </r>
  </si>
  <si>
    <r>
      <t>Concubinage</t>
    </r>
    <r>
      <rPr>
        <sz val="8"/>
        <color rgb="FF202122"/>
        <rFont val="Arial"/>
        <family val="2"/>
      </rPr>
      <t>, </t>
    </r>
    <r>
      <rPr>
        <sz val="8"/>
        <color rgb="FF0645AD"/>
        <rFont val="Arial"/>
        <family val="2"/>
      </rPr>
      <t>prestige</t>
    </r>
    <r>
      <rPr>
        <sz val="8"/>
        <color rgb="FF202122"/>
        <rFont val="Arial"/>
        <family val="2"/>
      </rPr>
      <t> loss while at peace, no penalty from raised vassal </t>
    </r>
    <r>
      <rPr>
        <sz val="8"/>
        <color rgb="FF0645AD"/>
        <rFont val="Arial"/>
        <family val="2"/>
      </rPr>
      <t>levies</t>
    </r>
  </si>
  <si>
    <t>Aztec</t>
  </si>
  <si>
    <r>
      <t>Raiding</t>
    </r>
    <r>
      <rPr>
        <sz val="8"/>
        <color rgb="FF202122"/>
        <rFont val="Arial"/>
        <family val="2"/>
      </rPr>
      <t>, </t>
    </r>
    <r>
      <rPr>
        <sz val="8"/>
        <color rgb="FF0645AD"/>
        <rFont val="Arial"/>
        <family val="2"/>
      </rPr>
      <t>Concubinage</t>
    </r>
    <r>
      <rPr>
        <sz val="8"/>
        <color rgb="FF202122"/>
        <rFont val="Arial"/>
        <family val="2"/>
      </rPr>
      <t>, </t>
    </r>
    <r>
      <rPr>
        <sz val="8"/>
        <color rgb="FF0645AD"/>
        <rFont val="Arial"/>
        <family val="2"/>
      </rPr>
      <t>Great holy wars</t>
    </r>
    <r>
      <rPr>
        <sz val="8"/>
        <color rgb="FF202122"/>
        <rFont val="Arial"/>
        <family val="2"/>
      </rPr>
      <t>, female temple holders</t>
    </r>
  </si>
  <si>
    <t> The African Congregation</t>
  </si>
  <si>
    <t>Reformed African</t>
  </si>
  <si>
    <r>
      <t>Raiding</t>
    </r>
    <r>
      <rPr>
        <sz val="8"/>
        <color rgb="FF202122"/>
        <rFont val="Arial"/>
        <family val="2"/>
      </rPr>
      <t>, </t>
    </r>
    <r>
      <rPr>
        <sz val="8"/>
        <color rgb="FF0645AD"/>
        <rFont val="Arial"/>
        <family val="2"/>
      </rPr>
      <t>Concubinage</t>
    </r>
    <r>
      <rPr>
        <sz val="8"/>
        <color rgb="FF202122"/>
        <rFont val="Arial"/>
        <family val="2"/>
      </rPr>
      <t>, </t>
    </r>
    <r>
      <rPr>
        <sz val="8"/>
        <color rgb="FF0645AD"/>
        <rFont val="Arial"/>
        <family val="2"/>
      </rPr>
      <t>Reformation</t>
    </r>
    <r>
      <rPr>
        <sz val="8"/>
        <color rgb="FF202122"/>
        <rFont val="Arial"/>
        <family val="2"/>
      </rPr>
      <t>, female temple holders, defensive </t>
    </r>
    <r>
      <rPr>
        <sz val="8"/>
        <color rgb="FF0645AD"/>
        <rFont val="Arial"/>
        <family val="2"/>
      </rPr>
      <t>attrition</t>
    </r>
    <r>
      <rPr>
        <sz val="8"/>
        <color rgb="FF202122"/>
        <rFont val="Arial"/>
        <family val="2"/>
      </rPr>
      <t>, reincarnation</t>
    </r>
  </si>
  <si>
    <t>Garrison size +30%</t>
  </si>
  <si>
    <t>Levy size +10%</t>
  </si>
  <si>
    <r>
      <t>Raiding</t>
    </r>
    <r>
      <rPr>
        <sz val="8"/>
        <color rgb="FF202122"/>
        <rFont val="Arial"/>
        <family val="2"/>
      </rPr>
      <t>, </t>
    </r>
    <r>
      <rPr>
        <sz val="8"/>
        <color rgb="FF0645AD"/>
        <rFont val="Arial"/>
        <family val="2"/>
      </rPr>
      <t>Concubinage</t>
    </r>
    <r>
      <rPr>
        <sz val="8"/>
        <color rgb="FF202122"/>
        <rFont val="Arial"/>
        <family val="2"/>
      </rPr>
      <t>, female temple holders</t>
    </r>
  </si>
  <si>
    <t> The Sacred Woods</t>
  </si>
  <si>
    <t>Reformed Suomenusko</t>
  </si>
  <si>
    <r>
      <t>Raiding</t>
    </r>
    <r>
      <rPr>
        <sz val="8"/>
        <color rgb="FF202122"/>
        <rFont val="Arial"/>
        <family val="2"/>
      </rPr>
      <t>, </t>
    </r>
    <r>
      <rPr>
        <sz val="8"/>
        <color rgb="FF0645AD"/>
        <rFont val="Arial"/>
        <family val="2"/>
      </rPr>
      <t>Concubinage</t>
    </r>
    <r>
      <rPr>
        <sz val="8"/>
        <color rgb="FF202122"/>
        <rFont val="Arial"/>
        <family val="2"/>
      </rPr>
      <t>, </t>
    </r>
    <r>
      <rPr>
        <sz val="8"/>
        <color rgb="FF0645AD"/>
        <rFont val="Arial"/>
        <family val="2"/>
      </rPr>
      <t>Reformation</t>
    </r>
    <r>
      <rPr>
        <sz val="8"/>
        <color rgb="FF202122"/>
        <rFont val="Arial"/>
        <family val="2"/>
      </rPr>
      <t>, female temple holders, defensive </t>
    </r>
    <r>
      <rPr>
        <sz val="8"/>
        <color rgb="FF0645AD"/>
        <rFont val="Arial"/>
        <family val="2"/>
      </rPr>
      <t>attrition</t>
    </r>
    <r>
      <rPr>
        <sz val="8"/>
        <color rgb="FF202122"/>
        <rFont val="Arial"/>
        <family val="2"/>
      </rPr>
      <t>, 200% short reign penalty</t>
    </r>
  </si>
  <si>
    <t>Garrison size +20%</t>
  </si>
  <si>
    <t>Levy size +20%</t>
  </si>
  <si>
    <t> The Romuvan Congregation</t>
  </si>
  <si>
    <t>Reformed Romuva</t>
  </si>
  <si>
    <t>Zemigalians</t>
  </si>
  <si>
    <r>
      <t>Raiding</t>
    </r>
    <r>
      <rPr>
        <sz val="8"/>
        <color rgb="FF202122"/>
        <rFont val="Arial"/>
        <family val="2"/>
      </rPr>
      <t>, </t>
    </r>
    <r>
      <rPr>
        <sz val="8"/>
        <color rgb="FF0645AD"/>
        <rFont val="Arial"/>
        <family val="2"/>
      </rPr>
      <t>Concubinage</t>
    </r>
    <r>
      <rPr>
        <sz val="8"/>
        <color rgb="FF202122"/>
        <rFont val="Arial"/>
        <family val="2"/>
      </rPr>
      <t>, </t>
    </r>
    <r>
      <rPr>
        <sz val="8"/>
        <color rgb="FF0645AD"/>
        <rFont val="Arial"/>
        <family val="2"/>
      </rPr>
      <t>Great holy wars</t>
    </r>
  </si>
  <si>
    <t> The Sky-Temple</t>
  </si>
  <si>
    <t>Reformed Tengri</t>
  </si>
  <si>
    <t>Otuken</t>
  </si>
  <si>
    <t>Light Cav Defensive +30%</t>
  </si>
  <si>
    <t>Light Cav Offensive +30%</t>
  </si>
  <si>
    <r>
      <t>County Conquest</t>
    </r>
    <r>
      <rPr>
        <sz val="8"/>
        <color rgb="FF202122"/>
        <rFont val="Arial"/>
        <family val="2"/>
      </rPr>
      <t>, </t>
    </r>
    <r>
      <rPr>
        <sz val="8"/>
        <color rgb="FF0645AD"/>
        <rFont val="Arial"/>
        <family val="2"/>
      </rPr>
      <t>Subjugation</t>
    </r>
    <r>
      <rPr>
        <sz val="8"/>
        <color rgb="FF202122"/>
        <rFont val="Arial"/>
        <family val="2"/>
      </rPr>
      <t>, </t>
    </r>
    <r>
      <rPr>
        <sz val="8"/>
        <color rgb="FF0645AD"/>
        <rFont val="Arial"/>
        <family val="2"/>
      </rPr>
      <t>Tribal Invasion</t>
    </r>
  </si>
  <si>
    <r>
      <t>Raiding</t>
    </r>
    <r>
      <rPr>
        <sz val="8"/>
        <color rgb="FF202122"/>
        <rFont val="Arial"/>
        <family val="2"/>
      </rPr>
      <t>, </t>
    </r>
    <r>
      <rPr>
        <sz val="8"/>
        <color rgb="FF0645AD"/>
        <rFont val="Arial"/>
        <family val="2"/>
      </rPr>
      <t>Concubinage</t>
    </r>
    <r>
      <rPr>
        <sz val="8"/>
        <color rgb="FF202122"/>
        <rFont val="Arial"/>
        <family val="2"/>
      </rPr>
      <t>, </t>
    </r>
    <r>
      <rPr>
        <sz val="8"/>
        <color rgb="FF0645AD"/>
        <rFont val="Arial"/>
        <family val="2"/>
      </rPr>
      <t>Reformation</t>
    </r>
    <r>
      <rPr>
        <sz val="8"/>
        <color rgb="FF202122"/>
        <rFont val="Arial"/>
        <family val="2"/>
      </rPr>
      <t>, 150% short reign penalty, </t>
    </r>
    <r>
      <rPr>
        <sz val="8"/>
        <color rgb="FF0645AD"/>
        <rFont val="Arial"/>
        <family val="2"/>
      </rPr>
      <t>prestige</t>
    </r>
    <r>
      <rPr>
        <sz val="8"/>
        <color rgb="FF202122"/>
        <rFont val="Arial"/>
        <family val="2"/>
      </rPr>
      <t> loss while at peace, no penalty from raised vassal </t>
    </r>
    <r>
      <rPr>
        <sz val="8"/>
        <color rgb="FF0645AD"/>
        <rFont val="Arial"/>
        <family val="2"/>
      </rPr>
      <t>levies</t>
    </r>
    <r>
      <rPr>
        <sz val="8"/>
        <color rgb="FF202122"/>
        <rFont val="Arial"/>
        <family val="2"/>
      </rPr>
      <t>, ignores defensive </t>
    </r>
    <r>
      <rPr>
        <sz val="8"/>
        <color rgb="FF0645AD"/>
        <rFont val="Arial"/>
        <family val="2"/>
      </rPr>
      <t>attrition</t>
    </r>
  </si>
  <si>
    <t>The Slavic Church</t>
  </si>
  <si>
    <t>Reformed Slavic</t>
  </si>
  <si>
    <t>Birlad</t>
  </si>
  <si>
    <r>
      <t>Holy war</t>
    </r>
    <r>
      <rPr>
        <sz val="8"/>
        <color rgb="FF202122"/>
        <rFont val="Arial"/>
        <family val="2"/>
      </rPr>
      <t> (costs 100 piety with 5 year truce), </t>
    </r>
    <r>
      <rPr>
        <sz val="8"/>
        <color rgb="FF0645AD"/>
        <rFont val="Arial"/>
        <family val="2"/>
      </rPr>
      <t>County Conquest</t>
    </r>
    <r>
      <rPr>
        <sz val="8"/>
        <color rgb="FF202122"/>
        <rFont val="Arial"/>
        <family val="2"/>
      </rPr>
      <t>, </t>
    </r>
    <r>
      <rPr>
        <sz val="8"/>
        <color rgb="FF0645AD"/>
        <rFont val="Arial"/>
        <family val="2"/>
      </rPr>
      <t>Prepared invasion</t>
    </r>
    <r>
      <rPr>
        <sz val="8"/>
        <color rgb="FF202122"/>
        <rFont val="Arial"/>
        <family val="2"/>
      </rPr>
      <t>, </t>
    </r>
    <r>
      <rPr>
        <sz val="8"/>
        <color rgb="FF0645AD"/>
        <rFont val="Arial"/>
        <family val="2"/>
      </rPr>
      <t>Great holy wars</t>
    </r>
  </si>
  <si>
    <r>
      <t>Raiding</t>
    </r>
    <r>
      <rPr>
        <sz val="8"/>
        <color rgb="FF202122"/>
        <rFont val="Arial"/>
        <family val="2"/>
      </rPr>
      <t>, river movement, </t>
    </r>
    <r>
      <rPr>
        <sz val="8"/>
        <color rgb="FF0645AD"/>
        <rFont val="Arial"/>
        <family val="2"/>
      </rPr>
      <t>Concubinage</t>
    </r>
    <r>
      <rPr>
        <sz val="8"/>
        <color rgb="FF202122"/>
        <rFont val="Arial"/>
        <family val="2"/>
      </rPr>
      <t>, female temple holders, 150% short reign penalty</t>
    </r>
  </si>
  <si>
    <t> The Fylkirate</t>
  </si>
  <si>
    <t>Reformed Germanic</t>
  </si>
  <si>
    <t>Retinue size +50%</t>
  </si>
  <si>
    <r>
      <t>County Conquest</t>
    </r>
    <r>
      <rPr>
        <sz val="8"/>
        <color rgb="FF202122"/>
        <rFont val="Arial"/>
        <family val="2"/>
      </rPr>
      <t>, </t>
    </r>
    <r>
      <rPr>
        <sz val="8"/>
        <color rgb="FF0645AD"/>
        <rFont val="Arial"/>
        <family val="2"/>
      </rPr>
      <t>Subjugation</t>
    </r>
    <r>
      <rPr>
        <sz val="8"/>
        <color rgb="FF202122"/>
        <rFont val="Arial"/>
        <family val="2"/>
      </rPr>
      <t>, </t>
    </r>
    <r>
      <rPr>
        <sz val="8"/>
        <color rgb="FF0645AD"/>
        <rFont val="Arial"/>
        <family val="2"/>
      </rPr>
      <t>Prepared Invasion</t>
    </r>
  </si>
  <si>
    <r>
      <t>Raiding</t>
    </r>
    <r>
      <rPr>
        <sz val="8"/>
        <color rgb="FF202122"/>
        <rFont val="Arial"/>
        <family val="2"/>
      </rPr>
      <t>, river movement, </t>
    </r>
    <r>
      <rPr>
        <sz val="8"/>
        <color rgb="FF0645AD"/>
        <rFont val="Arial"/>
        <family val="2"/>
      </rPr>
      <t>Concubinage</t>
    </r>
    <r>
      <rPr>
        <sz val="8"/>
        <color rgb="FF202122"/>
        <rFont val="Arial"/>
        <family val="2"/>
      </rPr>
      <t>, </t>
    </r>
    <r>
      <rPr>
        <sz val="8"/>
        <color rgb="FF0645AD"/>
        <rFont val="Arial"/>
        <family val="2"/>
      </rPr>
      <t>Reformation</t>
    </r>
    <r>
      <rPr>
        <sz val="8"/>
        <color rgb="FF202122"/>
        <rFont val="Arial"/>
        <family val="2"/>
      </rPr>
      <t>, female temple holders, defensive </t>
    </r>
    <r>
      <rPr>
        <sz val="8"/>
        <color rgb="FF0645AD"/>
        <rFont val="Arial"/>
        <family val="2"/>
      </rPr>
      <t>attrition</t>
    </r>
    <r>
      <rPr>
        <sz val="8"/>
        <color rgb="FF202122"/>
        <rFont val="Arial"/>
        <family val="2"/>
      </rPr>
      <t>, 250% short reign penalty, </t>
    </r>
    <r>
      <rPr>
        <sz val="8"/>
        <color rgb="FF0645AD"/>
        <rFont val="Arial"/>
        <family val="2"/>
      </rPr>
      <t>prestige</t>
    </r>
    <r>
      <rPr>
        <sz val="8"/>
        <color rgb="FF202122"/>
        <rFont val="Arial"/>
        <family val="2"/>
      </rPr>
      <t> loss while at peace, no penalty from raised vassal </t>
    </r>
    <r>
      <rPr>
        <sz val="8"/>
        <color rgb="FF0645AD"/>
        <rFont val="Arial"/>
        <family val="2"/>
      </rPr>
      <t>levies</t>
    </r>
  </si>
  <si>
    <t>Stewardship +2</t>
  </si>
  <si>
    <t>Sects, can designate heir, Concubinage, no short reign penalty</t>
  </si>
  <si>
    <t>Eastern</t>
  </si>
  <si>
    <t>Peace purity gain +1/month</t>
  </si>
  <si>
    <t>Demesne limit +3</t>
  </si>
  <si>
    <t>Indian Subjugation</t>
  </si>
  <si>
    <t>Sects, vassal opinion bonus, can designate heir, Concubinage, no short reign penalty</t>
  </si>
  <si>
    <t>Jainism</t>
  </si>
  <si>
    <t>Learning +4</t>
  </si>
  <si>
    <r>
      <t>Holy war</t>
    </r>
    <r>
      <rPr>
        <sz val="8"/>
        <color rgb="FF202122"/>
        <rFont val="Arial"/>
        <family val="2"/>
      </rPr>
      <t> for 250 piety, Minor Holy War (vassalizes a single county), </t>
    </r>
    <r>
      <rPr>
        <sz val="8"/>
        <color rgb="FF0645AD"/>
        <rFont val="Arial"/>
        <family val="2"/>
      </rPr>
      <t>Indian Subjugation</t>
    </r>
  </si>
  <si>
    <t>Sects, Concubinage, can designate heir, no penalty for female rulers/heirs, no short reign penalty</t>
  </si>
  <si>
    <t>Buddhism</t>
  </si>
  <si>
    <t>Morale +30%</t>
  </si>
  <si>
    <r>
      <t>Holy war</t>
    </r>
    <r>
      <rPr>
        <sz val="8"/>
        <color rgb="FF202122"/>
        <rFont val="Arial"/>
        <family val="2"/>
      </rPr>
      <t>, </t>
    </r>
    <r>
      <rPr>
        <sz val="8"/>
        <color rgb="FF0645AD"/>
        <rFont val="Arial"/>
        <family val="2"/>
      </rPr>
      <t>Indian Subjugation</t>
    </r>
  </si>
  <si>
    <r>
      <t>Raiding</t>
    </r>
    <r>
      <rPr>
        <sz val="8"/>
        <color rgb="FF202122"/>
        <rFont val="Arial"/>
        <family val="2"/>
      </rPr>
      <t>, Caste System, Patron Gods, </t>
    </r>
    <r>
      <rPr>
        <sz val="8"/>
        <color rgb="FF0645AD"/>
        <rFont val="Arial"/>
        <family val="2"/>
      </rPr>
      <t>Concubinage</t>
    </r>
    <r>
      <rPr>
        <sz val="8"/>
        <color rgb="FF202122"/>
        <rFont val="Arial"/>
        <family val="2"/>
      </rPr>
      <t>, Sects</t>
    </r>
  </si>
  <si>
    <t>Hinduism</t>
  </si>
  <si>
    <r>
      <t>Holy war</t>
    </r>
    <r>
      <rPr>
        <sz val="8"/>
        <color rgb="FF202122"/>
        <rFont val="Arial"/>
        <family val="2"/>
      </rPr>
      <t>, </t>
    </r>
    <r>
      <rPr>
        <sz val="8"/>
        <color rgb="FF0645AD"/>
        <rFont val="Arial"/>
        <family val="2"/>
      </rPr>
      <t>Great holy wars</t>
    </r>
    <r>
      <rPr>
        <sz val="8"/>
        <color rgb="FF202122"/>
        <rFont val="Arial"/>
        <family val="2"/>
      </rPr>
      <t>, </t>
    </r>
    <r>
      <rPr>
        <sz val="8"/>
        <color rgb="FF0645AD"/>
        <rFont val="Arial"/>
        <family val="2"/>
      </rPr>
      <t>Sanctioned Invasion</t>
    </r>
  </si>
  <si>
    <r>
      <t>Divine marriage</t>
    </r>
    <r>
      <rPr>
        <sz val="8"/>
        <color rgb="FF202122"/>
        <rFont val="Arial"/>
        <family val="2"/>
      </rPr>
      <t>, </t>
    </r>
    <r>
      <rPr>
        <sz val="8"/>
        <color rgb="FF0645AD"/>
        <rFont val="Arial"/>
        <family val="2"/>
      </rPr>
      <t>Concubinage</t>
    </r>
  </si>
  <si>
    <t>None ( Zoroastrian Church once the Persian Empire is retaken)</t>
  </si>
  <si>
    <t>None ( Kohen Gadol once the Kingdom of Israel is restored)</t>
  </si>
  <si>
    <r>
      <t>Holy war</t>
    </r>
    <r>
      <rPr>
        <sz val="8"/>
        <color rgb="FF202122"/>
        <rFont val="Arial"/>
        <family val="2"/>
      </rPr>
      <t> (also vs non-Ibadi, non-heretic Muslims), </t>
    </r>
    <r>
      <rPr>
        <sz val="8"/>
        <color rgb="FF0645AD"/>
        <rFont val="Arial"/>
        <family val="2"/>
      </rPr>
      <t>Muslim Invasion</t>
    </r>
    <r>
      <rPr>
        <sz val="8"/>
        <color rgb="FF202122"/>
        <rFont val="Arial"/>
        <family val="2"/>
      </rPr>
      <t>, </t>
    </r>
    <r>
      <rPr>
        <sz val="8"/>
        <color rgb="FF0645AD"/>
        <rFont val="Arial"/>
        <family val="2"/>
      </rPr>
      <t>County Conquest</t>
    </r>
    <r>
      <rPr>
        <sz val="8"/>
        <color rgb="FF202122"/>
        <rFont val="Arial"/>
        <family val="2"/>
      </rPr>
      <t>, </t>
    </r>
    <r>
      <rPr>
        <sz val="8"/>
        <color rgb="FF0645AD"/>
        <rFont val="Arial"/>
        <family val="2"/>
      </rPr>
      <t>Jihads</t>
    </r>
    <r>
      <rPr>
        <sz val="8"/>
        <color rgb="FF202122"/>
        <rFont val="Arial"/>
        <family val="2"/>
      </rPr>
      <t>, </t>
    </r>
    <r>
      <rPr>
        <sz val="8"/>
        <color rgb="FF0645AD"/>
        <rFont val="Arial"/>
        <family val="2"/>
      </rPr>
      <t>Caliphal Subjugation</t>
    </r>
  </si>
  <si>
    <r>
      <t>Decadence</t>
    </r>
    <r>
      <rPr>
        <sz val="8"/>
        <color rgb="FF202122"/>
        <rFont val="Arial"/>
        <family val="2"/>
      </rPr>
      <t>, </t>
    </r>
    <r>
      <rPr>
        <sz val="8"/>
        <color rgb="FF0645AD"/>
        <rFont val="Arial"/>
        <family val="2"/>
      </rPr>
      <t>Polygamy</t>
    </r>
    <r>
      <rPr>
        <sz val="8"/>
        <color rgb="FF202122"/>
        <rFont val="Arial"/>
        <family val="2"/>
      </rPr>
      <t>, </t>
    </r>
    <r>
      <rPr>
        <sz val="8"/>
        <color rgb="FF0645AD"/>
        <rFont val="Arial"/>
        <family val="2"/>
      </rPr>
      <t>Hajj</t>
    </r>
  </si>
  <si>
    <t> The Ibadi Caliphate</t>
  </si>
  <si>
    <t>Muslim</t>
  </si>
  <si>
    <r>
      <t>Holy war</t>
    </r>
    <r>
      <rPr>
        <sz val="8"/>
        <color rgb="FF202122"/>
        <rFont val="Arial"/>
        <family val="2"/>
      </rPr>
      <t> (also vs non-Shia, non-heretic Muslims), </t>
    </r>
    <r>
      <rPr>
        <sz val="8"/>
        <color rgb="FF0645AD"/>
        <rFont val="Arial"/>
        <family val="2"/>
      </rPr>
      <t>Muslim Invasion</t>
    </r>
    <r>
      <rPr>
        <sz val="8"/>
        <color rgb="FF202122"/>
        <rFont val="Arial"/>
        <family val="2"/>
      </rPr>
      <t>, </t>
    </r>
    <r>
      <rPr>
        <sz val="8"/>
        <color rgb="FF0645AD"/>
        <rFont val="Arial"/>
        <family val="2"/>
      </rPr>
      <t>County Conquest</t>
    </r>
    <r>
      <rPr>
        <sz val="8"/>
        <color rgb="FF202122"/>
        <rFont val="Arial"/>
        <family val="2"/>
      </rPr>
      <t>, </t>
    </r>
    <r>
      <rPr>
        <sz val="8"/>
        <color rgb="FF0645AD"/>
        <rFont val="Arial"/>
        <family val="2"/>
      </rPr>
      <t>Jihads</t>
    </r>
    <r>
      <rPr>
        <sz val="8"/>
        <color rgb="FF202122"/>
        <rFont val="Arial"/>
        <family val="2"/>
      </rPr>
      <t>, </t>
    </r>
    <r>
      <rPr>
        <sz val="8"/>
        <color rgb="FF0645AD"/>
        <rFont val="Arial"/>
        <family val="2"/>
      </rPr>
      <t>Caliphal Subjugation</t>
    </r>
  </si>
  <si>
    <t> The Shia Caliphate</t>
  </si>
  <si>
    <r>
      <t>Holy war</t>
    </r>
    <r>
      <rPr>
        <sz val="8"/>
        <color rgb="FF202122"/>
        <rFont val="Arial"/>
        <family val="2"/>
      </rPr>
      <t> (also vs non-Sunni, non-heretic Muslims), </t>
    </r>
    <r>
      <rPr>
        <sz val="8"/>
        <color rgb="FF0645AD"/>
        <rFont val="Arial"/>
        <family val="2"/>
      </rPr>
      <t>Muslim Invasion</t>
    </r>
    <r>
      <rPr>
        <sz val="8"/>
        <color rgb="FF202122"/>
        <rFont val="Arial"/>
        <family val="2"/>
      </rPr>
      <t>, </t>
    </r>
    <r>
      <rPr>
        <sz val="8"/>
        <color rgb="FF0645AD"/>
        <rFont val="Arial"/>
        <family val="2"/>
      </rPr>
      <t>County Conquest</t>
    </r>
    <r>
      <rPr>
        <sz val="8"/>
        <color rgb="FF202122"/>
        <rFont val="Arial"/>
        <family val="2"/>
      </rPr>
      <t>, </t>
    </r>
    <r>
      <rPr>
        <sz val="8"/>
        <color rgb="FF0645AD"/>
        <rFont val="Arial"/>
        <family val="2"/>
      </rPr>
      <t>Jihads</t>
    </r>
    <r>
      <rPr>
        <sz val="8"/>
        <color rgb="FF202122"/>
        <rFont val="Arial"/>
        <family val="2"/>
      </rPr>
      <t>, </t>
    </r>
    <r>
      <rPr>
        <sz val="8"/>
        <color rgb="FF0645AD"/>
        <rFont val="Arial"/>
        <family val="2"/>
      </rPr>
      <t>Caliphal Subjugation</t>
    </r>
  </si>
  <si>
    <t> The Sunni Caliphate</t>
  </si>
  <si>
    <r>
      <t>Excommunication</t>
    </r>
    <r>
      <rPr>
        <sz val="8"/>
        <color rgb="FF202122"/>
        <rFont val="Arial"/>
        <family val="2"/>
      </rPr>
      <t>, </t>
    </r>
    <r>
      <rPr>
        <sz val="8"/>
        <color rgb="FF0645AD"/>
        <rFont val="Arial"/>
        <family val="2"/>
      </rPr>
      <t>Pilgrimage</t>
    </r>
  </si>
  <si>
    <t> The Patriarchate in the East</t>
  </si>
  <si>
    <r>
      <t>Autocephaly</t>
    </r>
    <r>
      <rPr>
        <sz val="8"/>
        <color rgb="FF202122"/>
        <rFont val="Arial"/>
        <family val="2"/>
      </rPr>
      <t>, </t>
    </r>
    <r>
      <rPr>
        <sz val="8"/>
        <color rgb="FF0645AD"/>
        <rFont val="Arial"/>
        <family val="2"/>
      </rPr>
      <t>Excommunication</t>
    </r>
    <r>
      <rPr>
        <sz val="8"/>
        <color rgb="FF202122"/>
        <rFont val="Arial"/>
        <family val="2"/>
      </rPr>
      <t>, </t>
    </r>
    <r>
      <rPr>
        <sz val="8"/>
        <color rgb="FF0645AD"/>
        <rFont val="Arial"/>
        <family val="2"/>
      </rPr>
      <t>Pilgrimage</t>
    </r>
  </si>
  <si>
    <t> The Coptic Papacy</t>
  </si>
  <si>
    <r>
      <t>Autocephaly</t>
    </r>
    <r>
      <rPr>
        <sz val="8"/>
        <color rgb="FF202122"/>
        <rFont val="Arial"/>
        <family val="2"/>
      </rPr>
      <t>, </t>
    </r>
    <r>
      <rPr>
        <sz val="8"/>
        <color rgb="FF0645AD"/>
        <rFont val="Arial"/>
        <family val="2"/>
      </rPr>
      <t>Excommunication</t>
    </r>
    <r>
      <rPr>
        <sz val="8"/>
        <color rgb="FF202122"/>
        <rFont val="Arial"/>
        <family val="2"/>
      </rPr>
      <t>, </t>
    </r>
    <r>
      <rPr>
        <sz val="8"/>
        <color rgb="FF0645AD"/>
        <rFont val="Arial"/>
        <family val="2"/>
      </rPr>
      <t>Mending the Great Schism</t>
    </r>
    <r>
      <rPr>
        <sz val="8"/>
        <color rgb="FF202122"/>
        <rFont val="Arial"/>
        <family val="2"/>
      </rPr>
      <t>, </t>
    </r>
    <r>
      <rPr>
        <sz val="8"/>
        <color rgb="FF0645AD"/>
        <rFont val="Arial"/>
        <family val="2"/>
      </rPr>
      <t>Pilgrimage</t>
    </r>
  </si>
  <si>
    <t> The Ecumenical Patriarchate</t>
  </si>
  <si>
    <r>
      <t>Holy war</t>
    </r>
    <r>
      <rPr>
        <sz val="8"/>
        <color rgb="FF202122"/>
        <rFont val="Arial"/>
        <family val="2"/>
      </rPr>
      <t>, </t>
    </r>
    <r>
      <rPr>
        <sz val="8"/>
        <color rgb="FF0645AD"/>
        <rFont val="Arial"/>
        <family val="2"/>
      </rPr>
      <t>Crusades</t>
    </r>
    <r>
      <rPr>
        <sz val="8"/>
        <color rgb="FF202122"/>
        <rFont val="Arial"/>
        <family val="2"/>
      </rPr>
      <t>, </t>
    </r>
    <r>
      <rPr>
        <sz val="8"/>
        <color rgb="FF0645AD"/>
        <rFont val="Arial"/>
        <family val="2"/>
      </rPr>
      <t>Sanctioned Invasion</t>
    </r>
  </si>
  <si>
    <r>
      <t>Excommunication</t>
    </r>
    <r>
      <rPr>
        <sz val="8"/>
        <color rgb="FF202122"/>
        <rFont val="Arial"/>
        <family val="2"/>
      </rPr>
      <t>, </t>
    </r>
    <r>
      <rPr>
        <sz val="8"/>
        <color rgb="FF0645AD"/>
        <rFont val="Arial"/>
        <family val="2"/>
      </rPr>
      <t>College of Cardinals</t>
    </r>
    <r>
      <rPr>
        <sz val="8"/>
        <color rgb="FF202122"/>
        <rFont val="Arial"/>
        <family val="2"/>
      </rPr>
      <t>, </t>
    </r>
    <r>
      <rPr>
        <sz val="8"/>
        <color rgb="FF0645AD"/>
        <rFont val="Arial"/>
        <family val="2"/>
      </rPr>
      <t>Investiture</t>
    </r>
    <r>
      <rPr>
        <sz val="8"/>
        <color rgb="FF202122"/>
        <rFont val="Arial"/>
        <family val="2"/>
      </rPr>
      <t>, </t>
    </r>
    <r>
      <rPr>
        <sz val="8"/>
        <color rgb="FF0645AD"/>
        <rFont val="Arial"/>
        <family val="2"/>
      </rPr>
      <t>Antipope</t>
    </r>
    <r>
      <rPr>
        <sz val="8"/>
        <color rgb="FF202122"/>
        <rFont val="Arial"/>
        <family val="2"/>
      </rPr>
      <t>, </t>
    </r>
    <r>
      <rPr>
        <sz val="8"/>
        <color rgb="FF0645AD"/>
        <rFont val="Arial"/>
        <family val="2"/>
      </rPr>
      <t>Pilgrimage</t>
    </r>
  </si>
  <si>
    <t>The Papacy</t>
  </si>
  <si>
    <t>Heresy?</t>
  </si>
  <si>
    <t> Modifiers</t>
  </si>
  <si>
    <t>Special CBs</t>
  </si>
  <si>
    <t>Mechanics</t>
  </si>
  <si>
    <t>Holy Sites</t>
  </si>
  <si>
    <t>Head</t>
  </si>
  <si>
    <t>Group</t>
  </si>
  <si>
    <t>Icon</t>
  </si>
  <si>
    <t>Animism</t>
  </si>
  <si>
    <t>Pirate</t>
  </si>
  <si>
    <t>Outlaw</t>
  </si>
  <si>
    <t>Solarian</t>
  </si>
  <si>
    <t>Federalist</t>
  </si>
  <si>
    <t>Imperial</t>
  </si>
  <si>
    <t>Terran Political</t>
  </si>
  <si>
    <t>Pilgrim</t>
  </si>
  <si>
    <t>Terran Religious</t>
  </si>
  <si>
    <t>Sect Adoptionist</t>
  </si>
  <si>
    <t>Religious</t>
  </si>
  <si>
    <t>Republican</t>
  </si>
  <si>
    <t>Universalist</t>
  </si>
  <si>
    <t>X</t>
  </si>
  <si>
    <t>150, 200, 0</t>
  </si>
  <si>
    <t>250, 200, 100</t>
  </si>
  <si>
    <t>200, 200, 100</t>
  </si>
  <si>
    <t>250, 250, 250</t>
  </si>
  <si>
    <t>0, 64, 91</t>
  </si>
  <si>
    <t>150, 150, 150</t>
  </si>
  <si>
    <t>45, 65, 65</t>
  </si>
  <si>
    <t>43, 0, 0</t>
  </si>
  <si>
    <t>252, 255, 0</t>
  </si>
  <si>
    <t>184, 104, 126</t>
  </si>
  <si>
    <t>180, 130, 0</t>
  </si>
  <si>
    <t>250, 200, 200</t>
  </si>
  <si>
    <t>200, 100, 200</t>
  </si>
  <si>
    <t>150, 0, 150</t>
  </si>
  <si>
    <t>200, 200, 200</t>
  </si>
  <si>
    <t>250, 250, 150</t>
  </si>
  <si>
    <t>religion code</t>
  </si>
  <si>
    <t>germanic</t>
  </si>
  <si>
    <t>tengri</t>
  </si>
  <si>
    <t>hellenic</t>
  </si>
  <si>
    <t>zunist</t>
  </si>
  <si>
    <t>mazdan</t>
  </si>
  <si>
    <t>african</t>
  </si>
  <si>
    <t>hinduism</t>
  </si>
  <si>
    <t>jainism</t>
  </si>
  <si>
    <t>buddhism</t>
  </si>
  <si>
    <t>religion name</t>
  </si>
  <si>
    <t>shia</t>
  </si>
  <si>
    <t>Cult of V8</t>
  </si>
  <si>
    <t>Ancestor Worship</t>
  </si>
  <si>
    <t>Cult of the Reborn</t>
  </si>
  <si>
    <t>Australiander</t>
  </si>
  <si>
    <t>Queenslander</t>
  </si>
  <si>
    <t>Darwinner</t>
  </si>
  <si>
    <t>Aussie</t>
  </si>
  <si>
    <t>Croweater</t>
  </si>
  <si>
    <t>Westralian</t>
  </si>
  <si>
    <t>Novocastrian</t>
  </si>
  <si>
    <t>Victorian</t>
  </si>
  <si>
    <t>Melanesian</t>
  </si>
  <si>
    <t>255, 255, 179</t>
  </si>
  <si>
    <r>
      <t>Pinoy</t>
    </r>
    <r>
      <rPr>
        <sz val="10"/>
        <color rgb="FF202124"/>
        <rFont val="Arial"/>
        <family val="2"/>
      </rPr>
      <t> </t>
    </r>
  </si>
  <si>
    <t>Javanese</t>
  </si>
  <si>
    <t>Malaysian</t>
  </si>
  <si>
    <t>Aus Desc</t>
  </si>
  <si>
    <t>The mighty Polynesians are known by many regional names due to the inhabiting a territory far more vast than any known to man, both now and at other periods throughout history. To the south they are known tas the Maori,to the east the Maoli, and many other names on  the numerous islands between. Their unmatched naval navigation skills enable them to maintain a cohesive culture despite vast distances.</t>
  </si>
  <si>
    <t>formula</t>
  </si>
  <si>
    <t>77;140;204</t>
  </si>
  <si>
    <t>64;128;191</t>
  </si>
  <si>
    <t>51;115;166</t>
  </si>
  <si>
    <t>38;102;140</t>
  </si>
  <si>
    <t>128;128;128</t>
  </si>
  <si>
    <t>153;153;204</t>
  </si>
  <si>
    <t>77;77;128</t>
  </si>
  <si>
    <t>179;179;179</t>
  </si>
  <si>
    <t>204;51;51</t>
  </si>
  <si>
    <t>204;77;77</t>
  </si>
  <si>
    <t>128;26;26</t>
  </si>
  <si>
    <t>179;77;0</t>
  </si>
  <si>
    <t>245;99;20</t>
  </si>
  <si>
    <t>204;204;51</t>
  </si>
  <si>
    <t>204;179;26</t>
  </si>
  <si>
    <t>242;242;191</t>
  </si>
  <si>
    <t>230;230;102</t>
  </si>
  <si>
    <t>133;156;38</t>
  </si>
  <si>
    <t>217;191;13</t>
  </si>
  <si>
    <t>140;107;10</t>
  </si>
  <si>
    <t>242;209;23</t>
  </si>
  <si>
    <t>217;191;20</t>
  </si>
  <si>
    <t>191;171;18</t>
  </si>
  <si>
    <t>140;140;38</t>
  </si>
  <si>
    <t>179;51;230</t>
  </si>
  <si>
    <t>128;51;128</t>
  </si>
  <si>
    <t>204;77;204</t>
  </si>
  <si>
    <t>179;128;179</t>
  </si>
  <si>
    <t>153;77;204</t>
  </si>
  <si>
    <t>102;77;153</t>
  </si>
  <si>
    <t>153;102;153</t>
  </si>
  <si>
    <t>204;102;204</t>
  </si>
  <si>
    <t>77;204;204</t>
  </si>
  <si>
    <t>77;179;179</t>
  </si>
  <si>
    <t>51;153;153</t>
  </si>
  <si>
    <t>77;204;153</t>
  </si>
  <si>
    <t>77;128;102</t>
  </si>
  <si>
    <t>26;153;153</t>
  </si>
  <si>
    <t>102;191;217</t>
  </si>
  <si>
    <t>128;191;64</t>
  </si>
  <si>
    <t>102;166;51</t>
  </si>
  <si>
    <t>77;191;191</t>
  </si>
  <si>
    <t>77;128;128</t>
  </si>
  <si>
    <t>128;128;26</t>
  </si>
  <si>
    <t>143;140;51</t>
  </si>
  <si>
    <t>143;140;102</t>
  </si>
  <si>
    <t>217;140;38</t>
  </si>
  <si>
    <t>217;201;64</t>
  </si>
  <si>
    <t>191;153;51</t>
  </si>
  <si>
    <t>179;115;26</t>
  </si>
  <si>
    <t>179;166;38</t>
  </si>
  <si>
    <t>179;179;77</t>
  </si>
  <si>
    <t>166;128;38</t>
  </si>
  <si>
    <t>217;184;77</t>
  </si>
  <si>
    <t>217;191;128</t>
  </si>
  <si>
    <t>102;102;255</t>
  </si>
  <si>
    <t>204;204;77</t>
  </si>
  <si>
    <t>122;115;92</t>
  </si>
  <si>
    <t>26;191;26</t>
  </si>
  <si>
    <t>51;230;51</t>
  </si>
  <si>
    <t>77;242;77</t>
  </si>
  <si>
    <t>26;153;26</t>
  </si>
  <si>
    <t>102;153;26</t>
  </si>
  <si>
    <t>51;102;26</t>
  </si>
  <si>
    <t>115;153;51</t>
  </si>
  <si>
    <t>128;204;77</t>
  </si>
  <si>
    <t>166;204;77</t>
  </si>
  <si>
    <t>102;153;102</t>
  </si>
  <si>
    <t>102;153;128</t>
  </si>
  <si>
    <t>102;153;140</t>
  </si>
  <si>
    <t>102;153;89</t>
  </si>
  <si>
    <t>102;51;51</t>
  </si>
  <si>
    <t>128;77;77</t>
  </si>
  <si>
    <t>153;102;102</t>
  </si>
  <si>
    <t>191;128;128</t>
  </si>
  <si>
    <t>77;26;26</t>
  </si>
  <si>
    <t>128;77;128</t>
  </si>
  <si>
    <t>128;153;77</t>
  </si>
  <si>
    <t>204;204;102</t>
  </si>
  <si>
    <t>110;82;82</t>
  </si>
  <si>
    <t>191;115;242</t>
  </si>
  <si>
    <t>77;89;26</t>
  </si>
  <si>
    <t>153;153;26</t>
  </si>
  <si>
    <t>102;102;13</t>
  </si>
  <si>
    <t>102;51;191</t>
  </si>
  <si>
    <t>102;102;77</t>
  </si>
  <si>
    <t>51;51;26</t>
  </si>
  <si>
    <t>153;153;128</t>
  </si>
  <si>
    <t>242;230;166</t>
  </si>
  <si>
    <t>204;115;191</t>
  </si>
  <si>
    <t>230;140;204</t>
  </si>
  <si>
    <t>230;89;217</t>
  </si>
  <si>
    <t>115;115;51</t>
  </si>
  <si>
    <t>89;89;51</t>
  </si>
  <si>
    <t>128;89;26</t>
  </si>
  <si>
    <t>255;128;0</t>
  </si>
  <si>
    <t>153;77;153</t>
  </si>
  <si>
    <t>179;51;179</t>
  </si>
  <si>
    <t>115;0;0</t>
  </si>
  <si>
    <t>204;102;0</t>
  </si>
  <si>
    <t>153;77;0</t>
  </si>
  <si>
    <t>230;26;0</t>
  </si>
  <si>
    <t>204;77;51</t>
  </si>
  <si>
    <t>153;0;0</t>
  </si>
  <si>
    <t>255;51;0</t>
  </si>
  <si>
    <t>204;51;0</t>
  </si>
  <si>
    <t>255;77;77</t>
  </si>
  <si>
    <t>166;64;26</t>
  </si>
  <si>
    <t>255;179;51</t>
  </si>
  <si>
    <t>204;204;0</t>
  </si>
  <si>
    <t>204;153;0</t>
  </si>
  <si>
    <t>204;77;0</t>
  </si>
  <si>
    <t>255;102;0</t>
  </si>
  <si>
    <t>204;51;26</t>
  </si>
  <si>
    <t>212;43;43</t>
  </si>
  <si>
    <t>26;77;26</t>
  </si>
  <si>
    <t>26;26;77</t>
  </si>
  <si>
    <t>51;77;255</t>
  </si>
  <si>
    <t>255;255;255</t>
  </si>
  <si>
    <t>102;77;0</t>
  </si>
  <si>
    <t>204;204;204</t>
  </si>
  <si>
    <t>3;77;0</t>
  </si>
  <si>
    <t>179;0;0</t>
  </si>
  <si>
    <t>250;200;100</t>
  </si>
  <si>
    <t>200;200;100</t>
  </si>
  <si>
    <t>150;200;0</t>
  </si>
  <si>
    <t>184;104;126</t>
  </si>
  <si>
    <t>150;0;150</t>
  </si>
  <si>
    <t>200;200;200</t>
  </si>
  <si>
    <t>200;100;200</t>
  </si>
  <si>
    <t>250;200;200</t>
  </si>
  <si>
    <t>0;64;91</t>
  </si>
  <si>
    <t>150;150;150</t>
  </si>
  <si>
    <t>45;65;65</t>
  </si>
  <si>
    <t>180;130;0</t>
  </si>
  <si>
    <t>250;250;150</t>
  </si>
  <si>
    <t>252;255;0</t>
  </si>
  <si>
    <t>250;250;250</t>
  </si>
  <si>
    <t>43;0;0</t>
  </si>
  <si>
    <t>100;0;0</t>
  </si>
  <si>
    <t>180;100;100</t>
  </si>
  <si>
    <t>messalian</t>
  </si>
  <si>
    <t>Aus Empire</t>
  </si>
  <si>
    <t>Empire of the Outback</t>
  </si>
  <si>
    <t>Kingdom of Canberry</t>
  </si>
  <si>
    <t>Kingdom of Victoria</t>
  </si>
  <si>
    <t>Kingdom of Aus (Sydney/NSW)</t>
  </si>
  <si>
    <t>Kingdom of Perth</t>
  </si>
  <si>
    <t>Kingdom of Western Australia</t>
  </si>
  <si>
    <t>Northern Territory</t>
  </si>
  <si>
    <t>Queensland</t>
  </si>
  <si>
    <t>Kingdom of Tasmania</t>
  </si>
  <si>
    <t>Kingdom of Thunderdome (Adelaide)</t>
  </si>
  <si>
    <t>Kingdom of Hawaii</t>
  </si>
  <si>
    <t>Empire of Siam</t>
  </si>
  <si>
    <t>Kingdom of Aotearoa</t>
  </si>
  <si>
    <t>Kingdom of the Pacific</t>
  </si>
  <si>
    <t>Kingdom of Guinea</t>
  </si>
  <si>
    <t>Kingdom of Middle Zeeland</t>
  </si>
  <si>
    <t>Kingdom of Thailand</t>
  </si>
  <si>
    <t>Kingdom of Laos</t>
  </si>
  <si>
    <t>Kingdom of Cambodia</t>
  </si>
  <si>
    <t>Java</t>
  </si>
  <si>
    <t>Sumatra</t>
  </si>
  <si>
    <t>Kingdom of Malaysia</t>
  </si>
  <si>
    <t>Kingdom of Java</t>
  </si>
  <si>
    <t>Kingdom of Sumatra</t>
  </si>
  <si>
    <t>Kingdom of the Philippines</t>
  </si>
  <si>
    <t>Kingdom of Myanmar</t>
  </si>
  <si>
    <t>Kingdom of Bangladesh</t>
  </si>
  <si>
    <t>Kingdom of Sri Lanka</t>
  </si>
  <si>
    <t>Kingdom of Pakistan</t>
  </si>
  <si>
    <t>Archipelago Empire</t>
  </si>
  <si>
    <t>Kingdom of Papua</t>
  </si>
  <si>
    <t>Kingdom of New Britain</t>
  </si>
  <si>
    <t>Kingdom of Sulawesi</t>
  </si>
  <si>
    <t>Kingdom of Banda Arc</t>
  </si>
  <si>
    <t>Kingdom of Lesser Sunda</t>
  </si>
  <si>
    <t>Kingdom of Caledonia</t>
  </si>
  <si>
    <t>Western Pacific De Jure Titles</t>
  </si>
  <si>
    <t>Empire of South China</t>
  </si>
  <si>
    <t>Kingdom of Guangxi</t>
  </si>
  <si>
    <t>Kingdom of Guangdong</t>
  </si>
  <si>
    <t>Kingdom of Taiwan</t>
  </si>
  <si>
    <t>Empire of Dakshina</t>
  </si>
  <si>
    <t>Empire of Bombay</t>
  </si>
  <si>
    <t>Empire of Bharat</t>
  </si>
  <si>
    <t>note</t>
  </si>
  <si>
    <t>West India</t>
  </si>
  <si>
    <t>South India</t>
  </si>
  <si>
    <t>1 level above</t>
  </si>
  <si>
    <t>Empire</t>
  </si>
  <si>
    <t>Kingdom of the Outback</t>
  </si>
  <si>
    <t>(center desolate area between the IRL territory borders, with Alice Springs at the center)</t>
  </si>
  <si>
    <t>Empire of Oceania</t>
  </si>
  <si>
    <t>(all the misc smaller islands islands that the polynesians have)</t>
  </si>
  <si>
    <t>South East Asia</t>
  </si>
  <si>
    <t>(northern, smaller but more developed New Zealand island)</t>
  </si>
  <si>
    <t>(small islands between New Zealand and New Guinea's Solomon Islands)</t>
  </si>
  <si>
    <t>(the main island of Indonesia, bottom middle of Indonesia)</t>
  </si>
  <si>
    <t>(East New Guinea)</t>
  </si>
  <si>
    <t>(West Knew Guinea)</t>
  </si>
  <si>
    <t>(Indochina, AKA Mainland South East Asia, open to other name suggestions since this goes beyond the borders of the IRL Kingdom of Siam, but 'Empire of Indochina' was too similar to the adjacent 'Empire of China' IMO)</t>
  </si>
  <si>
    <t>Malay Archipelago (Martime South East Asia)</t>
  </si>
  <si>
    <t>(south west edge of visible china)</t>
  </si>
  <si>
    <t>(south east edge of china)</t>
  </si>
  <si>
    <t>Kingdom of Gujarat</t>
  </si>
  <si>
    <t>Kingdom of Mumbai</t>
  </si>
  <si>
    <t>Kingdom of Dravida</t>
  </si>
  <si>
    <t>Kingdom of Delhi</t>
  </si>
  <si>
    <t>Pala Kingdom</t>
  </si>
  <si>
    <t>Rank</t>
  </si>
  <si>
    <t>Canberry</t>
  </si>
  <si>
    <t>Victoria</t>
  </si>
  <si>
    <t>Tasmania</t>
  </si>
  <si>
    <t>Outback</t>
  </si>
  <si>
    <t>Perth</t>
  </si>
  <si>
    <t>Guinea</t>
  </si>
  <si>
    <t>Papua</t>
  </si>
  <si>
    <t>Sulawesi</t>
  </si>
  <si>
    <t>Kingdom of the Eyre</t>
  </si>
  <si>
    <t>(South Australia, the main attraction is the Eyre Highway since Adelade has it's own kingdom instead)</t>
  </si>
  <si>
    <t>Western Pacific Proper De Jure Titles</t>
  </si>
  <si>
    <t>Aus</t>
  </si>
  <si>
    <t>Archipelago</t>
  </si>
  <si>
    <t>the Outback</t>
  </si>
  <si>
    <t>Siam</t>
  </si>
  <si>
    <t>Bharat</t>
  </si>
  <si>
    <t>Bombay</t>
  </si>
  <si>
    <t>Dakshina</t>
  </si>
  <si>
    <t>Hawaii</t>
  </si>
  <si>
    <t>Aotearoa</t>
  </si>
  <si>
    <t>Caledonia</t>
  </si>
  <si>
    <t>Cambodia</t>
  </si>
  <si>
    <t>Myanmar</t>
  </si>
  <si>
    <t>New Britain</t>
  </si>
  <si>
    <t>Banda Arc</t>
  </si>
  <si>
    <t>Lesser Sunda</t>
  </si>
  <si>
    <t>Bangladesh</t>
  </si>
  <si>
    <t>Mumbai</t>
  </si>
  <si>
    <t>Pakistan</t>
  </si>
  <si>
    <t>Dravida</t>
  </si>
  <si>
    <t>Sri Lanka</t>
  </si>
  <si>
    <t>Eyre</t>
  </si>
  <si>
    <t>Pacific</t>
  </si>
  <si>
    <t>Utkala </t>
  </si>
  <si>
    <t>North Central and Eastern India</t>
  </si>
  <si>
    <t>Eastern India</t>
  </si>
  <si>
    <t>North Central India</t>
  </si>
  <si>
    <t>Larger Islands immediately East of New Guinea</t>
  </si>
  <si>
    <t>K shaped island between Kalimantan and New Guinea</t>
  </si>
  <si>
    <t>Small islands between Sulawesi and New Guinea</t>
  </si>
  <si>
    <t>(north western Indonesia island)</t>
  </si>
  <si>
    <t>Kalimantan</t>
  </si>
  <si>
    <t>North middle island shared with Malay, between Java/Sumatra and the Phillipines</t>
  </si>
  <si>
    <t>Between Bali and Northern Australia</t>
  </si>
  <si>
    <t>The only visible part of China</t>
  </si>
  <si>
    <t>Darwin</t>
  </si>
  <si>
    <t>Westralia</t>
  </si>
  <si>
    <t>(Sydney/NSW)</t>
  </si>
  <si>
    <t>AKA Adelaide. Mad Max Beyond  Thudnerdome was filmed within this kingdom's extent.</t>
  </si>
  <si>
    <t>(Eastern half of Australia, including the majority of populated regions)</t>
  </si>
  <si>
    <t>(Western half of Australia, including most of the outback, plus the isolated Perth)</t>
  </si>
  <si>
    <t>(Any small pacific islands between Australia/New Zealand/New Guinea and Hawaii)</t>
  </si>
  <si>
    <t>Middle Zealand</t>
  </si>
  <si>
    <t>Western Australia minus the Greater Perth Area and minus the inner outback</t>
  </si>
  <si>
    <t>alternative culture name</t>
  </si>
  <si>
    <t>indonesian;Indeonesia</t>
  </si>
  <si>
    <t>coordinate (X;Y)</t>
  </si>
  <si>
    <t>2362;1584</t>
  </si>
  <si>
    <t>2309;1612</t>
  </si>
  <si>
    <t>2200;1681</t>
  </si>
  <si>
    <t>2417;1405</t>
  </si>
  <si>
    <t>2272;1813</t>
  </si>
  <si>
    <t>2035;1606</t>
  </si>
  <si>
    <t>1435;1518</t>
  </si>
  <si>
    <t>1914;1311</t>
  </si>
  <si>
    <t>1386;1394</t>
  </si>
  <si>
    <t>1848;1014</t>
  </si>
  <si>
    <t>2989;1662</t>
  </si>
  <si>
    <t>3716;119</t>
  </si>
  <si>
    <t>3087;1157</t>
  </si>
  <si>
    <t>2931;1837</t>
  </si>
  <si>
    <t>2776;127</t>
  </si>
  <si>
    <t>1026;318</t>
  </si>
  <si>
    <t>1096;244</t>
  </si>
  <si>
    <t>1142;415</t>
  </si>
  <si>
    <t>914;234</t>
  </si>
  <si>
    <t>1190;850</t>
  </si>
  <si>
    <t>1058;606</t>
  </si>
  <si>
    <t>1000;598</t>
  </si>
  <si>
    <t>1460;700</t>
  </si>
  <si>
    <t>1572;294</t>
  </si>
  <si>
    <t>2262;927</t>
  </si>
  <si>
    <t>1906;737</t>
  </si>
  <si>
    <t>2390;801</t>
  </si>
  <si>
    <t>1534;816</t>
  </si>
  <si>
    <t>1722;769</t>
  </si>
  <si>
    <t>1707;916</t>
  </si>
  <si>
    <t>380;11</t>
  </si>
  <si>
    <t>383;10</t>
  </si>
  <si>
    <t>569;214</t>
  </si>
  <si>
    <t>732;109</t>
  </si>
  <si>
    <t>303;192</t>
  </si>
  <si>
    <t>286;84</t>
  </si>
  <si>
    <t>158;39</t>
  </si>
  <si>
    <t>491;329</t>
  </si>
  <si>
    <t>488;329</t>
  </si>
  <si>
    <t>493;500</t>
  </si>
  <si>
    <t>1386;89</t>
  </si>
  <si>
    <t>1280;160</t>
  </si>
  <si>
    <t>1562;44</t>
  </si>
  <si>
    <t>empire</t>
  </si>
  <si>
    <t>kingdom</t>
  </si>
  <si>
    <t>Capital</t>
  </si>
  <si>
    <t>Sydney</t>
  </si>
  <si>
    <t>Melbourne</t>
  </si>
  <si>
    <t>Brisbane</t>
  </si>
  <si>
    <t>Hobart</t>
  </si>
  <si>
    <t>Adelaide</t>
  </si>
  <si>
    <t>Alice Springs</t>
  </si>
  <si>
    <t>Geraldton</t>
  </si>
  <si>
    <t>Eucla</t>
  </si>
  <si>
    <t>Honolulu</t>
  </si>
  <si>
    <t>Zealandia</t>
  </si>
  <si>
    <t>Fiji</t>
  </si>
  <si>
    <t>Auckland</t>
  </si>
  <si>
    <t>Edoras</t>
  </si>
  <si>
    <t>(southern, bigger but less developed New Zealand island. Edoras is a reference to LOTR, the real name should be Christchurch)</t>
  </si>
  <si>
    <t>Bangkok</t>
  </si>
  <si>
    <t>Vientiane</t>
  </si>
  <si>
    <t>Phnom Penh</t>
  </si>
  <si>
    <t>Yangon</t>
  </si>
  <si>
    <t>Jakarta</t>
  </si>
  <si>
    <t>Kuala Lumpur</t>
  </si>
  <si>
    <t>Balikpapan</t>
  </si>
  <si>
    <t>Medan</t>
  </si>
  <si>
    <t>Port Moresby</t>
  </si>
  <si>
    <t>Manokwari</t>
  </si>
  <si>
    <t>Manila</t>
  </si>
  <si>
    <t>Rabaul</t>
  </si>
  <si>
    <t>Makassar</t>
  </si>
  <si>
    <t>Maluku</t>
  </si>
  <si>
    <t>Timor Leste</t>
  </si>
  <si>
    <t>New Delhi</t>
  </si>
  <si>
    <t>Visakhapatnam</t>
  </si>
  <si>
    <t>Dhaka</t>
  </si>
  <si>
    <t>Ahmedabad</t>
  </si>
  <si>
    <t>Karachi</t>
  </si>
  <si>
    <t>Mumai</t>
  </si>
  <si>
    <t>Chennai</t>
  </si>
  <si>
    <t>Colombo</t>
  </si>
  <si>
    <t>Hong Kong</t>
  </si>
  <si>
    <t>Haikou</t>
  </si>
  <si>
    <t>Taipei</t>
  </si>
  <si>
    <t>duchy</t>
  </si>
  <si>
    <t>formula capital duchy</t>
  </si>
  <si>
    <t>formula capital province</t>
  </si>
  <si>
    <t>Parsi</t>
  </si>
  <si>
    <t>Pratihara</t>
  </si>
  <si>
    <t>name localization</t>
  </si>
  <si>
    <t>group localization</t>
  </si>
  <si>
    <t xml:space="preserve">altaic </t>
  </si>
  <si>
    <t xml:space="preserve">arabic </t>
  </si>
  <si>
    <t xml:space="preserve">baltic </t>
  </si>
  <si>
    <t xml:space="preserve">byzantine </t>
  </si>
  <si>
    <t xml:space="preserve">celtic </t>
  </si>
  <si>
    <t xml:space="preserve">central_african </t>
  </si>
  <si>
    <t xml:space="preserve">central_germanic </t>
  </si>
  <si>
    <t xml:space="preserve">chinese_group </t>
  </si>
  <si>
    <t xml:space="preserve">dravidian_group </t>
  </si>
  <si>
    <t xml:space="preserve">east_african </t>
  </si>
  <si>
    <t xml:space="preserve">east_slavic </t>
  </si>
  <si>
    <t xml:space="preserve">finno_ugric </t>
  </si>
  <si>
    <t xml:space="preserve">iberian </t>
  </si>
  <si>
    <t xml:space="preserve">indo_aryan_group </t>
  </si>
  <si>
    <t xml:space="preserve">iranian </t>
  </si>
  <si>
    <t xml:space="preserve">israelite </t>
  </si>
  <si>
    <t xml:space="preserve">latin </t>
  </si>
  <si>
    <t xml:space="preserve">magyar </t>
  </si>
  <si>
    <t xml:space="preserve">mesoamerican </t>
  </si>
  <si>
    <t xml:space="preserve">north_germanic </t>
  </si>
  <si>
    <t xml:space="preserve">south_slavic </t>
  </si>
  <si>
    <t xml:space="preserve">tibetan_group </t>
  </si>
  <si>
    <t xml:space="preserve">west_african </t>
  </si>
  <si>
    <t xml:space="preserve">west_germanic </t>
  </si>
  <si>
    <t xml:space="preserve">west_slavic </t>
  </si>
  <si>
    <t>group code</t>
  </si>
  <si>
    <t>group_code</t>
  </si>
  <si>
    <t>North_Germanic</t>
  </si>
  <si>
    <t>Central_Germanic</t>
  </si>
  <si>
    <t>West_Germanic</t>
  </si>
  <si>
    <t>East_Slavic</t>
  </si>
  <si>
    <t>West_Slavic</t>
  </si>
  <si>
    <t>South_Slavic</t>
  </si>
  <si>
    <t>East_African</t>
  </si>
  <si>
    <t>Central_African</t>
  </si>
  <si>
    <t>West_African</t>
  </si>
  <si>
    <t>Finno_Ugric</t>
  </si>
  <si>
    <t>Indo_Aryan</t>
  </si>
  <si>
    <t>Tibeto_Burman</t>
  </si>
  <si>
    <t>Auzlander</t>
  </si>
  <si>
    <t>original row order</t>
  </si>
  <si>
    <t>Aus group if still restricted to vanilla group</t>
  </si>
  <si>
    <t>Melbin</t>
  </si>
  <si>
    <t>South Asian</t>
  </si>
  <si>
    <t>Parsi-Muhajir</t>
  </si>
  <si>
    <t>Guinean</t>
  </si>
  <si>
    <t>Peninsular</t>
  </si>
  <si>
    <t>north_germanic ;;;;;;;;;;;;;;x</t>
  </si>
  <si>
    <t>central_germanic ;;;;;;;;;;;;;;x</t>
  </si>
  <si>
    <t>west_germanic ;;;;;;;;;;;;;;x</t>
  </si>
  <si>
    <t>latin ;;;;;;;;;;;;;;x</t>
  </si>
  <si>
    <t>iberian ;;;;;;;;;;;;;;x</t>
  </si>
  <si>
    <t>byzantine ;;;;;;;;;;;;;;x</t>
  </si>
  <si>
    <t>celtic ;;;;;;;;;;;;;;x</t>
  </si>
  <si>
    <t>finno_ugric ;;;;;;;;;;;;;;x</t>
  </si>
  <si>
    <t>baltic ;;;;;;;;;;;;;;x</t>
  </si>
  <si>
    <t>altaic ;;;;;;;;;;;;;;x</t>
  </si>
  <si>
    <t>arabic ;;;;;;;;;;;;;;x</t>
  </si>
  <si>
    <t>east_slavic ;;;;;;;;;;;;;;x</t>
  </si>
  <si>
    <t>west_slavic ;;;;;;;;;;;;;;x</t>
  </si>
  <si>
    <t>south_slavic ;;;;;;;;;;;;;;x</t>
  </si>
  <si>
    <t>magyar ;;;;;;;;;;;;;;x</t>
  </si>
  <si>
    <t>iranian ;;;;;;;;;;;;;;x</t>
  </si>
  <si>
    <t>east_african ;;;;;;;;;;;;;;x</t>
  </si>
  <si>
    <t>west_african ;;;;;;;;;;;;;;x</t>
  </si>
  <si>
    <t>israelite ;;;;;;;;;;;;;;x</t>
  </si>
  <si>
    <t>indo_aryan_group ;;;;;;;;;;;;;;x</t>
  </si>
  <si>
    <t>Laotian</t>
  </si>
  <si>
    <t>Ozian</t>
  </si>
  <si>
    <t>frankish</t>
  </si>
  <si>
    <t>chinese_group</t>
  </si>
  <si>
    <t>iranian</t>
  </si>
  <si>
    <t>israelite</t>
  </si>
  <si>
    <t>latin</t>
  </si>
  <si>
    <t>mesoamerican</t>
  </si>
  <si>
    <t>localization formula</t>
  </si>
  <si>
    <t>group localization formula</t>
  </si>
  <si>
    <t>norse_pagan_reformed</t>
  </si>
  <si>
    <t>west_african_pagan_reformed</t>
  </si>
  <si>
    <t>aztec_reformed</t>
  </si>
  <si>
    <t>zun_pagan_reformed</t>
  </si>
  <si>
    <t>bon_reformed</t>
  </si>
  <si>
    <t>christianity</t>
  </si>
  <si>
    <t>name</t>
  </si>
  <si>
    <t>culture</t>
  </si>
  <si>
    <t>kanga</t>
  </si>
  <si>
    <t>boomarang</t>
  </si>
  <si>
    <t>australian</t>
  </si>
  <si>
    <t>dreamtime</t>
  </si>
  <si>
    <t>indiginous australian</t>
  </si>
  <si>
    <t>5 holy sites?</t>
  </si>
  <si>
    <t>hellenic_pagan_reformed</t>
  </si>
  <si>
    <t>New Age</t>
  </si>
  <si>
    <t>fraticelli</t>
  </si>
  <si>
    <t>Anglican</t>
  </si>
  <si>
    <t>250;0;0</t>
  </si>
  <si>
    <t>Methodist</t>
  </si>
  <si>
    <t>350;0;0</t>
  </si>
  <si>
    <t>norse_pagan;3088;1157</t>
  </si>
  <si>
    <t>norse_pagan;2201;325</t>
  </si>
  <si>
    <t>norse_pagan;2990;1657</t>
  </si>
  <si>
    <t>norse_pagan_reformed;3771;179</t>
  </si>
  <si>
    <t>norse_pagan_reformed;3980;1082</t>
  </si>
  <si>
    <t>norse_pagan_reformed;3088;1157</t>
  </si>
  <si>
    <t>norse_pagan_reformed;2201;325</t>
  </si>
  <si>
    <t>norse_pagan_reformed;2990;1657</t>
  </si>
  <si>
    <t>pagan;3088;1157</t>
  </si>
  <si>
    <t>pagan;2201;325</t>
  </si>
  <si>
    <t>pagan;2990;1657</t>
  </si>
  <si>
    <t>zunist_pagan;2251;1804; Mt Olympus in Tasmania</t>
  </si>
  <si>
    <t>zunist_pagan;1471;1605 Albany south of Perth</t>
  </si>
  <si>
    <t>zunist_pagan_reformed;2251;1804; Mt Olympus in Tasmania</t>
  </si>
  <si>
    <t>zunist_pagan_reformed;1471;1605 Albany south of Perth</t>
  </si>
  <si>
    <t>hellenic_pagan;2251;1804; Mt Olympus in Tasmania</t>
  </si>
  <si>
    <t>hellenic_pagan_reformed;2251;1804; Mt Olympus in Tasmania</t>
  </si>
  <si>
    <t>messalian;1471;1605 Albany south of Perth</t>
  </si>
  <si>
    <t>sunni;1190;853</t>
  </si>
  <si>
    <t>sunni;1909;707</t>
  </si>
  <si>
    <t>sunni;1412;559</t>
  </si>
  <si>
    <t>sunni;1131;656</t>
  </si>
  <si>
    <t>sunni;1469;492</t>
  </si>
  <si>
    <t>shia;1190;853</t>
  </si>
  <si>
    <t>shia;1909;707</t>
  </si>
  <si>
    <t>shia;1412;559</t>
  </si>
  <si>
    <t>shia;1131;656</t>
  </si>
  <si>
    <t>shia;1469;492</t>
  </si>
  <si>
    <t>ibadi;1190;853</t>
  </si>
  <si>
    <t>ibadi;1909;707</t>
  </si>
  <si>
    <t>ibadi;1412;559</t>
  </si>
  <si>
    <t>ibadi;1131;656</t>
  </si>
  <si>
    <t>ibadi;1469;492</t>
  </si>
  <si>
    <t>Druze;1190;853</t>
  </si>
  <si>
    <t>Druze;1909;707</t>
  </si>
  <si>
    <t>Druze;1412;559</t>
  </si>
  <si>
    <t>Druze;1131;656</t>
  </si>
  <si>
    <t>Druze;1469;492</t>
  </si>
  <si>
    <t>Hurufi;1190;853</t>
  </si>
  <si>
    <t>Hurufi;1909;707</t>
  </si>
  <si>
    <t>Hurufi;1412;559</t>
  </si>
  <si>
    <t>Hurufi;1131;656</t>
  </si>
  <si>
    <t>Hurufi;1469;492</t>
  </si>
  <si>
    <t>Kharijite;1190;853</t>
  </si>
  <si>
    <t>Kharijite;1909;707</t>
  </si>
  <si>
    <t>Kharijite;1412;559</t>
  </si>
  <si>
    <t>Kharijite;1131;656</t>
  </si>
  <si>
    <t>Kharijite;1469;492</t>
  </si>
  <si>
    <t>Qarmatian;1190;853</t>
  </si>
  <si>
    <t>Qarmatian;1909;707</t>
  </si>
  <si>
    <t>Qarmatian;1412;559</t>
  </si>
  <si>
    <t>Qarmatian;1131;656</t>
  </si>
  <si>
    <t>Qarmatian;1469;492</t>
  </si>
  <si>
    <t>Yazidi;1190;853</t>
  </si>
  <si>
    <t>Yazidi;1909;707</t>
  </si>
  <si>
    <t>Yazidi;1412;559</t>
  </si>
  <si>
    <t>Yazidi;1131;656</t>
  </si>
  <si>
    <t>Yazidi;1469;492</t>
  </si>
  <si>
    <t>Zikri;1190;853</t>
  </si>
  <si>
    <t>Zikri;1909;707</t>
  </si>
  <si>
    <t>Zikri;1412;559</t>
  </si>
  <si>
    <t>Zikri;1131;656</t>
  </si>
  <si>
    <t>Zikri;1469;492</t>
  </si>
  <si>
    <t>hindu;382;9</t>
  </si>
  <si>
    <t>hindu;740;112</t>
  </si>
  <si>
    <t>hindu;487;332</t>
  </si>
  <si>
    <t>hindu;302;192</t>
  </si>
  <si>
    <t>hindu;284;86</t>
  </si>
  <si>
    <t>jain;382;9</t>
  </si>
  <si>
    <t>jain;408;282</t>
  </si>
  <si>
    <t>jain;487;332</t>
  </si>
  <si>
    <t>jain;302;192</t>
  </si>
  <si>
    <t>jain;284;86</t>
  </si>
  <si>
    <t>zoroastrian;301;189</t>
  </si>
  <si>
    <t>zoroastrian;302;128</t>
  </si>
  <si>
    <t>zoroastrian;211;100</t>
  </si>
  <si>
    <t>zoroastrian;23;6</t>
  </si>
  <si>
    <t>zoroastrian;289;331</t>
  </si>
  <si>
    <t>Mazdaki;301;189</t>
  </si>
  <si>
    <t>Mazdaki;302;128</t>
  </si>
  <si>
    <t>Mazdaki;211;100</t>
  </si>
  <si>
    <t>Mazdaki;23;6</t>
  </si>
  <si>
    <t>Mazdaki;289;331</t>
  </si>
  <si>
    <t>Manichaean;301;189</t>
  </si>
  <si>
    <t>Manichaean;302;128</t>
  </si>
  <si>
    <t>Manichaean;211;100</t>
  </si>
  <si>
    <t>Manichaean;23;6</t>
  </si>
  <si>
    <t>Manichaean;289;331</t>
  </si>
  <si>
    <t>Khurmazta;1190;853</t>
  </si>
  <si>
    <t>Khurmazta;1909;707</t>
  </si>
  <si>
    <t>Khurmazta;1412;559</t>
  </si>
  <si>
    <t>Khurmazta;1131;656</t>
  </si>
  <si>
    <t>Khurmazta;1469;492</t>
  </si>
  <si>
    <t>bon;1104;209</t>
  </si>
  <si>
    <t>bon;1250;236</t>
  </si>
  <si>
    <t>bon;1090;117</t>
  </si>
  <si>
    <t>bon;1185;146</t>
  </si>
  <si>
    <t>bon;1145;413</t>
  </si>
  <si>
    <t>bon_reformed;1104;209</t>
  </si>
  <si>
    <t>bon_reformed;1250;236</t>
  </si>
  <si>
    <t>bon_reformed;1090;117</t>
  </si>
  <si>
    <t>bon_reformed;1185;146</t>
  </si>
  <si>
    <t>bon_reformed;1145;413</t>
  </si>
  <si>
    <t>norse_pagan;3771;179</t>
  </si>
  <si>
    <t>norse_pagan;3980;1082</t>
  </si>
  <si>
    <t>pagan;3771;179</t>
  </si>
  <si>
    <t>pagan;3980;1082</t>
  </si>
  <si>
    <t>aztec_pagan;3019;1735</t>
  </si>
  <si>
    <t>aztec_pagan;2034;1615</t>
  </si>
  <si>
    <t>aztec_pagan;1436;1518</t>
  </si>
  <si>
    <t>aztec_pagan;1912;1314</t>
  </si>
  <si>
    <t>aztec_pagan;2204;1681</t>
  </si>
  <si>
    <t>aztec_pagan_reformed;3019;1735</t>
  </si>
  <si>
    <t>aztec_pagan_reformed;2034;1615</t>
  </si>
  <si>
    <t>aztec_pagan_reformed;1436;1518</t>
  </si>
  <si>
    <t>aztec_pagan_reformed;1912;1314</t>
  </si>
  <si>
    <t>aztec_pagan_reformed;2204;1681</t>
  </si>
  <si>
    <t>zunist_pagan;1912;1314</t>
  </si>
  <si>
    <t>zunist_pagan;1828;1433</t>
  </si>
  <si>
    <t>zunist_pagan;2284;1639</t>
  </si>
  <si>
    <t>zunist_pagan_reformed;1912;1314</t>
  </si>
  <si>
    <t>zunist_pagan_reformed;1828;1433</t>
  </si>
  <si>
    <t>zunist_pagan_reformed;2260;1648</t>
  </si>
  <si>
    <t>hellenic_pagan;2301;1656</t>
  </si>
  <si>
    <t>hellenic_pagan;2323;1562</t>
  </si>
  <si>
    <t>hellenic_pagan;2177;1698</t>
  </si>
  <si>
    <t>hellenic_pagan;2231;1705</t>
  </si>
  <si>
    <t>hellenic_pagan_reformed;2301;1656</t>
  </si>
  <si>
    <t>hellenic_pagan_reformed;2323;1562</t>
  </si>
  <si>
    <t>hellenic_pagan_reformed;2177;1698</t>
  </si>
  <si>
    <t>hellenic_pagan_reformed;2231;1705</t>
  </si>
  <si>
    <t>african_pagan;1912;1314</t>
  </si>
  <si>
    <t>african_pagan;2223;1142</t>
  </si>
  <si>
    <t>african_pagan; 1986;1011</t>
  </si>
  <si>
    <t>african_pagan;2026;1432</t>
  </si>
  <si>
    <t>african_pagan;3019;1735</t>
  </si>
  <si>
    <t>african_pagan_reformed;1912;1314</t>
  </si>
  <si>
    <t>african_pagan_reformed;2223;1142</t>
  </si>
  <si>
    <t>african_pagan_reformed; 1986;1011</t>
  </si>
  <si>
    <t>african_pagan_reformed;2026;1432</t>
  </si>
  <si>
    <t>african_pagan_reformed;3019;1735</t>
  </si>
  <si>
    <t>tengri_pagan;2323;1562</t>
  </si>
  <si>
    <t>tengri_pagan;2204;1681</t>
  </si>
  <si>
    <t>tengri_pagan;2416;1454</t>
  </si>
  <si>
    <t>tengri_pagan;2284;1639</t>
  </si>
  <si>
    <t>tengri_pagan;2354;1603</t>
  </si>
  <si>
    <t>tengri_pagan_reformed;2323;1562</t>
  </si>
  <si>
    <t>tengri_pagan_reformed;2204;1681</t>
  </si>
  <si>
    <t>tengri_pagan_reformed;2416;1454</t>
  </si>
  <si>
    <t>tengri_pagan_reformed;2284;1639</t>
  </si>
  <si>
    <t>tengri_pagan_reformed;2354;1603</t>
  </si>
  <si>
    <t>catholic;1570;294</t>
  </si>
  <si>
    <t>catholic;2203;808</t>
  </si>
  <si>
    <t>catholic;1689;496</t>
  </si>
  <si>
    <t>catholic;1913;707</t>
  </si>
  <si>
    <t>catholic;1674;645</t>
  </si>
  <si>
    <t xml:space="preserve"> the largest Christ statue in Asia</t>
  </si>
  <si>
    <t>orthodox;2416;1409</t>
  </si>
  <si>
    <t xml:space="preserve"> brisbane</t>
  </si>
  <si>
    <t>orthodox;2361;1584</t>
  </si>
  <si>
    <t>orthodox;2202;1681</t>
  </si>
  <si>
    <t>orthodox;2990;1660</t>
  </si>
  <si>
    <t>orthodox;2309;1612</t>
  </si>
  <si>
    <t>fraticelli;2416;1409</t>
  </si>
  <si>
    <t>fraticelli;2361;1584</t>
  </si>
  <si>
    <t>fraticelli;2202;1681</t>
  </si>
  <si>
    <t>fraticelli;2990;1660</t>
  </si>
  <si>
    <t>fraticelli;2309;1612</t>
  </si>
  <si>
    <t>waldensian;1570;294</t>
  </si>
  <si>
    <t>waldensian;2203;808</t>
  </si>
  <si>
    <t>waldensian;1689;496</t>
  </si>
  <si>
    <t>waldensian;1913;707</t>
  </si>
  <si>
    <t>waldensian;1674;645</t>
  </si>
  <si>
    <t>lollard;1570;294</t>
  </si>
  <si>
    <t>lollard;2203;808</t>
  </si>
  <si>
    <t>lollard;1689;496</t>
  </si>
  <si>
    <t>lollard;1913;707</t>
  </si>
  <si>
    <t>lollard;1674;645</t>
  </si>
  <si>
    <t>miaphysite;1570;294</t>
  </si>
  <si>
    <t>miaphysite;2203;808</t>
  </si>
  <si>
    <t>miaphysite;1689;496</t>
  </si>
  <si>
    <t>miaphysite;1913;707</t>
  </si>
  <si>
    <t>miaphysite;1674;645</t>
  </si>
  <si>
    <t>monophysite;1570;294</t>
  </si>
  <si>
    <t>monophysite;2203;808</t>
  </si>
  <si>
    <t>monophysite;1689;496</t>
  </si>
  <si>
    <t>monophysite;1913;707</t>
  </si>
  <si>
    <t>monophysite;1674;645</t>
  </si>
  <si>
    <t>messalian;1786;1515</t>
  </si>
  <si>
    <t>messalian;1686;1441</t>
  </si>
  <si>
    <t>messalian;2034;1615</t>
  </si>
  <si>
    <t>messalian;1436;1518</t>
  </si>
  <si>
    <t>nestorian;1786;1515</t>
  </si>
  <si>
    <t>nestorian;1686;1441</t>
  </si>
  <si>
    <t>nestorian;2034;1615</t>
  </si>
  <si>
    <t>nestorian;2026;1432</t>
  </si>
  <si>
    <t>nestorian;2202;1681</t>
  </si>
  <si>
    <t>cathar;2416;1409</t>
  </si>
  <si>
    <t>cathar;2361;1584</t>
  </si>
  <si>
    <t>cathar;2202;1681</t>
  </si>
  <si>
    <t>cathar;2990;1660</t>
  </si>
  <si>
    <t>cathar;2309;1612</t>
  </si>
  <si>
    <t>bogomilist;2416;1409</t>
  </si>
  <si>
    <t>bogomilist;2361;1584</t>
  </si>
  <si>
    <t>bogomilist;2202;1681</t>
  </si>
  <si>
    <t>bogomilist;2203;808</t>
  </si>
  <si>
    <t>bogomilist;2309;1612</t>
  </si>
  <si>
    <t>monothelite;3019;1735</t>
  </si>
  <si>
    <t>monothelite;2361;1584</t>
  </si>
  <si>
    <t>monothelite;2202;1681</t>
  </si>
  <si>
    <t>monothelite;2990;1660</t>
  </si>
  <si>
    <t>monothelite;2309;1612</t>
  </si>
  <si>
    <t>iconoclast;2416;1409</t>
  </si>
  <si>
    <t>iconoclast;2361;1584</t>
  </si>
  <si>
    <t>iconoclast;2202;1681</t>
  </si>
  <si>
    <t>iconoclast;2990;1660</t>
  </si>
  <si>
    <t>iconoclast;2309;1612</t>
  </si>
  <si>
    <t>paulician;1570;294</t>
  </si>
  <si>
    <t>paulician;2203;808</t>
  </si>
  <si>
    <t>paulician;1689;496</t>
  </si>
  <si>
    <t>paulician;1913;707</t>
  </si>
  <si>
    <t>paulician;1674;645</t>
  </si>
  <si>
    <t>jewish;2416;1409</t>
  </si>
  <si>
    <t>jewish;2361;1584</t>
  </si>
  <si>
    <t>jewish;2202;1681</t>
  </si>
  <si>
    <t>jewish;1639</t>
  </si>
  <si>
    <t>jewish;2309;1612</t>
  </si>
  <si>
    <t>Samaritan;2416;1409</t>
  </si>
  <si>
    <t>Samaritan;2361;1584</t>
  </si>
  <si>
    <t>Samaritan;2202;1681</t>
  </si>
  <si>
    <t>Samaritan;1639</t>
  </si>
  <si>
    <t>Samaritan;2309;1612</t>
  </si>
  <si>
    <t>Karaite;2416;1409</t>
  </si>
  <si>
    <t>Karaite;2361;1584</t>
  </si>
  <si>
    <t>Karaite;2202;1681</t>
  </si>
  <si>
    <t>Karaite;1639</t>
  </si>
  <si>
    <t>Karaite;2309;1612</t>
  </si>
  <si>
    <t>buddhist;1030;320</t>
  </si>
  <si>
    <t>buddhist;1060;605</t>
  </si>
  <si>
    <t>buddhist;1143;412</t>
  </si>
  <si>
    <t>buddhist;1186;144</t>
  </si>
  <si>
    <t>buddhist;916</t>
  </si>
  <si>
    <t xml:space="preserve"> myanmar</t>
  </si>
  <si>
    <t>taoist;1186;144</t>
  </si>
  <si>
    <t>taoist;1563;45</t>
  </si>
  <si>
    <t>taoist;1570;294</t>
  </si>
  <si>
    <t>taoist;1387;92</t>
  </si>
  <si>
    <t>taoist;1285;160</t>
  </si>
  <si>
    <t>manichean</t>
  </si>
  <si>
    <t>Scavenger's Cult</t>
  </si>
  <si>
    <t>custom namelist?</t>
  </si>
  <si>
    <t>Ali</t>
  </si>
  <si>
    <t>Koa</t>
  </si>
  <si>
    <t>male</t>
  </si>
  <si>
    <t>Mia</t>
  </si>
  <si>
    <t>David</t>
  </si>
  <si>
    <t>Jack</t>
  </si>
  <si>
    <t>Aroha</t>
  </si>
  <si>
    <t>Kai</t>
  </si>
  <si>
    <t>Manaia</t>
  </si>
  <si>
    <t>Mikaere</t>
  </si>
  <si>
    <t>Noah</t>
  </si>
  <si>
    <t>Wiremu</t>
  </si>
  <si>
    <t>Anahera</t>
  </si>
  <si>
    <t>James</t>
  </si>
  <si>
    <t>Jacob</t>
  </si>
  <si>
    <t>Gabriel</t>
  </si>
  <si>
    <t>Joshua</t>
  </si>
  <si>
    <t>Daniel</t>
  </si>
  <si>
    <t>Richard</t>
  </si>
  <si>
    <t>Benjamin</t>
  </si>
  <si>
    <t>Jake</t>
  </si>
  <si>
    <t>Lance</t>
  </si>
  <si>
    <t>Ronnie</t>
  </si>
  <si>
    <t>Sonny</t>
  </si>
  <si>
    <t>female</t>
  </si>
  <si>
    <t>Daisy</t>
  </si>
  <si>
    <t>Eva</t>
  </si>
  <si>
    <t>Hazel</t>
  </si>
  <si>
    <t>Ari</t>
  </si>
  <si>
    <t>Rak</t>
  </si>
  <si>
    <t>Michael</t>
  </si>
  <si>
    <t>Samuel</t>
  </si>
  <si>
    <t>Isla</t>
  </si>
  <si>
    <t>Maia</t>
  </si>
  <si>
    <t>Joseph</t>
  </si>
  <si>
    <t>Lucy</t>
  </si>
  <si>
    <t>Thomas</t>
  </si>
  <si>
    <t>Robert</t>
  </si>
  <si>
    <t>George</t>
  </si>
  <si>
    <t>Dorothy</t>
  </si>
  <si>
    <t>Agnes</t>
  </si>
  <si>
    <t>William</t>
  </si>
  <si>
    <t>Alice</t>
  </si>
  <si>
    <t>Luke</t>
  </si>
  <si>
    <t>Henry</t>
  </si>
  <si>
    <t>Patrick</t>
  </si>
  <si>
    <t>Vincent</t>
  </si>
  <si>
    <t>Leo</t>
  </si>
  <si>
    <t>Jackson</t>
  </si>
  <si>
    <t>Kevin</t>
  </si>
  <si>
    <t>Charles</t>
  </si>
  <si>
    <t>Felix</t>
  </si>
  <si>
    <t>Kelly</t>
  </si>
  <si>
    <t>Lucas</t>
  </si>
  <si>
    <t>Stella</t>
  </si>
  <si>
    <t>Freda</t>
  </si>
  <si>
    <t>Elsie</t>
  </si>
  <si>
    <t>Edward</t>
  </si>
  <si>
    <t>Charlie</t>
  </si>
  <si>
    <t>Evelyn</t>
  </si>
  <si>
    <t>Ronald</t>
  </si>
  <si>
    <t>Sarah</t>
  </si>
  <si>
    <t>Eli</t>
  </si>
  <si>
    <t>Rachel</t>
  </si>
  <si>
    <t>Dick</t>
  </si>
  <si>
    <t>Bobby</t>
  </si>
  <si>
    <t>Greg</t>
  </si>
  <si>
    <t>Elijah</t>
  </si>
  <si>
    <t>Harry</t>
  </si>
  <si>
    <t>Levi</t>
  </si>
  <si>
    <t>Isaac</t>
  </si>
  <si>
    <t>Oscar</t>
  </si>
  <si>
    <t>Jude</t>
  </si>
  <si>
    <t>Adam</t>
  </si>
  <si>
    <t>Nigel</t>
  </si>
  <si>
    <t>Kora</t>
  </si>
  <si>
    <t>Owen</t>
  </si>
  <si>
    <t>Olivia</t>
  </si>
  <si>
    <t>Matthew</t>
  </si>
  <si>
    <t>Lily</t>
  </si>
  <si>
    <t>Sebastian</t>
  </si>
  <si>
    <t>Oliver</t>
  </si>
  <si>
    <t>Arthur</t>
  </si>
  <si>
    <t>Sophie</t>
  </si>
  <si>
    <t>Bonnie</t>
  </si>
  <si>
    <t>Louis</t>
  </si>
  <si>
    <t>Ann</t>
  </si>
  <si>
    <t>Jordan</t>
  </si>
  <si>
    <t>Gordon</t>
  </si>
  <si>
    <t>Ellie</t>
  </si>
  <si>
    <t>Kaia</t>
  </si>
  <si>
    <t>Aaron</t>
  </si>
  <si>
    <t>Trevor</t>
  </si>
  <si>
    <t>Mason</t>
  </si>
  <si>
    <t>Caleb</t>
  </si>
  <si>
    <t>Ryan</t>
  </si>
  <si>
    <t>Spencer</t>
  </si>
  <si>
    <t>Maxie</t>
  </si>
  <si>
    <t>Muhajir</t>
  </si>
  <si>
    <t>Crash</t>
  </si>
  <si>
    <t>Fysh</t>
  </si>
  <si>
    <t>Heller</t>
  </si>
  <si>
    <t>Jacksin</t>
  </si>
  <si>
    <t>Kuba</t>
  </si>
  <si>
    <t>Legend</t>
  </si>
  <si>
    <t>Lundynn</t>
  </si>
  <si>
    <t>Lynxx</t>
  </si>
  <si>
    <t>Pinches</t>
  </si>
  <si>
    <t>Rolexus</t>
  </si>
  <si>
    <t>Chardae</t>
  </si>
  <si>
    <t>Jenesis</t>
  </si>
  <si>
    <t>Mattel</t>
  </si>
  <si>
    <t>Sharlet</t>
  </si>
  <si>
    <t>Summerbreeze</t>
  </si>
  <si>
    <t>Trynyty</t>
  </si>
  <si>
    <t>Velveeta</t>
  </si>
  <si>
    <t>Wednezdai</t>
  </si>
  <si>
    <t>Zacqueline</t>
  </si>
  <si>
    <t>Crystal</t>
  </si>
  <si>
    <t>Yolo</t>
  </si>
  <si>
    <t>Sativa</t>
  </si>
  <si>
    <t>Indica</t>
  </si>
  <si>
    <t>CARRYN</t>
  </si>
  <si>
    <t>CHABLIS</t>
  </si>
  <si>
    <t>CORONA</t>
  </si>
  <si>
    <t>GRACELAND</t>
  </si>
  <si>
    <t>HONESTEE</t>
  </si>
  <si>
    <t>JEZZABELLA</t>
  </si>
  <si>
    <t>JINX</t>
  </si>
  <si>
    <t>JUMELLE</t>
  </si>
  <si>
    <t>AXE</t>
  </si>
  <si>
    <t>BAMBOO</t>
  </si>
  <si>
    <t>CHATON</t>
  </si>
  <si>
    <t>DAGGER</t>
  </si>
  <si>
    <t>JAGUAR</t>
  </si>
  <si>
    <t>JAXTYNN</t>
  </si>
  <si>
    <t>JEVIN</t>
  </si>
  <si>
    <t>MORDAX</t>
  </si>
  <si>
    <t>RAD</t>
  </si>
  <si>
    <t>TYGRRR</t>
  </si>
  <si>
    <t>Anomaly</t>
  </si>
  <si>
    <t>Antwohnette</t>
  </si>
  <si>
    <t>Charmayanne</t>
  </si>
  <si>
    <t>Sianna-Marrie</t>
  </si>
  <si>
    <t>Snowdrop</t>
  </si>
  <si>
    <t>Starlette</t>
  </si>
  <si>
    <t>Velvette</t>
  </si>
  <si>
    <t>Vin'Nyla</t>
  </si>
  <si>
    <t>Windy</t>
  </si>
  <si>
    <t>Brayan</t>
  </si>
  <si>
    <t>Kanaan</t>
  </si>
  <si>
    <t>Kairo</t>
  </si>
  <si>
    <t>Pluto</t>
  </si>
  <si>
    <t>Precise</t>
  </si>
  <si>
    <t>Sincere</t>
  </si>
  <si>
    <t>Tenysi</t>
  </si>
  <si>
    <t>Tigger</t>
  </si>
  <si>
    <t>Tokyo</t>
  </si>
  <si>
    <t>Wiatt</t>
  </si>
  <si>
    <t>Bylan</t>
  </si>
  <si>
    <t>Carridyn</t>
  </si>
  <si>
    <t>Hairry</t>
  </si>
  <si>
    <t>Jaze</t>
  </si>
  <si>
    <t>Konor</t>
  </si>
  <si>
    <t>Kreighton</t>
  </si>
  <si>
    <t>Squire</t>
  </si>
  <si>
    <t>Tayn</t>
  </si>
  <si>
    <t>Vaelen</t>
  </si>
  <si>
    <t>Xayvya</t>
  </si>
  <si>
    <t>Chavelle</t>
  </si>
  <si>
    <t>Espirit</t>
  </si>
  <si>
    <t>Galaxcia</t>
  </si>
  <si>
    <t>Heavyn</t>
  </si>
  <si>
    <t>Tannyyn</t>
  </si>
  <si>
    <t>Wayve</t>
  </si>
  <si>
    <t>Lahnii</t>
  </si>
  <si>
    <t>Ryliee</t>
  </si>
  <si>
    <t>Shaelyn</t>
  </si>
  <si>
    <t>Silverina</t>
  </si>
  <si>
    <t>BACARDI</t>
  </si>
  <si>
    <t>GAIGE</t>
  </si>
  <si>
    <t>HARISYN</t>
  </si>
  <si>
    <t>JAKXSEN</t>
  </si>
  <si>
    <t>JARREN</t>
  </si>
  <si>
    <t>KENDREW</t>
  </si>
  <si>
    <t>LAKEN</t>
  </si>
  <si>
    <t>NICOMACHUS</t>
  </si>
  <si>
    <t>WYLIUMM</t>
  </si>
  <si>
    <t>ZYLER</t>
  </si>
  <si>
    <t>ALIZE</t>
  </si>
  <si>
    <t>DIJON</t>
  </si>
  <si>
    <t>ENIVID</t>
  </si>
  <si>
    <t>FEEBI</t>
  </si>
  <si>
    <t>HARLEEN</t>
  </si>
  <si>
    <t>JAZLYN</t>
  </si>
  <si>
    <t>KIRANDA</t>
  </si>
  <si>
    <t>MIGNON</t>
  </si>
  <si>
    <t>VEJONICA</t>
  </si>
  <si>
    <t>ZYLA</t>
  </si>
  <si>
    <t>BLADE</t>
  </si>
  <si>
    <t>BROGAN</t>
  </si>
  <si>
    <t>DAXON</t>
  </si>
  <si>
    <t>IZAAK</t>
  </si>
  <si>
    <t>JATHON</t>
  </si>
  <si>
    <t>J’ZAYDEN</t>
  </si>
  <si>
    <t>KHODII</t>
  </si>
  <si>
    <t>MACSEN</t>
  </si>
  <si>
    <t>ZABRYN</t>
  </si>
  <si>
    <t>BEAUTIFUL</t>
  </si>
  <si>
    <t>BRAELYN </t>
  </si>
  <si>
    <t>CHERYLDINE</t>
  </si>
  <si>
    <t>D’NYELL</t>
  </si>
  <si>
    <t>EVER</t>
  </si>
  <si>
    <t>KYLY</t>
  </si>
  <si>
    <t>McKYLA</t>
  </si>
  <si>
    <t>TRUELY </t>
  </si>
  <si>
    <t>YOUNIQUE</t>
  </si>
  <si>
    <t xml:space="preserve"> Afernee</t>
  </si>
  <si>
    <t xml:space="preserve"> Ashtyn</t>
  </si>
  <si>
    <t xml:space="preserve"> Beejay</t>
  </si>
  <si>
    <t xml:space="preserve"> Cruz</t>
  </si>
  <si>
    <t xml:space="preserve"> Haze</t>
  </si>
  <si>
    <t xml:space="preserve"> Holden</t>
  </si>
  <si>
    <t xml:space="preserve"> Kash</t>
  </si>
  <si>
    <t xml:space="preserve"> Storm</t>
  </si>
  <si>
    <t xml:space="preserve"> Tyson</t>
  </si>
  <si>
    <t xml:space="preserve"> Zaiden</t>
  </si>
  <si>
    <t xml:space="preserve"> Caprice</t>
  </si>
  <si>
    <t xml:space="preserve"> Cheyenne</t>
  </si>
  <si>
    <t xml:space="preserve"> Jorja</t>
  </si>
  <si>
    <t xml:space="preserve"> Mercedes</t>
  </si>
  <si>
    <t xml:space="preserve"> Nevaeh</t>
  </si>
  <si>
    <t xml:space="preserve"> Princ'ess</t>
  </si>
  <si>
    <t xml:space="preserve"> Rybekkah</t>
  </si>
  <si>
    <t xml:space="preserve"> Shiraz</t>
  </si>
  <si>
    <t xml:space="preserve"> Skylah</t>
  </si>
  <si>
    <t xml:space="preserve"> Vegas</t>
  </si>
  <si>
    <t>Damo</t>
  </si>
  <si>
    <t>Darren</t>
  </si>
  <si>
    <t>Nevaeh</t>
  </si>
  <si>
    <t>Jayden</t>
  </si>
  <si>
    <t>Harisyn</t>
  </si>
  <si>
    <t>"Jack Daniel"</t>
  </si>
  <si>
    <t>Feebi</t>
  </si>
  <si>
    <t>Beryl</t>
  </si>
  <si>
    <t>Rybekkah</t>
  </si>
  <si>
    <t>Kev</t>
  </si>
  <si>
    <t>Trev</t>
  </si>
  <si>
    <t>Dazza</t>
  </si>
  <si>
    <t>Wayno</t>
  </si>
  <si>
    <t>Wazza</t>
  </si>
  <si>
    <t>Davo</t>
  </si>
  <si>
    <t>Bazza</t>
  </si>
  <si>
    <t>Gazza</t>
  </si>
  <si>
    <t>Tezza</t>
  </si>
  <si>
    <t>Lazza</t>
  </si>
  <si>
    <t>Kirky</t>
  </si>
  <si>
    <t>Ecca</t>
  </si>
  <si>
    <t>Trace</t>
  </si>
  <si>
    <t>Jimbo</t>
  </si>
  <si>
    <t>Bobbo</t>
  </si>
  <si>
    <t>Shayno</t>
  </si>
  <si>
    <t>Stevo</t>
  </si>
  <si>
    <t>Poida</t>
  </si>
  <si>
    <t>Lancey</t>
  </si>
  <si>
    <t>Greggo</t>
  </si>
  <si>
    <t>Dezzie</t>
  </si>
  <si>
    <t>Dougie</t>
  </si>
  <si>
    <t>Reggie</t>
  </si>
  <si>
    <t>Stayer</t>
  </si>
  <si>
    <t>Nev</t>
  </si>
  <si>
    <t>Nige</t>
  </si>
  <si>
    <t>Percy</t>
  </si>
  <si>
    <t>Gordo</t>
  </si>
  <si>
    <t xml:space="preserve"> Charlotte</t>
  </si>
  <si>
    <t xml:space="preserve"> Olivia</t>
  </si>
  <si>
    <t xml:space="preserve"> Amelia</t>
  </si>
  <si>
    <t xml:space="preserve"> Isla</t>
  </si>
  <si>
    <t xml:space="preserve"> Mia</t>
  </si>
  <si>
    <t xml:space="preserve"> Ava</t>
  </si>
  <si>
    <t xml:space="preserve"> Grace</t>
  </si>
  <si>
    <t xml:space="preserve"> Willow</t>
  </si>
  <si>
    <t xml:space="preserve"> Harper</t>
  </si>
  <si>
    <t xml:space="preserve"> Chloe</t>
  </si>
  <si>
    <t xml:space="preserve"> Ella</t>
  </si>
  <si>
    <t xml:space="preserve"> Matilda</t>
  </si>
  <si>
    <t xml:space="preserve"> Sophie</t>
  </si>
  <si>
    <t xml:space="preserve"> Ruby</t>
  </si>
  <si>
    <t xml:space="preserve"> Ivy</t>
  </si>
  <si>
    <t xml:space="preserve"> Zoe</t>
  </si>
  <si>
    <t xml:space="preserve"> Isabella</t>
  </si>
  <si>
    <t xml:space="preserve"> Evie</t>
  </si>
  <si>
    <t xml:space="preserve"> Evelyn</t>
  </si>
  <si>
    <t xml:space="preserve"> Sophia</t>
  </si>
  <si>
    <t xml:space="preserve"> Emily</t>
  </si>
  <si>
    <t xml:space="preserve"> Lily</t>
  </si>
  <si>
    <t xml:space="preserve"> Lucy</t>
  </si>
  <si>
    <t xml:space="preserve"> Sienna</t>
  </si>
  <si>
    <t xml:space="preserve"> Aria</t>
  </si>
  <si>
    <t xml:space="preserve"> Oliver</t>
  </si>
  <si>
    <t xml:space="preserve"> Charlie</t>
  </si>
  <si>
    <t xml:space="preserve"> Riley</t>
  </si>
  <si>
    <t xml:space="preserve"> Mila</t>
  </si>
  <si>
    <t xml:space="preserve"> Georgia</t>
  </si>
  <si>
    <t xml:space="preserve"> Scarlett</t>
  </si>
  <si>
    <t xml:space="preserve"> Audrey</t>
  </si>
  <si>
    <t xml:space="preserve"> Abigail</t>
  </si>
  <si>
    <t xml:space="preserve"> Hannah</t>
  </si>
  <si>
    <t xml:space="preserve"> Zara</t>
  </si>
  <si>
    <t xml:space="preserve"> Hazel</t>
  </si>
  <si>
    <t xml:space="preserve"> Layla</t>
  </si>
  <si>
    <t xml:space="preserve"> Emma</t>
  </si>
  <si>
    <t xml:space="preserve"> Frankie</t>
  </si>
  <si>
    <t xml:space="preserve"> Ellie</t>
  </si>
  <si>
    <t xml:space="preserve"> Alice</t>
  </si>
  <si>
    <t xml:space="preserve"> Violet</t>
  </si>
  <si>
    <t xml:space="preserve"> Isabelle</t>
  </si>
  <si>
    <t xml:space="preserve"> Eva</t>
  </si>
  <si>
    <t xml:space="preserve"> Elsie</t>
  </si>
  <si>
    <t xml:space="preserve"> Poppy</t>
  </si>
  <si>
    <t xml:space="preserve"> Sofia</t>
  </si>
  <si>
    <t xml:space="preserve"> Penelope</t>
  </si>
  <si>
    <t xml:space="preserve"> Florence</t>
  </si>
  <si>
    <t xml:space="preserve"> Eleanor</t>
  </si>
  <si>
    <t xml:space="preserve"> Emilia</t>
  </si>
  <si>
    <t xml:space="preserve"> Luna</t>
  </si>
  <si>
    <t xml:space="preserve"> Freya</t>
  </si>
  <si>
    <t xml:space="preserve"> Mackenzie</t>
  </si>
  <si>
    <t xml:space="preserve"> Maya</t>
  </si>
  <si>
    <t xml:space="preserve"> Ayla</t>
  </si>
  <si>
    <t xml:space="preserve"> Elizabeth</t>
  </si>
  <si>
    <t xml:space="preserve"> Daisy</t>
  </si>
  <si>
    <t xml:space="preserve"> Stella</t>
  </si>
  <si>
    <t xml:space="preserve"> Summer</t>
  </si>
  <si>
    <t xml:space="preserve"> Harriet</t>
  </si>
  <si>
    <t xml:space="preserve"> Jasmine</t>
  </si>
  <si>
    <t xml:space="preserve"> Imogen</t>
  </si>
  <si>
    <t xml:space="preserve"> Piper</t>
  </si>
  <si>
    <t xml:space="preserve"> Sarah</t>
  </si>
  <si>
    <t xml:space="preserve"> Lola</t>
  </si>
  <si>
    <t xml:space="preserve"> Sadie</t>
  </si>
  <si>
    <t xml:space="preserve"> Billie</t>
  </si>
  <si>
    <t xml:space="preserve"> Phoebe</t>
  </si>
  <si>
    <t xml:space="preserve"> Eloise</t>
  </si>
  <si>
    <t xml:space="preserve"> Millie</t>
  </si>
  <si>
    <t xml:space="preserve"> Olive</t>
  </si>
  <si>
    <t xml:space="preserve"> Savannah</t>
  </si>
  <si>
    <t xml:space="preserve"> Annabelle</t>
  </si>
  <si>
    <t xml:space="preserve"> Bonnie</t>
  </si>
  <si>
    <t xml:space="preserve"> Claire</t>
  </si>
  <si>
    <t xml:space="preserve"> Rose</t>
  </si>
  <si>
    <t xml:space="preserve"> Maddison</t>
  </si>
  <si>
    <t xml:space="preserve"> Heidi</t>
  </si>
  <si>
    <t xml:space="preserve"> Eden</t>
  </si>
  <si>
    <t xml:space="preserve"> Madeline</t>
  </si>
  <si>
    <t xml:space="preserve"> Alexis</t>
  </si>
  <si>
    <t xml:space="preserve"> Anna</t>
  </si>
  <si>
    <t xml:space="preserve"> Lara</t>
  </si>
  <si>
    <t xml:space="preserve"> Ariana</t>
  </si>
  <si>
    <t xml:space="preserve"> Elena</t>
  </si>
  <si>
    <t xml:space="preserve"> Aaliyah</t>
  </si>
  <si>
    <t xml:space="preserve"> Bella</t>
  </si>
  <si>
    <t xml:space="preserve"> Peyton</t>
  </si>
  <si>
    <t xml:space="preserve"> Quinn</t>
  </si>
  <si>
    <t xml:space="preserve"> Victoria</t>
  </si>
  <si>
    <t xml:space="preserve"> Clara</t>
  </si>
  <si>
    <t xml:space="preserve"> Madison</t>
  </si>
  <si>
    <t xml:space="preserve"> Addison</t>
  </si>
  <si>
    <t xml:space="preserve"> Pippa</t>
  </si>
  <si>
    <t xml:space="preserve"> Lilly</t>
  </si>
  <si>
    <t xml:space="preserve"> Chelsea</t>
  </si>
  <si>
    <t xml:space="preserve"> Rosie</t>
  </si>
  <si>
    <t xml:space="preserve"> Indiana</t>
  </si>
  <si>
    <t xml:space="preserve"> Thea</t>
  </si>
  <si>
    <t>Aurora</t>
  </si>
  <si>
    <t>Aragorn</t>
  </si>
  <si>
    <t>Frodo</t>
  </si>
  <si>
    <t>Arod</t>
  </si>
  <si>
    <t>Balin</t>
  </si>
  <si>
    <t>Banazir</t>
  </si>
  <si>
    <t>Beregond</t>
  </si>
  <si>
    <t>Bergil</t>
  </si>
  <si>
    <t>Boromir</t>
  </si>
  <si>
    <t>Bregalad</t>
  </si>
  <si>
    <t>Celeborn</t>
  </si>
  <si>
    <t>Denethor</t>
  </si>
  <si>
    <t>Duilin</t>
  </si>
  <si>
    <t>Elessar</t>
  </si>
  <si>
    <t>Elladan</t>
  </si>
  <si>
    <t>Elros</t>
  </si>
  <si>
    <t>Eomer</t>
  </si>
  <si>
    <t>Eowyn</t>
  </si>
  <si>
    <t>Estel</t>
  </si>
  <si>
    <t>Fangorn</t>
  </si>
  <si>
    <t>Faramir</t>
  </si>
  <si>
    <t>Fimbrethil</t>
  </si>
  <si>
    <t>Finglas</t>
  </si>
  <si>
    <t>Fladrif</t>
  </si>
  <si>
    <t>Galadriel</t>
  </si>
  <si>
    <t>Gimli</t>
  </si>
  <si>
    <t>Gloin</t>
  </si>
  <si>
    <t>Glorfindel</t>
  </si>
  <si>
    <t>Gollum</t>
  </si>
  <si>
    <t>Gwaihir</t>
  </si>
  <si>
    <t>Halbarad</t>
  </si>
  <si>
    <t>Hasufel</t>
  </si>
  <si>
    <t>Hirluin</t>
  </si>
  <si>
    <t>Isildur</t>
  </si>
  <si>
    <t>Legolas</t>
  </si>
  <si>
    <t>Nimrodel</t>
  </si>
  <si>
    <t>Orald</t>
  </si>
  <si>
    <t>Peregrin</t>
  </si>
  <si>
    <t>Rohirrim</t>
  </si>
  <si>
    <t>Shadowfax</t>
  </si>
  <si>
    <t>Tintalle</t>
  </si>
  <si>
    <t>Leaflock</t>
  </si>
  <si>
    <t>Theoden</t>
  </si>
  <si>
    <t>Bilbo</t>
  </si>
  <si>
    <t>Barliman</t>
  </si>
  <si>
    <t>Elrond</t>
  </si>
  <si>
    <t>Meriadoc</t>
  </si>
  <si>
    <t>Samwise</t>
  </si>
  <si>
    <t>Arwen</t>
  </si>
  <si>
    <t>Elbereth</t>
  </si>
  <si>
    <t>Githoniel</t>
  </si>
  <si>
    <t>Beorn</t>
  </si>
  <si>
    <t>Luthien</t>
  </si>
  <si>
    <t>Tinuviel</t>
  </si>
  <si>
    <t>Goldberry</t>
  </si>
  <si>
    <t>Rosie</t>
  </si>
  <si>
    <t>Elanor</t>
  </si>
  <si>
    <t>Morwen</t>
  </si>
  <si>
    <t>Haleth</t>
  </si>
  <si>
    <t>Charlotte</t>
  </si>
  <si>
    <t>Ned</t>
  </si>
  <si>
    <t>"Ned Kelly"</t>
  </si>
  <si>
    <t>Amelia</t>
  </si>
  <si>
    <t>Willow</t>
  </si>
  <si>
    <t>Harper</t>
  </si>
  <si>
    <t>Ava</t>
  </si>
  <si>
    <t>Ella</t>
  </si>
  <si>
    <t>Hunter</t>
  </si>
  <si>
    <t>Aria</t>
  </si>
  <si>
    <t>Amaia</t>
  </si>
  <si>
    <t>Tiana</t>
  </si>
  <si>
    <t>Kaea</t>
  </si>
  <si>
    <t>Nikau</t>
  </si>
  <si>
    <t>Ihaia</t>
  </si>
  <si>
    <t>Manaaki</t>
  </si>
  <si>
    <t>Taika</t>
  </si>
  <si>
    <t>Mateo</t>
  </si>
  <si>
    <t>Summer</t>
  </si>
  <si>
    <t>Stannis</t>
  </si>
  <si>
    <t>Eddard</t>
  </si>
  <si>
    <t>Rickard</t>
  </si>
  <si>
    <t>Jon</t>
  </si>
  <si>
    <t>Lyarra</t>
  </si>
  <si>
    <t>Catelyn</t>
  </si>
  <si>
    <t>Wylla</t>
  </si>
  <si>
    <t>Ashara</t>
  </si>
  <si>
    <t>Petyr</t>
  </si>
  <si>
    <t>Tyrion</t>
  </si>
  <si>
    <t>Roose</t>
  </si>
  <si>
    <t>Joffrey</t>
  </si>
  <si>
    <t>Gendry</t>
  </si>
  <si>
    <t>Theon</t>
  </si>
  <si>
    <t>Jorah</t>
  </si>
  <si>
    <t>Ramsey</t>
  </si>
  <si>
    <t>Mormont</t>
  </si>
  <si>
    <t>Ygritte</t>
  </si>
  <si>
    <t>Oberyn</t>
  </si>
  <si>
    <t>Sandor</t>
  </si>
  <si>
    <t>Jaime</t>
  </si>
  <si>
    <t>Cersei</t>
  </si>
  <si>
    <t>Gregor</t>
  </si>
  <si>
    <t>Tywin</t>
  </si>
  <si>
    <t>Ellaria</t>
  </si>
  <si>
    <t>Tormund</t>
  </si>
  <si>
    <t>Margaery</t>
  </si>
  <si>
    <t>Brienne</t>
  </si>
  <si>
    <t>Davos</t>
  </si>
  <si>
    <t>Balon</t>
  </si>
  <si>
    <t>aus</t>
  </si>
  <si>
    <t>oz</t>
  </si>
  <si>
    <t>Em</t>
  </si>
  <si>
    <t>Betsy</t>
  </si>
  <si>
    <t>Billinia</t>
  </si>
  <si>
    <t>Eureka</t>
  </si>
  <si>
    <t>Trot</t>
  </si>
  <si>
    <t>Zeb</t>
  </si>
  <si>
    <t>Hank</t>
  </si>
  <si>
    <t>Jellia</t>
  </si>
  <si>
    <t>Pastoria</t>
  </si>
  <si>
    <t>Ozma</t>
  </si>
  <si>
    <t>Gayelette</t>
  </si>
  <si>
    <t>Quelala</t>
  </si>
  <si>
    <t>Gugu</t>
  </si>
  <si>
    <t>Bristle</t>
  </si>
  <si>
    <t>Boq</t>
  </si>
  <si>
    <t>Pipt</t>
  </si>
  <si>
    <t>Jinjur</t>
  </si>
  <si>
    <t>Fyter</t>
  </si>
  <si>
    <t>Ojo</t>
  </si>
  <si>
    <t>Phonograph</t>
  </si>
  <si>
    <t>Cayke</t>
  </si>
  <si>
    <t>Ugu</t>
  </si>
  <si>
    <t>Ervic</t>
  </si>
  <si>
    <t>Evoldo</t>
  </si>
  <si>
    <t>Kaliko</t>
  </si>
  <si>
    <t>Langwidere</t>
  </si>
  <si>
    <t>Quox</t>
  </si>
  <si>
    <t>Gump</t>
  </si>
  <si>
    <t>Arx</t>
  </si>
  <si>
    <t>Bru</t>
  </si>
  <si>
    <t>Chipo</t>
  </si>
  <si>
    <t>Loo</t>
  </si>
  <si>
    <t>Rango</t>
  </si>
  <si>
    <t>Devin</t>
  </si>
  <si>
    <t>Wayne</t>
  </si>
  <si>
    <t>Wallis</t>
  </si>
  <si>
    <t>Larse</t>
  </si>
  <si>
    <t>Tracey</t>
  </si>
  <si>
    <t>Kirk</t>
  </si>
  <si>
    <t>Steve</t>
  </si>
  <si>
    <t>Shayne</t>
  </si>
  <si>
    <t>Douge</t>
  </si>
  <si>
    <t>Maxwell</t>
  </si>
  <si>
    <t>Neville</t>
  </si>
  <si>
    <t>Ronbert</t>
  </si>
  <si>
    <t>Bill_William</t>
  </si>
  <si>
    <t>Kevo_Kevin</t>
  </si>
  <si>
    <t>Trevo_Trevor</t>
  </si>
  <si>
    <t>Waynee_Wayne</t>
  </si>
  <si>
    <t>Dezzo_Darren</t>
  </si>
  <si>
    <t>Wazzo_Warren</t>
  </si>
  <si>
    <t>Davee_David</t>
  </si>
  <si>
    <t>Bazzee_Barry</t>
  </si>
  <si>
    <t>Gazzee_Gary</t>
  </si>
  <si>
    <t>Tezzee_Terry</t>
  </si>
  <si>
    <t>Larro_Larry</t>
  </si>
  <si>
    <t>Lazza_Larry</t>
  </si>
  <si>
    <t>Kirkie_Ian</t>
  </si>
  <si>
    <t>Kirky_Ian</t>
  </si>
  <si>
    <t>Ecco_Erik</t>
  </si>
  <si>
    <t>Reggo_Reinhold</t>
  </si>
  <si>
    <t>Reggie_Reinhold</t>
  </si>
  <si>
    <t>Kev_Kevin</t>
  </si>
  <si>
    <t>Trev_Trevor</t>
  </si>
  <si>
    <t>Dazza_Derren</t>
  </si>
  <si>
    <t>Wayno_Wayne</t>
  </si>
  <si>
    <t>Wazza_Warren</t>
  </si>
  <si>
    <t>Davo_David</t>
  </si>
  <si>
    <t>Bazza_Barry</t>
  </si>
  <si>
    <t>Gazza_Gary</t>
  </si>
  <si>
    <t>Tezza_Terry</t>
  </si>
  <si>
    <t>Ecca_Erik</t>
  </si>
  <si>
    <t>Trace_Travey</t>
  </si>
  <si>
    <t>Traeco_Tracey</t>
  </si>
  <si>
    <t>Jimbo_James</t>
  </si>
  <si>
    <t>Jim_James</t>
  </si>
  <si>
    <t>Rob_Robert</t>
  </si>
  <si>
    <t>Bob_Robert</t>
  </si>
  <si>
    <t>Bobby_Robert</t>
  </si>
  <si>
    <t>Bobbo_Robert</t>
  </si>
  <si>
    <t>Shayno_Shayne</t>
  </si>
  <si>
    <t>Stevo_Stephen</t>
  </si>
  <si>
    <t>Poida_Peter</t>
  </si>
  <si>
    <t>Lancey_Lance</t>
  </si>
  <si>
    <t>Greggo_Greg</t>
  </si>
  <si>
    <t>Dezzie_Des</t>
  </si>
  <si>
    <t>Dougie_Douglas</t>
  </si>
  <si>
    <t>Dougo_Douglas</t>
  </si>
  <si>
    <t>Maxo_Maxwell</t>
  </si>
  <si>
    <t>Maxie_Maxwell</t>
  </si>
  <si>
    <t>Max_Maxwell</t>
  </si>
  <si>
    <t>aus2</t>
  </si>
  <si>
    <t>aus3</t>
  </si>
  <si>
    <t>aus4</t>
  </si>
  <si>
    <t>Liam</t>
  </si>
  <si>
    <t>Alexander</t>
  </si>
  <si>
    <t>Ollie_Oliver</t>
  </si>
  <si>
    <t>Ethan</t>
  </si>
  <si>
    <t>Harrison</t>
  </si>
  <si>
    <t>Hudson</t>
  </si>
  <si>
    <t>Lenny_Leonardo</t>
  </si>
  <si>
    <t>Leo_Leanardo</t>
  </si>
  <si>
    <t>Luca</t>
  </si>
  <si>
    <t>Theodore</t>
  </si>
  <si>
    <t>Tom_Thomas</t>
  </si>
  <si>
    <t>Harvey</t>
  </si>
  <si>
    <t>Archie</t>
  </si>
  <si>
    <t>Archer</t>
  </si>
  <si>
    <t>Lachlan</t>
  </si>
  <si>
    <t>Cooper</t>
  </si>
  <si>
    <t>Xavier</t>
  </si>
  <si>
    <t>Arlo</t>
  </si>
  <si>
    <t>Logan</t>
  </si>
  <si>
    <t>Finn</t>
  </si>
  <si>
    <t>Riley</t>
  </si>
  <si>
    <t>Hugo</t>
  </si>
  <si>
    <t>Jaxon</t>
  </si>
  <si>
    <t>Carter</t>
  </si>
  <si>
    <t>Jasper</t>
  </si>
  <si>
    <t>Flynn</t>
  </si>
  <si>
    <t>Connor</t>
  </si>
  <si>
    <t>Austin</t>
  </si>
  <si>
    <t>Beau</t>
  </si>
  <si>
    <t>Aiden</t>
  </si>
  <si>
    <t>Angus</t>
  </si>
  <si>
    <t>Ezra</t>
  </si>
  <si>
    <t>Ashton</t>
  </si>
  <si>
    <t>Zachary</t>
  </si>
  <si>
    <t>Hamish</t>
  </si>
  <si>
    <t>Asher</t>
  </si>
  <si>
    <t>Tyler</t>
  </si>
  <si>
    <t>Dylan</t>
  </si>
  <si>
    <t>Darcy</t>
  </si>
  <si>
    <t>Bodhi</t>
  </si>
  <si>
    <t>Ryder</t>
  </si>
  <si>
    <t>Fletcher</t>
  </si>
  <si>
    <t>Parker</t>
  </si>
  <si>
    <t>Chris_Christian</t>
  </si>
  <si>
    <t>Nate_Nathan</t>
  </si>
  <si>
    <t>Billy_William</t>
  </si>
  <si>
    <t>Mark_Marcus</t>
  </si>
  <si>
    <t>Leon_Leanardo</t>
  </si>
  <si>
    <t>Theo_Theobald</t>
  </si>
  <si>
    <t>Luca_Lucas</t>
  </si>
  <si>
    <t>Dick_Richard</t>
  </si>
  <si>
    <t>Zealandermale</t>
  </si>
  <si>
    <t>Zealanderfemale</t>
  </si>
  <si>
    <t>"TeAriki"</t>
  </si>
  <si>
    <t>Ivy</t>
  </si>
  <si>
    <t>Zoe</t>
  </si>
  <si>
    <t>Evie</t>
  </si>
  <si>
    <t>Mila</t>
  </si>
  <si>
    <t>Scarlett</t>
  </si>
  <si>
    <t>Abigail</t>
  </si>
  <si>
    <t>Zara</t>
  </si>
  <si>
    <t>Layla</t>
  </si>
  <si>
    <t>Poppy</t>
  </si>
  <si>
    <t>Penelope</t>
  </si>
  <si>
    <t>Emilia</t>
  </si>
  <si>
    <t>Luna</t>
  </si>
  <si>
    <t>Freya</t>
  </si>
  <si>
    <t>Mackenzie</t>
  </si>
  <si>
    <t>Ayla</t>
  </si>
  <si>
    <t>Lola</t>
  </si>
  <si>
    <t>Billie</t>
  </si>
  <si>
    <t>Claire</t>
  </si>
  <si>
    <t>Sam_Samuel</t>
  </si>
  <si>
    <t>Nev_Neville</t>
  </si>
  <si>
    <t>Jacksin_Jackson</t>
  </si>
  <si>
    <t>Nige_Nigel</t>
  </si>
  <si>
    <t>Gordo_Gordon</t>
  </si>
  <si>
    <t>Gordi_Gordon</t>
  </si>
  <si>
    <t>Ronnie_Ronald</t>
  </si>
  <si>
    <t>Alex_Alexander</t>
  </si>
  <si>
    <t>Anthony_Anthony</t>
  </si>
  <si>
    <t>Tony_Anthony</t>
  </si>
  <si>
    <t>Davy_David</t>
  </si>
  <si>
    <t>Morty_Mortimer</t>
  </si>
  <si>
    <t>Matt_Matthew</t>
  </si>
  <si>
    <t>Mattie_Matthew</t>
  </si>
  <si>
    <t>Thom_Thomas</t>
  </si>
  <si>
    <t>Nick_Nicholas</t>
  </si>
  <si>
    <t>Nickie_Nicholas</t>
  </si>
  <si>
    <t>Jimbae_James</t>
  </si>
  <si>
    <t>Jimmie_James</t>
  </si>
  <si>
    <t>Robbie_Robert</t>
  </si>
  <si>
    <t>Bobbie_Robert</t>
  </si>
  <si>
    <t>Bobba_Robert</t>
  </si>
  <si>
    <t>Shaynee_Shayne</t>
  </si>
  <si>
    <t>Stevie_Stephen</t>
  </si>
  <si>
    <t>Lanco_Lance</t>
  </si>
  <si>
    <t>Greggie_Greg</t>
  </si>
  <si>
    <t>Beryley_Beryl</t>
  </si>
  <si>
    <t>Dezzo_Des</t>
  </si>
  <si>
    <t>Stayo_Stayer</t>
  </si>
  <si>
    <t>Dicko_Richard</t>
  </si>
  <si>
    <t>Nevo_Neville</t>
  </si>
  <si>
    <t>Jacko_Jack</t>
  </si>
  <si>
    <t>Perci_Percy</t>
  </si>
  <si>
    <t>Wazzy_Warren</t>
  </si>
  <si>
    <t>Jak_Jack</t>
  </si>
  <si>
    <t>x - english</t>
  </si>
  <si>
    <t>Eric_Erik</t>
  </si>
  <si>
    <t>Eka_Erik</t>
  </si>
  <si>
    <t>x-1</t>
  </si>
  <si>
    <t>x - e</t>
  </si>
  <si>
    <t>x  - EC</t>
  </si>
  <si>
    <t>Oz</t>
  </si>
  <si>
    <t>x - oz</t>
  </si>
  <si>
    <t>x-2</t>
  </si>
  <si>
    <t>x-3</t>
  </si>
  <si>
    <t>x-4</t>
  </si>
  <si>
    <t>Kwongan</t>
  </si>
  <si>
    <t>1758;1521</t>
  </si>
  <si>
    <t>formula barony</t>
  </si>
  <si>
    <t>formula county</t>
  </si>
  <si>
    <t>formula duchy</t>
  </si>
  <si>
    <t>formula kingdom</t>
  </si>
  <si>
    <t>code name</t>
  </si>
  <si>
    <t>culture name</t>
  </si>
  <si>
    <t>Seventh-Day Adventist</t>
  </si>
  <si>
    <t>255;0;0</t>
  </si>
  <si>
    <t>catholic;Catholic;;;;;;;;;;;;;x</t>
  </si>
  <si>
    <t>orthodox;Protestant;;;;;;;;;;;;;x</t>
  </si>
  <si>
    <t>sunni;Sunni;;;;;;;;;;;;;x</t>
  </si>
  <si>
    <t>zoroastrian;Zoroastrian;;;;;;;;;;;;;x</t>
  </si>
  <si>
    <t>norse_pagan;Pirate;;;;;;;;;;;;;x</t>
  </si>
  <si>
    <t>norse_pagan_reformed;Pirate;;;;;;;;;;;;;x</t>
  </si>
  <si>
    <t>west_african_pagan;Animism;;;;;;;;;;;;;x</t>
  </si>
  <si>
    <t>west_african_pagan_reformed;Animism;;;;;;;;;;;;;x</t>
  </si>
  <si>
    <t>aztec;Scavenger's Cult;;;;;;;;;;;;;x</t>
  </si>
  <si>
    <t>aztec_reformed;Scavenger's Cult;;;;;;;;;;;;;x</t>
  </si>
  <si>
    <t>zun_pagan;Solarian;;;;;;;;;;;;;x</t>
  </si>
  <si>
    <t>zun_pagan_reformed;Solarian;;;;;;;;;;;;;x</t>
  </si>
  <si>
    <t>bon;Ancestor Worship;;;;;;;;;;;;;x</t>
  </si>
  <si>
    <t>bon_reformed;Ancestor Worship;;;;;;;;;;;;;x</t>
  </si>
  <si>
    <t>messalian;Cult of the Reborn;;;;;;;;;;;;;x</t>
  </si>
  <si>
    <t>manichaean;Manichaean;;;;;;;;;;;;;x</t>
  </si>
  <si>
    <t>tengri_pagan;New Age;;;;;;;;;;;;;x</t>
  </si>
  <si>
    <t>christian;Christian;;;;;;;;;;;;;x</t>
  </si>
  <si>
    <t>christian;Muslim;;;;;;;;;;;;;x</t>
  </si>
  <si>
    <t>mazdan;Mazdan;;;;;;;;;;;;;x</t>
  </si>
  <si>
    <t>pagan;Other;;;;;;;;;;;;;x</t>
  </si>
  <si>
    <t>christianity;Christian;;;;;;;;;;;;;x</t>
  </si>
  <si>
    <t>fraticelli;Anglican;;;;;;;;;;;;;x</t>
  </si>
  <si>
    <t>Miaphysite;Seventh-Day Adventist;;;;;;;;;;;;;x</t>
  </si>
  <si>
    <t>Monophysite;Fundamentalist;;;;;;;;;;;;;x</t>
  </si>
  <si>
    <t>manichaean</t>
  </si>
  <si>
    <t>Other</t>
  </si>
  <si>
    <t>Fundamentalist</t>
  </si>
  <si>
    <t>christian_desc;;;;;;;;;;;;;;x</t>
  </si>
  <si>
    <t>mazdan_desc;;;;;;;;;;;;;;x</t>
  </si>
  <si>
    <t>pagan_desc;;;;;;;;;;;;;;x</t>
  </si>
  <si>
    <t>christianity_desc;;;;;;;;;;;;;;x</t>
  </si>
  <si>
    <t>fraticelli_desc;;;;;;;;;;;;;;x</t>
  </si>
  <si>
    <t>Miaphysite_desc;;;;;;;;;;;;;;x</t>
  </si>
  <si>
    <t>Monophysite_desc;;;;;;;;;;;;;;x</t>
  </si>
  <si>
    <t>catholic_desc;;;;;;;;;;;;;;x</t>
  </si>
  <si>
    <t>orthodox_desc;;;;;;;;;;;;;;x</t>
  </si>
  <si>
    <t>sunni_desc;;;;;;;;;;;;;;x</t>
  </si>
  <si>
    <t>zoroastrian_desc;;;;;;;;;;;;;;x</t>
  </si>
  <si>
    <t>norse_pagan_desc;;;;;;;;;;;;;;x</t>
  </si>
  <si>
    <t>norse_pagan_reformed_desc;;;;;;;;;;;;;;x</t>
  </si>
  <si>
    <t>west_african_pagan_desc;;;;;;;;;;;;;;x</t>
  </si>
  <si>
    <t>west_african_pagan_reformed_desc;;;;;;;;;;;;;;x</t>
  </si>
  <si>
    <t>aztec_desc;;;;;;;;;;;;;;x</t>
  </si>
  <si>
    <t>aztec_reformed_desc;;;;;;;;;;;;;;x</t>
  </si>
  <si>
    <t>zun_pagan_desc;;;;;;;;;;;;;;x</t>
  </si>
  <si>
    <t>zun_pagan_reformed_desc;;;;;;;;;;;;;;x</t>
  </si>
  <si>
    <t>bon_desc;;;;;;;;;;;;;;x</t>
  </si>
  <si>
    <t>bon_reformed_desc;;;;;;;;;;;;;;x</t>
  </si>
  <si>
    <t>messalian_desc;;;;;;;;;;;;;;x</t>
  </si>
  <si>
    <t>manichaean_desc;;;;;;;;;;;;;;x</t>
  </si>
  <si>
    <t>tengri_pagan_desc;;;;;;;;;;;;;;x</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</si>
</sst>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4" x14ac:knownFonts="1">
    <font>
      <sz val="11"/>
      <color theme="1"/>
      <name val="Calibri"/>
      <family val="2"/>
      <scheme val="minor"/>
    </font>
    <font>
      <sz val="8"/>
      <name val="Calibri"/>
      <family val="2"/>
      <scheme val="minor"/>
    </font>
    <font>
      <sz val="12"/>
      <name val="Arial"/>
      <family val="2"/>
    </font>
    <font>
      <sz val="11"/>
      <name val="Calibri"/>
      <family val="2"/>
      <scheme val="minor"/>
    </font>
    <font>
      <b/>
      <sz val="11"/>
      <color rgb="FF222222"/>
      <name val="Arial"/>
      <family val="2"/>
    </font>
    <font>
      <sz val="11"/>
      <color rgb="FF222222"/>
      <name val="Arial"/>
      <family val="2"/>
    </font>
    <font>
      <u/>
      <sz val="11"/>
      <color theme="10"/>
      <name val="Calibri"/>
      <family val="2"/>
      <scheme val="minor"/>
    </font>
    <font>
      <sz val="11"/>
      <color rgb="FF0645AD"/>
      <name val="Arial"/>
      <family val="2"/>
    </font>
    <font>
      <b/>
      <sz val="11"/>
      <color rgb="FFFFFFFF"/>
      <name val="Arial"/>
      <family val="2"/>
    </font>
    <font>
      <i/>
      <sz val="11"/>
      <color rgb="FF222222"/>
      <name val="Arial"/>
      <family val="2"/>
    </font>
    <font>
      <i/>
      <sz val="11"/>
      <color rgb="FF0645AD"/>
      <name val="Arial"/>
      <family val="2"/>
    </font>
    <font>
      <sz val="11"/>
      <color rgb="FF000000"/>
      <name val="Consolas"/>
      <family val="3"/>
    </font>
    <font>
      <b/>
      <sz val="11"/>
      <name val="Arial"/>
      <family val="2"/>
    </font>
    <font>
      <sz val="8"/>
      <color rgb="FF202122"/>
      <name val="Arial"/>
      <family val="2"/>
    </font>
    <font>
      <b/>
      <sz val="8"/>
      <color rgb="FF202122"/>
      <name val="Arial"/>
      <family val="2"/>
    </font>
    <font>
      <sz val="8"/>
      <color rgb="FF0645AD"/>
      <name val="Arial"/>
      <family val="2"/>
    </font>
    <font>
      <sz val="8"/>
      <name val="Arial"/>
      <family val="2"/>
    </font>
    <font>
      <sz val="10"/>
      <color rgb="FF202124"/>
      <name val="Arial"/>
      <family val="2"/>
    </font>
    <font>
      <b/>
      <sz val="8"/>
      <color rgb="FF7D7A40"/>
      <name val="Segoe UI"/>
      <family val="2"/>
    </font>
    <font>
      <sz val="10"/>
      <color rgb="FF333333"/>
      <name val="Arial"/>
      <family val="2"/>
    </font>
    <font>
      <sz val="11"/>
      <color rgb="FF000000"/>
      <name val="Arial"/>
      <family val="2"/>
    </font>
    <font>
      <sz val="11"/>
      <color theme="1"/>
      <name val="Arial"/>
      <family val="2"/>
    </font>
    <font>
      <sz val="14"/>
      <color rgb="FF000000"/>
      <name val="Arial"/>
      <family val="2"/>
    </font>
    <font>
      <sz val="8"/>
      <color rgb="FF000000"/>
      <name val="Arial"/>
      <family val="2"/>
    </font>
    <font>
      <sz val="6"/>
      <color rgb="FF000000"/>
      <name val="Arial"/>
      <family val="2"/>
    </font>
    <font>
      <sz val="10"/>
      <color rgb="FF252525"/>
      <name val="Times New Roman"/>
      <family val="1"/>
    </font>
    <font>
      <b/>
      <sz val="10"/>
      <color rgb="FF515151"/>
      <name val="Roboto"/>
    </font>
    <font>
      <sz val="12"/>
      <color rgb="FF000000"/>
      <name val="Calibri"/>
      <family val="2"/>
      <scheme val="minor"/>
    </font>
    <font>
      <b/>
      <sz val="13.2"/>
      <color rgb="FF00AAD2"/>
      <name val="Arial"/>
      <family val="2"/>
    </font>
    <font>
      <b/>
      <sz val="11"/>
      <color rgb="FF000000"/>
      <name val="Arial"/>
      <family val="2"/>
    </font>
    <font>
      <b/>
      <sz val="13.2"/>
      <color rgb="FFC562A5"/>
      <name val="Arial"/>
      <family val="2"/>
    </font>
    <font>
      <b/>
      <sz val="10"/>
      <color rgb="FF333333"/>
      <name val="Arial"/>
      <family val="2"/>
    </font>
    <font>
      <b/>
      <sz val="15"/>
      <color rgb="FF1793CE"/>
      <name val="Times New Roman"/>
      <family val="1"/>
    </font>
    <font>
      <sz val="11"/>
      <color rgb="FF414042"/>
      <name val="Calibri"/>
      <family val="2"/>
      <scheme val="minor"/>
    </font>
  </fonts>
  <fills count="142">
    <fill>
      <patternFill patternType="none"/>
    </fill>
    <fill>
      <patternFill patternType="gray125"/>
    </fill>
    <fill>
      <patternFill patternType="solid">
        <fgColor theme="5" tint="0.59999389629810485"/>
        <bgColor indexed="64"/>
      </patternFill>
    </fill>
    <fill>
      <patternFill patternType="solid">
        <fgColor theme="1"/>
        <bgColor indexed="64"/>
      </patternFill>
    </fill>
    <fill>
      <patternFill patternType="solid">
        <fgColor theme="7" tint="0.79998168889431442"/>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theme="0" tint="-0.14999847407452621"/>
        <bgColor indexed="64"/>
      </patternFill>
    </fill>
    <fill>
      <patternFill patternType="solid">
        <fgColor rgb="FFFFFF00"/>
        <bgColor indexed="64"/>
      </patternFill>
    </fill>
    <fill>
      <patternFill patternType="solid">
        <fgColor rgb="FFFF0000"/>
        <bgColor indexed="64"/>
      </patternFill>
    </fill>
    <fill>
      <patternFill patternType="solid">
        <fgColor rgb="FFF8F9FA"/>
        <bgColor indexed="64"/>
      </patternFill>
    </fill>
    <fill>
      <patternFill patternType="solid">
        <fgColor rgb="FFEAECF0"/>
        <bgColor indexed="64"/>
      </patternFill>
    </fill>
    <fill>
      <patternFill patternType="solid">
        <fgColor theme="4" tint="0.79998168889431442"/>
        <bgColor theme="4" tint="0.79998168889431442"/>
      </patternFill>
    </fill>
    <fill>
      <patternFill patternType="solid">
        <fgColor rgb="FF4D8CCC"/>
        <bgColor indexed="64"/>
      </patternFill>
    </fill>
    <fill>
      <patternFill patternType="solid">
        <fgColor rgb="FF4080BF"/>
        <bgColor indexed="64"/>
      </patternFill>
    </fill>
    <fill>
      <patternFill patternType="solid">
        <fgColor rgb="FF3373A6"/>
        <bgColor indexed="64"/>
      </patternFill>
    </fill>
    <fill>
      <patternFill patternType="solid">
        <fgColor rgb="FF26668C"/>
        <bgColor indexed="64"/>
      </patternFill>
    </fill>
    <fill>
      <patternFill patternType="solid">
        <fgColor rgb="FF808080"/>
        <bgColor indexed="64"/>
      </patternFill>
    </fill>
    <fill>
      <patternFill patternType="solid">
        <fgColor rgb="FF9999CC"/>
        <bgColor indexed="64"/>
      </patternFill>
    </fill>
    <fill>
      <patternFill patternType="solid">
        <fgColor rgb="FF4D4D80"/>
        <bgColor indexed="64"/>
      </patternFill>
    </fill>
    <fill>
      <patternFill patternType="solid">
        <fgColor rgb="FFB3B3B3"/>
        <bgColor indexed="64"/>
      </patternFill>
    </fill>
    <fill>
      <patternFill patternType="solid">
        <fgColor rgb="FFCC3333"/>
        <bgColor indexed="64"/>
      </patternFill>
    </fill>
    <fill>
      <patternFill patternType="solid">
        <fgColor rgb="FFCC4D4D"/>
        <bgColor indexed="64"/>
      </patternFill>
    </fill>
    <fill>
      <patternFill patternType="solid">
        <fgColor rgb="FF801A1A"/>
        <bgColor indexed="64"/>
      </patternFill>
    </fill>
    <fill>
      <patternFill patternType="solid">
        <fgColor rgb="FFB34D00"/>
        <bgColor indexed="64"/>
      </patternFill>
    </fill>
    <fill>
      <patternFill patternType="solid">
        <fgColor rgb="FFF56314"/>
        <bgColor indexed="64"/>
      </patternFill>
    </fill>
    <fill>
      <patternFill patternType="solid">
        <fgColor rgb="FFCCCC33"/>
        <bgColor indexed="64"/>
      </patternFill>
    </fill>
    <fill>
      <patternFill patternType="solid">
        <fgColor rgb="FFCCB31A"/>
        <bgColor indexed="64"/>
      </patternFill>
    </fill>
    <fill>
      <patternFill patternType="solid">
        <fgColor rgb="FFF2F2BF"/>
        <bgColor indexed="64"/>
      </patternFill>
    </fill>
    <fill>
      <patternFill patternType="solid">
        <fgColor rgb="FFE6E666"/>
        <bgColor indexed="64"/>
      </patternFill>
    </fill>
    <fill>
      <patternFill patternType="solid">
        <fgColor rgb="FF859C26"/>
        <bgColor indexed="64"/>
      </patternFill>
    </fill>
    <fill>
      <patternFill patternType="solid">
        <fgColor rgb="FFD9BF0D"/>
        <bgColor indexed="64"/>
      </patternFill>
    </fill>
    <fill>
      <patternFill patternType="solid">
        <fgColor rgb="FF8C6B0A"/>
        <bgColor indexed="64"/>
      </patternFill>
    </fill>
    <fill>
      <patternFill patternType="solid">
        <fgColor rgb="FFF2D117"/>
        <bgColor indexed="64"/>
      </patternFill>
    </fill>
    <fill>
      <patternFill patternType="solid">
        <fgColor rgb="FFD9BF14"/>
        <bgColor indexed="64"/>
      </patternFill>
    </fill>
    <fill>
      <patternFill patternType="solid">
        <fgColor rgb="FFBFAB12"/>
        <bgColor indexed="64"/>
      </patternFill>
    </fill>
    <fill>
      <patternFill patternType="solid">
        <fgColor rgb="FF8C8C26"/>
        <bgColor indexed="64"/>
      </patternFill>
    </fill>
    <fill>
      <patternFill patternType="solid">
        <fgColor rgb="FFB333E6"/>
        <bgColor indexed="64"/>
      </patternFill>
    </fill>
    <fill>
      <patternFill patternType="solid">
        <fgColor rgb="FF803380"/>
        <bgColor indexed="64"/>
      </patternFill>
    </fill>
    <fill>
      <patternFill patternType="solid">
        <fgColor rgb="FFCC4DCC"/>
        <bgColor indexed="64"/>
      </patternFill>
    </fill>
    <fill>
      <patternFill patternType="solid">
        <fgColor rgb="FFB380B3"/>
        <bgColor indexed="64"/>
      </patternFill>
    </fill>
    <fill>
      <patternFill patternType="solid">
        <fgColor rgb="FF994DCC"/>
        <bgColor indexed="64"/>
      </patternFill>
    </fill>
    <fill>
      <patternFill patternType="solid">
        <fgColor rgb="FF664D99"/>
        <bgColor indexed="64"/>
      </patternFill>
    </fill>
    <fill>
      <patternFill patternType="solid">
        <fgColor rgb="FF996699"/>
        <bgColor indexed="64"/>
      </patternFill>
    </fill>
    <fill>
      <patternFill patternType="solid">
        <fgColor rgb="FFCC66CC"/>
        <bgColor indexed="64"/>
      </patternFill>
    </fill>
    <fill>
      <patternFill patternType="solid">
        <fgColor rgb="FF4DCCCC"/>
        <bgColor indexed="64"/>
      </patternFill>
    </fill>
    <fill>
      <patternFill patternType="solid">
        <fgColor rgb="FF4DB3B3"/>
        <bgColor indexed="64"/>
      </patternFill>
    </fill>
    <fill>
      <patternFill patternType="solid">
        <fgColor rgb="FF339999"/>
        <bgColor indexed="64"/>
      </patternFill>
    </fill>
    <fill>
      <patternFill patternType="solid">
        <fgColor rgb="FF4DCC99"/>
        <bgColor indexed="64"/>
      </patternFill>
    </fill>
    <fill>
      <patternFill patternType="solid">
        <fgColor rgb="FF4D8066"/>
        <bgColor indexed="64"/>
      </patternFill>
    </fill>
    <fill>
      <patternFill patternType="solid">
        <fgColor rgb="FF1A9999"/>
        <bgColor indexed="64"/>
      </patternFill>
    </fill>
    <fill>
      <patternFill patternType="solid">
        <fgColor rgb="FF66BFD9"/>
        <bgColor indexed="64"/>
      </patternFill>
    </fill>
    <fill>
      <patternFill patternType="solid">
        <fgColor rgb="FF80BF40"/>
        <bgColor indexed="64"/>
      </patternFill>
    </fill>
    <fill>
      <patternFill patternType="solid">
        <fgColor rgb="FF66A633"/>
        <bgColor indexed="64"/>
      </patternFill>
    </fill>
    <fill>
      <patternFill patternType="solid">
        <fgColor rgb="FF4DBFBF"/>
        <bgColor indexed="64"/>
      </patternFill>
    </fill>
    <fill>
      <patternFill patternType="solid">
        <fgColor rgb="FF4D8080"/>
        <bgColor indexed="64"/>
      </patternFill>
    </fill>
    <fill>
      <patternFill patternType="solid">
        <fgColor rgb="FF80801A"/>
        <bgColor indexed="64"/>
      </patternFill>
    </fill>
    <fill>
      <patternFill patternType="solid">
        <fgColor rgb="FF8F8C33"/>
        <bgColor indexed="64"/>
      </patternFill>
    </fill>
    <fill>
      <patternFill patternType="solid">
        <fgColor rgb="FF8F8C66"/>
        <bgColor indexed="64"/>
      </patternFill>
    </fill>
    <fill>
      <patternFill patternType="solid">
        <fgColor rgb="FFD98C26"/>
        <bgColor indexed="64"/>
      </patternFill>
    </fill>
    <fill>
      <patternFill patternType="solid">
        <fgColor rgb="FFD9C940"/>
        <bgColor indexed="64"/>
      </patternFill>
    </fill>
    <fill>
      <patternFill patternType="solid">
        <fgColor rgb="FFBF9933"/>
        <bgColor indexed="64"/>
      </patternFill>
    </fill>
    <fill>
      <patternFill patternType="solid">
        <fgColor rgb="FFB3731A"/>
        <bgColor indexed="64"/>
      </patternFill>
    </fill>
    <fill>
      <patternFill patternType="solid">
        <fgColor rgb="FFB3A626"/>
        <bgColor indexed="64"/>
      </patternFill>
    </fill>
    <fill>
      <patternFill patternType="solid">
        <fgColor rgb="FFB3B34D"/>
        <bgColor indexed="64"/>
      </patternFill>
    </fill>
    <fill>
      <patternFill patternType="solid">
        <fgColor rgb="FFA68026"/>
        <bgColor indexed="64"/>
      </patternFill>
    </fill>
    <fill>
      <patternFill patternType="solid">
        <fgColor rgb="FFD9B84D"/>
        <bgColor indexed="64"/>
      </patternFill>
    </fill>
    <fill>
      <patternFill patternType="solid">
        <fgColor rgb="FFD9BF80"/>
        <bgColor indexed="64"/>
      </patternFill>
    </fill>
    <fill>
      <patternFill patternType="solid">
        <fgColor rgb="FF6666FF"/>
        <bgColor indexed="64"/>
      </patternFill>
    </fill>
    <fill>
      <patternFill patternType="solid">
        <fgColor rgb="FFCCCC4D"/>
        <bgColor indexed="64"/>
      </patternFill>
    </fill>
    <fill>
      <patternFill patternType="solid">
        <fgColor rgb="FF7A735C"/>
        <bgColor indexed="64"/>
      </patternFill>
    </fill>
    <fill>
      <patternFill patternType="solid">
        <fgColor rgb="FF1ABF1A"/>
        <bgColor indexed="64"/>
      </patternFill>
    </fill>
    <fill>
      <patternFill patternType="solid">
        <fgColor rgb="FF33E633"/>
        <bgColor indexed="64"/>
      </patternFill>
    </fill>
    <fill>
      <patternFill patternType="solid">
        <fgColor rgb="FF4DF24D"/>
        <bgColor indexed="64"/>
      </patternFill>
    </fill>
    <fill>
      <patternFill patternType="solid">
        <fgColor rgb="FF1A991A"/>
        <bgColor indexed="64"/>
      </patternFill>
    </fill>
    <fill>
      <patternFill patternType="solid">
        <fgColor rgb="FF66991A"/>
        <bgColor indexed="64"/>
      </patternFill>
    </fill>
    <fill>
      <patternFill patternType="solid">
        <fgColor rgb="FF33661A"/>
        <bgColor indexed="64"/>
      </patternFill>
    </fill>
    <fill>
      <patternFill patternType="solid">
        <fgColor rgb="FF739933"/>
        <bgColor indexed="64"/>
      </patternFill>
    </fill>
    <fill>
      <patternFill patternType="solid">
        <fgColor rgb="FF80CC4D"/>
        <bgColor indexed="64"/>
      </patternFill>
    </fill>
    <fill>
      <patternFill patternType="solid">
        <fgColor rgb="FFA6CC4D"/>
        <bgColor indexed="64"/>
      </patternFill>
    </fill>
    <fill>
      <patternFill patternType="solid">
        <fgColor rgb="FF669966"/>
        <bgColor indexed="64"/>
      </patternFill>
    </fill>
    <fill>
      <patternFill patternType="solid">
        <fgColor rgb="FF669980"/>
        <bgColor indexed="64"/>
      </patternFill>
    </fill>
    <fill>
      <patternFill patternType="solid">
        <fgColor rgb="FF66998C"/>
        <bgColor indexed="64"/>
      </patternFill>
    </fill>
    <fill>
      <patternFill patternType="solid">
        <fgColor rgb="FF669959"/>
        <bgColor indexed="64"/>
      </patternFill>
    </fill>
    <fill>
      <patternFill patternType="solid">
        <fgColor rgb="FF663333"/>
        <bgColor indexed="64"/>
      </patternFill>
    </fill>
    <fill>
      <patternFill patternType="solid">
        <fgColor rgb="FF804D4D"/>
        <bgColor indexed="64"/>
      </patternFill>
    </fill>
    <fill>
      <patternFill patternType="solid">
        <fgColor rgb="FF996666"/>
        <bgColor indexed="64"/>
      </patternFill>
    </fill>
    <fill>
      <patternFill patternType="solid">
        <fgColor rgb="FFBF8080"/>
        <bgColor indexed="64"/>
      </patternFill>
    </fill>
    <fill>
      <patternFill patternType="solid">
        <fgColor rgb="FF4D1A1A"/>
        <bgColor indexed="64"/>
      </patternFill>
    </fill>
    <fill>
      <patternFill patternType="solid">
        <fgColor rgb="FF804D80"/>
        <bgColor indexed="64"/>
      </patternFill>
    </fill>
    <fill>
      <patternFill patternType="solid">
        <fgColor rgb="FF80994D"/>
        <bgColor indexed="64"/>
      </patternFill>
    </fill>
    <fill>
      <patternFill patternType="solid">
        <fgColor rgb="FFCCCC66"/>
        <bgColor indexed="64"/>
      </patternFill>
    </fill>
    <fill>
      <patternFill patternType="solid">
        <fgColor rgb="FF6E5252"/>
        <bgColor indexed="64"/>
      </patternFill>
    </fill>
    <fill>
      <patternFill patternType="solid">
        <fgColor rgb="FFBF73F2"/>
        <bgColor indexed="64"/>
      </patternFill>
    </fill>
    <fill>
      <patternFill patternType="solid">
        <fgColor rgb="FF4D591A"/>
        <bgColor indexed="64"/>
      </patternFill>
    </fill>
    <fill>
      <patternFill patternType="solid">
        <fgColor rgb="FF99991A"/>
        <bgColor indexed="64"/>
      </patternFill>
    </fill>
    <fill>
      <patternFill patternType="solid">
        <fgColor rgb="FF66660D"/>
        <bgColor indexed="64"/>
      </patternFill>
    </fill>
    <fill>
      <patternFill patternType="solid">
        <fgColor rgb="FF6633BF"/>
        <bgColor indexed="64"/>
      </patternFill>
    </fill>
    <fill>
      <patternFill patternType="solid">
        <fgColor rgb="FF66664D"/>
        <bgColor indexed="64"/>
      </patternFill>
    </fill>
    <fill>
      <patternFill patternType="solid">
        <fgColor rgb="FF33331A"/>
        <bgColor indexed="64"/>
      </patternFill>
    </fill>
    <fill>
      <patternFill patternType="solid">
        <fgColor rgb="FF999980"/>
        <bgColor indexed="64"/>
      </patternFill>
    </fill>
    <fill>
      <patternFill patternType="solid">
        <fgColor rgb="FFF2E6A6"/>
        <bgColor indexed="64"/>
      </patternFill>
    </fill>
    <fill>
      <patternFill patternType="solid">
        <fgColor rgb="FFCC73BF"/>
        <bgColor indexed="64"/>
      </patternFill>
    </fill>
    <fill>
      <patternFill patternType="solid">
        <fgColor rgb="FFE68CCC"/>
        <bgColor indexed="64"/>
      </patternFill>
    </fill>
    <fill>
      <patternFill patternType="solid">
        <fgColor rgb="FFE659D9"/>
        <bgColor indexed="64"/>
      </patternFill>
    </fill>
    <fill>
      <patternFill patternType="solid">
        <fgColor rgb="FF737333"/>
        <bgColor indexed="64"/>
      </patternFill>
    </fill>
    <fill>
      <patternFill patternType="solid">
        <fgColor rgb="FF595933"/>
        <bgColor indexed="64"/>
      </patternFill>
    </fill>
    <fill>
      <patternFill patternType="solid">
        <fgColor rgb="FF80591A"/>
        <bgColor indexed="64"/>
      </patternFill>
    </fill>
    <fill>
      <patternFill patternType="solid">
        <fgColor rgb="FFFF8000"/>
        <bgColor indexed="64"/>
      </patternFill>
    </fill>
    <fill>
      <patternFill patternType="solid">
        <fgColor rgb="FF994D99"/>
        <bgColor indexed="64"/>
      </patternFill>
    </fill>
    <fill>
      <patternFill patternType="solid">
        <fgColor rgb="FFB333B3"/>
        <bgColor indexed="64"/>
      </patternFill>
    </fill>
    <fill>
      <patternFill patternType="solid">
        <fgColor rgb="FF730000"/>
        <bgColor indexed="64"/>
      </patternFill>
    </fill>
    <fill>
      <patternFill patternType="solid">
        <fgColor rgb="FFCC6600"/>
        <bgColor indexed="64"/>
      </patternFill>
    </fill>
    <fill>
      <patternFill patternType="solid">
        <fgColor rgb="FF994D00"/>
        <bgColor indexed="64"/>
      </patternFill>
    </fill>
    <fill>
      <patternFill patternType="solid">
        <fgColor rgb="FFE61A00"/>
        <bgColor indexed="64"/>
      </patternFill>
    </fill>
    <fill>
      <patternFill patternType="solid">
        <fgColor rgb="FFCC4D33"/>
        <bgColor indexed="64"/>
      </patternFill>
    </fill>
    <fill>
      <patternFill patternType="solid">
        <fgColor rgb="FF990000"/>
        <bgColor indexed="64"/>
      </patternFill>
    </fill>
    <fill>
      <patternFill patternType="solid">
        <fgColor rgb="FFFF3300"/>
        <bgColor indexed="64"/>
      </patternFill>
    </fill>
    <fill>
      <patternFill patternType="solid">
        <fgColor rgb="FFCC3300"/>
        <bgColor indexed="64"/>
      </patternFill>
    </fill>
    <fill>
      <patternFill patternType="solid">
        <fgColor rgb="FFFF4D4D"/>
        <bgColor indexed="64"/>
      </patternFill>
    </fill>
    <fill>
      <patternFill patternType="solid">
        <fgColor rgb="FFA6401A"/>
        <bgColor indexed="64"/>
      </patternFill>
    </fill>
    <fill>
      <patternFill patternType="solid">
        <fgColor rgb="FFFFB333"/>
        <bgColor indexed="64"/>
      </patternFill>
    </fill>
    <fill>
      <patternFill patternType="solid">
        <fgColor rgb="FFCCCC00"/>
        <bgColor indexed="64"/>
      </patternFill>
    </fill>
    <fill>
      <patternFill patternType="solid">
        <fgColor rgb="FFCC9900"/>
        <bgColor indexed="64"/>
      </patternFill>
    </fill>
    <fill>
      <patternFill patternType="solid">
        <fgColor rgb="FFCC4D00"/>
        <bgColor indexed="64"/>
      </patternFill>
    </fill>
    <fill>
      <patternFill patternType="solid">
        <fgColor rgb="FFFF6600"/>
        <bgColor indexed="64"/>
      </patternFill>
    </fill>
    <fill>
      <patternFill patternType="solid">
        <fgColor rgb="FFCC331A"/>
        <bgColor indexed="64"/>
      </patternFill>
    </fill>
    <fill>
      <patternFill patternType="solid">
        <fgColor rgb="FFD42B2B"/>
        <bgColor indexed="64"/>
      </patternFill>
    </fill>
    <fill>
      <patternFill patternType="solid">
        <fgColor rgb="FF1A4D1A"/>
        <bgColor indexed="64"/>
      </patternFill>
    </fill>
    <fill>
      <patternFill patternType="solid">
        <fgColor rgb="FF1A1A4D"/>
        <bgColor indexed="64"/>
      </patternFill>
    </fill>
    <fill>
      <patternFill patternType="solid">
        <fgColor rgb="FF334DFF"/>
        <bgColor indexed="64"/>
      </patternFill>
    </fill>
    <fill>
      <patternFill patternType="solid">
        <fgColor rgb="FFFFFFFF"/>
        <bgColor indexed="64"/>
      </patternFill>
    </fill>
    <fill>
      <patternFill patternType="solid">
        <fgColor rgb="FF664D00"/>
        <bgColor indexed="64"/>
      </patternFill>
    </fill>
    <fill>
      <patternFill patternType="solid">
        <fgColor rgb="FFCCCCCC"/>
        <bgColor indexed="64"/>
      </patternFill>
    </fill>
    <fill>
      <patternFill patternType="solid">
        <fgColor rgb="FF034D00"/>
        <bgColor indexed="64"/>
      </patternFill>
    </fill>
    <fill>
      <patternFill patternType="solid">
        <fgColor rgb="FF1A80E6"/>
        <bgColor indexed="64"/>
      </patternFill>
    </fill>
    <fill>
      <patternFill patternType="solid">
        <fgColor rgb="FFB30000"/>
        <bgColor indexed="64"/>
      </patternFill>
    </fill>
    <fill>
      <patternFill patternType="solid">
        <fgColor rgb="FFFAC864"/>
        <bgColor indexed="64"/>
      </patternFill>
    </fill>
    <fill>
      <patternFill patternType="solid">
        <fgColor rgb="FFC8C864"/>
        <bgColor indexed="64"/>
      </patternFill>
    </fill>
    <fill>
      <patternFill patternType="solid">
        <fgColor rgb="FF96C800"/>
        <bgColor indexed="64"/>
      </patternFill>
    </fill>
    <fill>
      <patternFill patternType="solid">
        <fgColor theme="0" tint="-0.249977111117893"/>
        <bgColor indexed="64"/>
      </patternFill>
    </fill>
    <fill>
      <patternFill patternType="solid">
        <fgColor rgb="FF92D050"/>
        <bgColor indexed="64"/>
      </patternFill>
    </fill>
  </fills>
  <borders count="31">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style="thin">
        <color indexed="64"/>
      </left>
      <right style="thin">
        <color indexed="64"/>
      </right>
      <top/>
      <bottom/>
      <diagonal/>
    </border>
    <border>
      <left style="medium">
        <color rgb="FFA2A9B1"/>
      </left>
      <right style="medium">
        <color rgb="FFA2A9B1"/>
      </right>
      <top style="medium">
        <color rgb="FFA2A9B1"/>
      </top>
      <bottom style="medium">
        <color rgb="FFA2A9B1"/>
      </bottom>
      <diagonal/>
    </border>
    <border>
      <left style="medium">
        <color rgb="FFA2A9B1"/>
      </left>
      <right style="medium">
        <color rgb="FFA2A9B1"/>
      </right>
      <top style="medium">
        <color rgb="FFA2A9B1"/>
      </top>
      <bottom/>
      <diagonal/>
    </border>
    <border>
      <left style="medium">
        <color rgb="FFA2A9B1"/>
      </left>
      <right style="medium">
        <color rgb="FFA2A9B1"/>
      </right>
      <top/>
      <bottom style="medium">
        <color rgb="FFA2A9B1"/>
      </bottom>
      <diagonal/>
    </border>
    <border>
      <left style="medium">
        <color rgb="FFA2A9B1"/>
      </left>
      <right/>
      <top style="medium">
        <color rgb="FFA2A9B1"/>
      </top>
      <bottom style="medium">
        <color rgb="FFA2A9B1"/>
      </bottom>
      <diagonal/>
    </border>
    <border>
      <left/>
      <right/>
      <top style="medium">
        <color rgb="FFA2A9B1"/>
      </top>
      <bottom style="medium">
        <color rgb="FFA2A9B1"/>
      </bottom>
      <diagonal/>
    </border>
    <border>
      <left/>
      <right style="medium">
        <color rgb="FFA2A9B1"/>
      </right>
      <top style="medium">
        <color rgb="FFA2A9B1"/>
      </top>
      <bottom style="medium">
        <color rgb="FFA2A9B1"/>
      </bottom>
      <diagonal/>
    </border>
    <border>
      <left style="medium">
        <color rgb="FFA2A9B1"/>
      </left>
      <right style="medium">
        <color rgb="FFA2A9B1"/>
      </right>
      <top/>
      <bottom/>
      <diagonal/>
    </border>
    <border>
      <left style="medium">
        <color rgb="FFCCCCCC"/>
      </left>
      <right style="medium">
        <color rgb="FFCCCCCC"/>
      </right>
      <top style="medium">
        <color rgb="FFCCCCCC"/>
      </top>
      <bottom style="medium">
        <color rgb="FFCCCCCC"/>
      </bottom>
      <diagonal/>
    </border>
    <border>
      <left style="medium">
        <color rgb="FFA2A9B1"/>
      </left>
      <right/>
      <top/>
      <bottom/>
      <diagonal/>
    </border>
    <border>
      <left/>
      <right style="medium">
        <color rgb="FFA2A9B1"/>
      </right>
      <top/>
      <bottom style="medium">
        <color rgb="FFA2A9B1"/>
      </bottom>
      <diagonal/>
    </border>
    <border>
      <left/>
      <right style="medium">
        <color rgb="FFA2A9B1"/>
      </right>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rgb="FFFFFFFF"/>
      </left>
      <right style="medium">
        <color rgb="FFFFFFFF"/>
      </right>
      <top style="medium">
        <color rgb="FFFFFFFF"/>
      </top>
      <bottom style="medium">
        <color rgb="FFFFFFFF"/>
      </bottom>
      <diagonal/>
    </border>
  </borders>
  <cellStyleXfs count="2">
    <xf numFmtId="0" fontId="0" fillId="0" borderId="0"/>
    <xf numFmtId="0" fontId="6" fillId="0" borderId="0" applyNumberFormat="0" applyFill="0" applyBorder="0" applyAlignment="0" applyProtection="0"/>
  </cellStyleXfs>
  <cellXfs count="318">
    <xf numFmtId="0" fontId="0" fillId="0" borderId="0" xfId="0"/>
    <xf numFmtId="0" fontId="0" fillId="0" borderId="1" xfId="0" applyBorder="1"/>
    <xf numFmtId="0" fontId="0" fillId="0" borderId="2" xfId="0" applyBorder="1"/>
    <xf numFmtId="0" fontId="0" fillId="0" borderId="3" xfId="0" applyBorder="1"/>
    <xf numFmtId="0" fontId="0" fillId="2" borderId="7" xfId="0" applyFill="1" applyBorder="1"/>
    <xf numFmtId="0" fontId="0" fillId="2" borderId="8" xfId="0" applyFill="1" applyBorder="1"/>
    <xf numFmtId="0" fontId="0" fillId="2" borderId="9" xfId="0" applyFill="1" applyBorder="1"/>
    <xf numFmtId="0" fontId="0" fillId="3" borderId="4" xfId="0" applyFill="1" applyBorder="1"/>
    <xf numFmtId="0" fontId="0" fillId="3" borderId="5" xfId="0" applyFill="1" applyBorder="1"/>
    <xf numFmtId="0" fontId="0" fillId="3" borderId="6" xfId="0" applyFill="1" applyBorder="1"/>
    <xf numFmtId="0" fontId="0" fillId="0" borderId="5" xfId="0" applyBorder="1"/>
    <xf numFmtId="0" fontId="0" fillId="0" borderId="8" xfId="0" applyBorder="1"/>
    <xf numFmtId="0" fontId="0" fillId="0" borderId="6" xfId="0" applyBorder="1"/>
    <xf numFmtId="0" fontId="0" fillId="0" borderId="0" xfId="0" pivotButton="1"/>
    <xf numFmtId="0" fontId="0" fillId="0" borderId="0" xfId="0" applyAlignment="1">
      <alignment horizontal="left"/>
    </xf>
    <xf numFmtId="0" fontId="0" fillId="0" borderId="0" xfId="0" applyNumberFormat="1"/>
    <xf numFmtId="0" fontId="0" fillId="0" borderId="0" xfId="0" applyAlignment="1">
      <alignment horizontal="left" indent="1"/>
    </xf>
    <xf numFmtId="9" fontId="0" fillId="3" borderId="5" xfId="0" applyNumberFormat="1" applyFill="1" applyBorder="1"/>
    <xf numFmtId="9" fontId="0" fillId="0" borderId="0" xfId="0" applyNumberFormat="1"/>
    <xf numFmtId="10" fontId="0" fillId="0" borderId="0" xfId="0" applyNumberFormat="1"/>
    <xf numFmtId="0" fontId="2" fillId="4" borderId="0" xfId="0" applyFont="1" applyFill="1"/>
    <xf numFmtId="0" fontId="3" fillId="4" borderId="0" xfId="0" applyFont="1" applyFill="1"/>
    <xf numFmtId="0" fontId="3" fillId="5" borderId="0" xfId="0" applyFont="1" applyFill="1"/>
    <xf numFmtId="0" fontId="3" fillId="6" borderId="0" xfId="0" applyFont="1" applyFill="1"/>
    <xf numFmtId="0" fontId="0" fillId="7" borderId="1" xfId="0" applyFill="1" applyBorder="1"/>
    <xf numFmtId="0" fontId="0" fillId="8" borderId="1" xfId="0" applyFill="1" applyBorder="1"/>
    <xf numFmtId="0" fontId="0" fillId="7" borderId="10" xfId="0" applyFill="1" applyBorder="1"/>
    <xf numFmtId="0" fontId="0" fillId="0" borderId="0" xfId="0" applyFill="1" applyBorder="1"/>
    <xf numFmtId="0" fontId="0" fillId="8" borderId="8" xfId="0" applyFill="1" applyBorder="1"/>
    <xf numFmtId="0" fontId="0" fillId="0" borderId="1" xfId="0" applyFill="1" applyBorder="1"/>
    <xf numFmtId="0" fontId="0" fillId="0" borderId="0" xfId="0" applyBorder="1"/>
    <xf numFmtId="0" fontId="0" fillId="8" borderId="0" xfId="0" applyFill="1" applyBorder="1"/>
    <xf numFmtId="0" fontId="0" fillId="0" borderId="10" xfId="0" applyBorder="1"/>
    <xf numFmtId="0" fontId="0" fillId="9" borderId="0" xfId="0" applyFill="1"/>
    <xf numFmtId="0" fontId="0" fillId="9" borderId="1" xfId="0" applyFill="1" applyBorder="1"/>
    <xf numFmtId="0" fontId="4" fillId="11" borderId="11" xfId="0" applyFont="1" applyFill="1" applyBorder="1" applyAlignment="1">
      <alignment horizontal="center" vertical="center" wrapText="1"/>
    </xf>
    <xf numFmtId="0" fontId="5" fillId="10" borderId="11" xfId="0" applyFont="1" applyFill="1" applyBorder="1" applyAlignment="1">
      <alignment horizontal="right" vertical="center" wrapText="1"/>
    </xf>
    <xf numFmtId="0" fontId="5" fillId="10" borderId="11" xfId="0" applyFont="1" applyFill="1" applyBorder="1" applyAlignment="1">
      <alignment vertical="center" wrapText="1"/>
    </xf>
    <xf numFmtId="0" fontId="6" fillId="10" borderId="17" xfId="1" applyFill="1" applyBorder="1" applyAlignment="1">
      <alignment horizontal="left" vertical="center" wrapText="1" indent="1"/>
    </xf>
    <xf numFmtId="0" fontId="6" fillId="10" borderId="11" xfId="1" applyFill="1" applyBorder="1" applyAlignment="1">
      <alignment vertical="center" wrapText="1"/>
    </xf>
    <xf numFmtId="0" fontId="6" fillId="10" borderId="12" xfId="1" applyFill="1" applyBorder="1" applyAlignment="1">
      <alignment vertical="center" wrapText="1"/>
    </xf>
    <xf numFmtId="0" fontId="0" fillId="10" borderId="17" xfId="0" applyFill="1" applyBorder="1" applyAlignment="1">
      <alignment vertical="center" wrapText="1"/>
    </xf>
    <xf numFmtId="0" fontId="0" fillId="10" borderId="13" xfId="0" applyFill="1" applyBorder="1" applyAlignment="1">
      <alignment vertical="center" wrapText="1"/>
    </xf>
    <xf numFmtId="0" fontId="6" fillId="10" borderId="17" xfId="1" applyFill="1" applyBorder="1" applyAlignment="1">
      <alignment vertical="center" wrapText="1"/>
    </xf>
    <xf numFmtId="0" fontId="6" fillId="10" borderId="12" xfId="1" applyFill="1" applyBorder="1" applyAlignment="1">
      <alignment horizontal="left" vertical="center" wrapText="1" indent="1"/>
    </xf>
    <xf numFmtId="0" fontId="6" fillId="10" borderId="13" xfId="1" applyFill="1" applyBorder="1" applyAlignment="1">
      <alignment horizontal="left" vertical="center" wrapText="1" indent="1"/>
    </xf>
    <xf numFmtId="0" fontId="5" fillId="10" borderId="12" xfId="0" applyFont="1" applyFill="1" applyBorder="1" applyAlignment="1">
      <alignment horizontal="left" vertical="center" wrapText="1" indent="1"/>
    </xf>
    <xf numFmtId="0" fontId="5" fillId="10" borderId="17" xfId="0" applyFont="1" applyFill="1" applyBorder="1" applyAlignment="1">
      <alignment horizontal="left" vertical="center" wrapText="1" indent="1"/>
    </xf>
    <xf numFmtId="0" fontId="5" fillId="10" borderId="13" xfId="0" applyFont="1" applyFill="1" applyBorder="1" applyAlignment="1">
      <alignment horizontal="left" vertical="center" wrapText="1" indent="1"/>
    </xf>
    <xf numFmtId="0" fontId="4" fillId="14" borderId="11" xfId="0" applyFont="1" applyFill="1" applyBorder="1" applyAlignment="1">
      <alignment horizontal="center" vertical="center" wrapText="1"/>
    </xf>
    <xf numFmtId="0" fontId="4" fillId="15" borderId="11" xfId="0" applyFont="1" applyFill="1" applyBorder="1" applyAlignment="1">
      <alignment horizontal="center" vertical="center" wrapText="1"/>
    </xf>
    <xf numFmtId="0" fontId="4" fillId="16" borderId="11" xfId="0" applyFont="1" applyFill="1" applyBorder="1" applyAlignment="1">
      <alignment horizontal="center" vertical="center" wrapText="1"/>
    </xf>
    <xf numFmtId="0" fontId="4" fillId="17" borderId="11" xfId="0" applyFont="1" applyFill="1" applyBorder="1" applyAlignment="1">
      <alignment horizontal="center" vertical="center" wrapText="1"/>
    </xf>
    <xf numFmtId="0" fontId="4" fillId="18" borderId="11" xfId="0" applyFont="1" applyFill="1" applyBorder="1" applyAlignment="1">
      <alignment horizontal="center" vertical="center" wrapText="1"/>
    </xf>
    <xf numFmtId="0" fontId="8" fillId="19" borderId="11" xfId="0" applyFont="1" applyFill="1" applyBorder="1" applyAlignment="1">
      <alignment horizontal="center" vertical="center" wrapText="1"/>
    </xf>
    <xf numFmtId="0" fontId="4" fillId="20" borderId="11" xfId="0" applyFont="1" applyFill="1" applyBorder="1" applyAlignment="1">
      <alignment horizontal="center" vertical="center" wrapText="1"/>
    </xf>
    <xf numFmtId="0" fontId="4" fillId="21" borderId="11" xfId="0" applyFont="1" applyFill="1" applyBorder="1" applyAlignment="1">
      <alignment horizontal="center" vertical="center" wrapText="1"/>
    </xf>
    <xf numFmtId="0" fontId="4" fillId="24" borderId="11" xfId="0" applyFont="1" applyFill="1" applyBorder="1" applyAlignment="1">
      <alignment horizontal="center" vertical="center" wrapText="1"/>
    </xf>
    <xf numFmtId="0" fontId="4" fillId="25" borderId="11" xfId="0" applyFont="1" applyFill="1" applyBorder="1" applyAlignment="1">
      <alignment horizontal="center" vertical="center" wrapText="1"/>
    </xf>
    <xf numFmtId="0" fontId="4" fillId="26" borderId="11" xfId="0" applyFont="1" applyFill="1" applyBorder="1" applyAlignment="1">
      <alignment horizontal="center" vertical="center" wrapText="1"/>
    </xf>
    <xf numFmtId="0" fontId="4" fillId="28" borderId="11" xfId="0" applyFont="1" applyFill="1" applyBorder="1" applyAlignment="1">
      <alignment horizontal="center" vertical="center" wrapText="1"/>
    </xf>
    <xf numFmtId="0" fontId="4" fillId="29" borderId="11" xfId="0" applyFont="1" applyFill="1" applyBorder="1" applyAlignment="1">
      <alignment horizontal="center" vertical="center" wrapText="1"/>
    </xf>
    <xf numFmtId="0" fontId="4" fillId="30" borderId="11" xfId="0" applyFont="1" applyFill="1" applyBorder="1" applyAlignment="1">
      <alignment horizontal="center" vertical="center" wrapText="1"/>
    </xf>
    <xf numFmtId="0" fontId="4" fillId="31" borderId="11" xfId="0" applyFont="1" applyFill="1" applyBorder="1" applyAlignment="1">
      <alignment horizontal="center" vertical="center" wrapText="1"/>
    </xf>
    <xf numFmtId="0" fontId="4" fillId="32" borderId="11" xfId="0" applyFont="1" applyFill="1" applyBorder="1" applyAlignment="1">
      <alignment horizontal="center" vertical="center" wrapText="1"/>
    </xf>
    <xf numFmtId="0" fontId="4" fillId="33" borderId="11" xfId="0" applyFont="1" applyFill="1" applyBorder="1" applyAlignment="1">
      <alignment horizontal="center" vertical="center" wrapText="1"/>
    </xf>
    <xf numFmtId="0" fontId="4" fillId="34" borderId="11" xfId="0" applyFont="1" applyFill="1" applyBorder="1" applyAlignment="1">
      <alignment horizontal="center" vertical="center" wrapText="1"/>
    </xf>
    <xf numFmtId="0" fontId="4" fillId="35" borderId="11" xfId="0" applyFont="1" applyFill="1" applyBorder="1" applyAlignment="1">
      <alignment horizontal="center" vertical="center" wrapText="1"/>
    </xf>
    <xf numFmtId="0" fontId="4" fillId="36" borderId="11" xfId="0" applyFont="1" applyFill="1" applyBorder="1" applyAlignment="1">
      <alignment horizontal="center" vertical="center" wrapText="1"/>
    </xf>
    <xf numFmtId="0" fontId="4" fillId="37" borderId="11" xfId="0" applyFont="1" applyFill="1" applyBorder="1" applyAlignment="1">
      <alignment horizontal="center" vertical="center" wrapText="1"/>
    </xf>
    <xf numFmtId="0" fontId="4" fillId="38" borderId="11" xfId="0" applyFont="1" applyFill="1" applyBorder="1" applyAlignment="1">
      <alignment horizontal="center" vertical="center" wrapText="1"/>
    </xf>
    <xf numFmtId="0" fontId="4" fillId="39" borderId="11" xfId="0" applyFont="1" applyFill="1" applyBorder="1" applyAlignment="1">
      <alignment horizontal="center" vertical="center" wrapText="1"/>
    </xf>
    <xf numFmtId="0" fontId="4" fillId="40" borderId="11" xfId="0" applyFont="1" applyFill="1" applyBorder="1" applyAlignment="1">
      <alignment horizontal="center" vertical="center" wrapText="1"/>
    </xf>
    <xf numFmtId="0" fontId="4" fillId="41" borderId="11" xfId="0" applyFont="1" applyFill="1" applyBorder="1" applyAlignment="1">
      <alignment horizontal="center" vertical="center" wrapText="1"/>
    </xf>
    <xf numFmtId="0" fontId="4" fillId="42" borderId="11" xfId="0" applyFont="1" applyFill="1" applyBorder="1" applyAlignment="1">
      <alignment horizontal="center" vertical="center" wrapText="1"/>
    </xf>
    <xf numFmtId="0" fontId="4" fillId="43" borderId="11" xfId="0" applyFont="1" applyFill="1" applyBorder="1" applyAlignment="1">
      <alignment horizontal="center" vertical="center" wrapText="1"/>
    </xf>
    <xf numFmtId="0" fontId="4" fillId="44" borderId="11" xfId="0" applyFont="1" applyFill="1" applyBorder="1" applyAlignment="1">
      <alignment horizontal="center" vertical="center" wrapText="1"/>
    </xf>
    <xf numFmtId="0" fontId="4" fillId="45" borderId="11" xfId="0" applyFont="1" applyFill="1" applyBorder="1" applyAlignment="1">
      <alignment horizontal="center" vertical="center" wrapText="1"/>
    </xf>
    <xf numFmtId="0" fontId="4" fillId="46" borderId="11" xfId="0" applyFont="1" applyFill="1" applyBorder="1" applyAlignment="1">
      <alignment horizontal="center" vertical="center" wrapText="1"/>
    </xf>
    <xf numFmtId="0" fontId="4" fillId="47" borderId="11" xfId="0" applyFont="1" applyFill="1" applyBorder="1" applyAlignment="1">
      <alignment horizontal="center" vertical="center" wrapText="1"/>
    </xf>
    <xf numFmtId="0" fontId="4" fillId="48" borderId="11" xfId="0" applyFont="1" applyFill="1" applyBorder="1" applyAlignment="1">
      <alignment horizontal="center" vertical="center" wrapText="1"/>
    </xf>
    <xf numFmtId="0" fontId="4" fillId="49" borderId="11" xfId="0" applyFont="1" applyFill="1" applyBorder="1" applyAlignment="1">
      <alignment horizontal="center" vertical="center" wrapText="1"/>
    </xf>
    <xf numFmtId="0" fontId="4" fillId="50" borderId="11" xfId="0" applyFont="1" applyFill="1" applyBorder="1" applyAlignment="1">
      <alignment horizontal="center" vertical="center" wrapText="1"/>
    </xf>
    <xf numFmtId="0" fontId="4" fillId="51" borderId="11" xfId="0" applyFont="1" applyFill="1" applyBorder="1" applyAlignment="1">
      <alignment horizontal="center" vertical="center" wrapText="1"/>
    </xf>
    <xf numFmtId="0" fontId="4" fillId="52" borderId="11" xfId="0" applyFont="1" applyFill="1" applyBorder="1" applyAlignment="1">
      <alignment horizontal="center" vertical="center" wrapText="1"/>
    </xf>
    <xf numFmtId="0" fontId="4" fillId="53" borderId="11" xfId="0" applyFont="1" applyFill="1" applyBorder="1" applyAlignment="1">
      <alignment horizontal="center" vertical="center" wrapText="1"/>
    </xf>
    <xf numFmtId="0" fontId="4" fillId="54" borderId="11" xfId="0" applyFont="1" applyFill="1" applyBorder="1" applyAlignment="1">
      <alignment horizontal="center" vertical="center" wrapText="1"/>
    </xf>
    <xf numFmtId="0" fontId="4" fillId="55" borderId="11" xfId="0" applyFont="1" applyFill="1" applyBorder="1" applyAlignment="1">
      <alignment horizontal="center" vertical="center" wrapText="1"/>
    </xf>
    <xf numFmtId="0" fontId="4" fillId="56" borderId="11" xfId="0" applyFont="1" applyFill="1" applyBorder="1" applyAlignment="1">
      <alignment horizontal="center" vertical="center" wrapText="1"/>
    </xf>
    <xf numFmtId="0" fontId="4" fillId="57" borderId="11" xfId="0" applyFont="1" applyFill="1" applyBorder="1" applyAlignment="1">
      <alignment horizontal="center" vertical="center" wrapText="1"/>
    </xf>
    <xf numFmtId="0" fontId="4" fillId="58" borderId="11" xfId="0" applyFont="1" applyFill="1" applyBorder="1" applyAlignment="1">
      <alignment horizontal="center" vertical="center" wrapText="1"/>
    </xf>
    <xf numFmtId="0" fontId="4" fillId="59" borderId="11" xfId="0" applyFont="1" applyFill="1" applyBorder="1" applyAlignment="1">
      <alignment horizontal="center" vertical="center" wrapText="1"/>
    </xf>
    <xf numFmtId="0" fontId="9" fillId="10" borderId="12" xfId="0" applyFont="1" applyFill="1" applyBorder="1" applyAlignment="1">
      <alignment vertical="center" wrapText="1"/>
    </xf>
    <xf numFmtId="0" fontId="9" fillId="10" borderId="17" xfId="0" applyFont="1" applyFill="1" applyBorder="1" applyAlignment="1">
      <alignment vertical="center" wrapText="1"/>
    </xf>
    <xf numFmtId="0" fontId="4" fillId="60" borderId="11" xfId="0" applyFont="1" applyFill="1" applyBorder="1" applyAlignment="1">
      <alignment horizontal="center" vertical="center" wrapText="1"/>
    </xf>
    <xf numFmtId="0" fontId="4" fillId="61" borderId="11" xfId="0" applyFont="1" applyFill="1" applyBorder="1" applyAlignment="1">
      <alignment horizontal="center" vertical="center" wrapText="1"/>
    </xf>
    <xf numFmtId="0" fontId="4" fillId="62" borderId="11" xfId="0" applyFont="1" applyFill="1" applyBorder="1" applyAlignment="1">
      <alignment horizontal="center" vertical="center" wrapText="1"/>
    </xf>
    <xf numFmtId="0" fontId="4" fillId="63" borderId="11" xfId="0" applyFont="1" applyFill="1" applyBorder="1" applyAlignment="1">
      <alignment horizontal="center" vertical="center" wrapText="1"/>
    </xf>
    <xf numFmtId="0" fontId="4" fillId="64" borderId="11" xfId="0" applyFont="1" applyFill="1" applyBorder="1" applyAlignment="1">
      <alignment horizontal="center" vertical="center" wrapText="1"/>
    </xf>
    <xf numFmtId="0" fontId="4" fillId="65" borderId="11" xfId="0" applyFont="1" applyFill="1" applyBorder="1" applyAlignment="1">
      <alignment horizontal="center" vertical="center" wrapText="1"/>
    </xf>
    <xf numFmtId="0" fontId="4" fillId="66" borderId="11" xfId="0" applyFont="1" applyFill="1" applyBorder="1" applyAlignment="1">
      <alignment horizontal="center" vertical="center" wrapText="1"/>
    </xf>
    <xf numFmtId="0" fontId="4" fillId="69" borderId="11" xfId="0" applyFont="1" applyFill="1" applyBorder="1" applyAlignment="1">
      <alignment horizontal="center" vertical="center" wrapText="1"/>
    </xf>
    <xf numFmtId="0" fontId="4" fillId="70" borderId="11" xfId="0" applyFont="1" applyFill="1" applyBorder="1" applyAlignment="1">
      <alignment horizontal="center" vertical="center" wrapText="1"/>
    </xf>
    <xf numFmtId="0" fontId="4" fillId="71" borderId="11" xfId="0" applyFont="1" applyFill="1" applyBorder="1" applyAlignment="1">
      <alignment horizontal="center" vertical="center" wrapText="1"/>
    </xf>
    <xf numFmtId="0" fontId="4" fillId="73" borderId="11" xfId="0" applyFont="1" applyFill="1" applyBorder="1" applyAlignment="1">
      <alignment horizontal="center" vertical="center" wrapText="1"/>
    </xf>
    <xf numFmtId="0" fontId="4" fillId="74" borderId="11" xfId="0" applyFont="1" applyFill="1" applyBorder="1" applyAlignment="1">
      <alignment horizontal="center" vertical="center" wrapText="1"/>
    </xf>
    <xf numFmtId="0" fontId="4" fillId="75" borderId="11" xfId="0" applyFont="1" applyFill="1" applyBorder="1" applyAlignment="1">
      <alignment horizontal="center" vertical="center" wrapText="1"/>
    </xf>
    <xf numFmtId="0" fontId="8" fillId="76" borderId="11" xfId="0" applyFont="1" applyFill="1" applyBorder="1" applyAlignment="1">
      <alignment horizontal="center" vertical="center" wrapText="1"/>
    </xf>
    <xf numFmtId="0" fontId="4" fillId="77" borderId="11" xfId="0" applyFont="1" applyFill="1" applyBorder="1" applyAlignment="1">
      <alignment horizontal="center" vertical="center" wrapText="1"/>
    </xf>
    <xf numFmtId="0" fontId="4" fillId="78" borderId="11" xfId="0" applyFont="1" applyFill="1" applyBorder="1" applyAlignment="1">
      <alignment horizontal="center" vertical="center" wrapText="1"/>
    </xf>
    <xf numFmtId="0" fontId="4" fillId="79" borderId="11" xfId="0" applyFont="1" applyFill="1" applyBorder="1" applyAlignment="1">
      <alignment horizontal="center" vertical="center" wrapText="1"/>
    </xf>
    <xf numFmtId="0" fontId="4" fillId="80" borderId="11" xfId="0" applyFont="1" applyFill="1" applyBorder="1" applyAlignment="1">
      <alignment horizontal="center" vertical="center" wrapText="1"/>
    </xf>
    <xf numFmtId="0" fontId="4" fillId="81" borderId="11" xfId="0" applyFont="1" applyFill="1" applyBorder="1" applyAlignment="1">
      <alignment horizontal="center" vertical="center" wrapText="1"/>
    </xf>
    <xf numFmtId="0" fontId="4" fillId="82" borderId="11" xfId="0" applyFont="1" applyFill="1" applyBorder="1" applyAlignment="1">
      <alignment horizontal="center" vertical="center" wrapText="1"/>
    </xf>
    <xf numFmtId="0" fontId="4" fillId="83" borderId="11" xfId="0" applyFont="1" applyFill="1" applyBorder="1" applyAlignment="1">
      <alignment horizontal="center" vertical="center" wrapText="1"/>
    </xf>
    <xf numFmtId="0" fontId="8" fillId="84" borderId="11" xfId="0" applyFont="1" applyFill="1" applyBorder="1" applyAlignment="1">
      <alignment horizontal="center" vertical="center" wrapText="1"/>
    </xf>
    <xf numFmtId="0" fontId="4" fillId="85" borderId="11" xfId="0" applyFont="1" applyFill="1" applyBorder="1" applyAlignment="1">
      <alignment horizontal="center" vertical="center" wrapText="1"/>
    </xf>
    <xf numFmtId="0" fontId="4" fillId="86" borderId="11" xfId="0" applyFont="1" applyFill="1" applyBorder="1" applyAlignment="1">
      <alignment horizontal="center" vertical="center" wrapText="1"/>
    </xf>
    <xf numFmtId="0" fontId="4" fillId="87" borderId="11" xfId="0" applyFont="1" applyFill="1" applyBorder="1" applyAlignment="1">
      <alignment horizontal="center" vertical="center" wrapText="1"/>
    </xf>
    <xf numFmtId="0" fontId="8" fillId="88" borderId="11" xfId="0" applyFont="1" applyFill="1" applyBorder="1" applyAlignment="1">
      <alignment horizontal="center" vertical="center" wrapText="1"/>
    </xf>
    <xf numFmtId="0" fontId="4" fillId="89" borderId="11" xfId="0" applyFont="1" applyFill="1" applyBorder="1" applyAlignment="1">
      <alignment horizontal="center" vertical="center" wrapText="1"/>
    </xf>
    <xf numFmtId="0" fontId="4" fillId="91" borderId="11" xfId="0" applyFont="1" applyFill="1" applyBorder="1" applyAlignment="1">
      <alignment horizontal="center" vertical="center" wrapText="1"/>
    </xf>
    <xf numFmtId="0" fontId="4" fillId="92" borderId="11" xfId="0" applyFont="1" applyFill="1" applyBorder="1" applyAlignment="1">
      <alignment horizontal="center" vertical="center" wrapText="1"/>
    </xf>
    <xf numFmtId="0" fontId="4" fillId="93" borderId="11" xfId="0" applyFont="1" applyFill="1" applyBorder="1" applyAlignment="1">
      <alignment horizontal="center" vertical="center" wrapText="1"/>
    </xf>
    <xf numFmtId="0" fontId="8" fillId="94" borderId="11" xfId="0" applyFont="1" applyFill="1" applyBorder="1" applyAlignment="1">
      <alignment horizontal="center" vertical="center" wrapText="1"/>
    </xf>
    <xf numFmtId="0" fontId="4" fillId="95" borderId="11" xfId="0" applyFont="1" applyFill="1" applyBorder="1" applyAlignment="1">
      <alignment horizontal="center" vertical="center" wrapText="1"/>
    </xf>
    <xf numFmtId="0" fontId="4" fillId="96" borderId="11" xfId="0" applyFont="1" applyFill="1" applyBorder="1" applyAlignment="1">
      <alignment horizontal="center" vertical="center" wrapText="1"/>
    </xf>
    <xf numFmtId="0" fontId="4" fillId="97" borderId="11" xfId="0" applyFont="1" applyFill="1" applyBorder="1" applyAlignment="1">
      <alignment horizontal="center" vertical="center" wrapText="1"/>
    </xf>
    <xf numFmtId="0" fontId="8" fillId="98" borderId="11" xfId="0" applyFont="1" applyFill="1" applyBorder="1" applyAlignment="1">
      <alignment horizontal="center" vertical="center" wrapText="1"/>
    </xf>
    <xf numFmtId="0" fontId="8" fillId="99" borderId="11" xfId="0" applyFont="1" applyFill="1" applyBorder="1" applyAlignment="1">
      <alignment horizontal="center" vertical="center" wrapText="1"/>
    </xf>
    <xf numFmtId="0" fontId="4" fillId="100" borderId="11" xfId="0" applyFont="1" applyFill="1" applyBorder="1" applyAlignment="1">
      <alignment horizontal="center" vertical="center" wrapText="1"/>
    </xf>
    <xf numFmtId="0" fontId="4" fillId="101" borderId="11" xfId="0" applyFont="1" applyFill="1" applyBorder="1" applyAlignment="1">
      <alignment horizontal="center" vertical="center" wrapText="1"/>
    </xf>
    <xf numFmtId="0" fontId="4" fillId="102" borderId="11" xfId="0" applyFont="1" applyFill="1" applyBorder="1" applyAlignment="1">
      <alignment horizontal="center" vertical="center" wrapText="1"/>
    </xf>
    <xf numFmtId="0" fontId="4" fillId="103" borderId="11" xfId="0" applyFont="1" applyFill="1" applyBorder="1" applyAlignment="1">
      <alignment horizontal="center" vertical="center" wrapText="1"/>
    </xf>
    <xf numFmtId="0" fontId="4" fillId="104" borderId="11" xfId="0" applyFont="1" applyFill="1" applyBorder="1" applyAlignment="1">
      <alignment horizontal="center" vertical="center" wrapText="1"/>
    </xf>
    <xf numFmtId="0" fontId="8" fillId="105" borderId="11" xfId="0" applyFont="1" applyFill="1" applyBorder="1" applyAlignment="1">
      <alignment horizontal="center" vertical="center" wrapText="1"/>
    </xf>
    <xf numFmtId="0" fontId="8" fillId="106" borderId="11" xfId="0" applyFont="1" applyFill="1" applyBorder="1" applyAlignment="1">
      <alignment horizontal="center" vertical="center" wrapText="1"/>
    </xf>
    <xf numFmtId="0" fontId="8" fillId="107" borderId="11" xfId="0" applyFont="1" applyFill="1" applyBorder="1" applyAlignment="1">
      <alignment horizontal="center" vertical="center" wrapText="1"/>
    </xf>
    <xf numFmtId="0" fontId="4" fillId="108" borderId="11" xfId="0" applyFont="1" applyFill="1" applyBorder="1" applyAlignment="1">
      <alignment horizontal="center" vertical="center" wrapText="1"/>
    </xf>
    <xf numFmtId="0" fontId="4" fillId="109" borderId="11" xfId="0" applyFont="1" applyFill="1" applyBorder="1" applyAlignment="1">
      <alignment horizontal="center" vertical="center" wrapText="1"/>
    </xf>
    <xf numFmtId="0" fontId="4" fillId="110" borderId="11" xfId="0" applyFont="1" applyFill="1" applyBorder="1" applyAlignment="1">
      <alignment horizontal="center" vertical="center" wrapText="1"/>
    </xf>
    <xf numFmtId="0" fontId="8" fillId="111" borderId="11" xfId="0" applyFont="1" applyFill="1" applyBorder="1" applyAlignment="1">
      <alignment horizontal="center" vertical="center" wrapText="1"/>
    </xf>
    <xf numFmtId="0" fontId="4" fillId="112" borderId="11" xfId="0" applyFont="1" applyFill="1" applyBorder="1" applyAlignment="1">
      <alignment horizontal="center" vertical="center" wrapText="1"/>
    </xf>
    <xf numFmtId="0" fontId="4" fillId="113" borderId="11" xfId="0" applyFont="1" applyFill="1" applyBorder="1" applyAlignment="1">
      <alignment horizontal="center" vertical="center" wrapText="1"/>
    </xf>
    <xf numFmtId="0" fontId="4" fillId="114" borderId="11" xfId="0" applyFont="1" applyFill="1" applyBorder="1" applyAlignment="1">
      <alignment horizontal="center" vertical="center" wrapText="1"/>
    </xf>
    <xf numFmtId="0" fontId="4" fillId="115" borderId="11" xfId="0" applyFont="1" applyFill="1" applyBorder="1" applyAlignment="1">
      <alignment horizontal="center" vertical="center" wrapText="1"/>
    </xf>
    <xf numFmtId="0" fontId="4" fillId="116" borderId="11" xfId="0" applyFont="1" applyFill="1" applyBorder="1" applyAlignment="1">
      <alignment horizontal="center" vertical="center" wrapText="1"/>
    </xf>
    <xf numFmtId="0" fontId="4" fillId="117" borderId="11" xfId="0" applyFont="1" applyFill="1" applyBorder="1" applyAlignment="1">
      <alignment horizontal="center" vertical="center" wrapText="1"/>
    </xf>
    <xf numFmtId="0" fontId="4" fillId="118" borderId="11" xfId="0" applyFont="1" applyFill="1" applyBorder="1" applyAlignment="1">
      <alignment horizontal="center" vertical="center" wrapText="1"/>
    </xf>
    <xf numFmtId="0" fontId="4" fillId="119" borderId="11" xfId="0" applyFont="1" applyFill="1" applyBorder="1" applyAlignment="1">
      <alignment horizontal="center" vertical="center" wrapText="1"/>
    </xf>
    <xf numFmtId="0" fontId="4" fillId="120" borderId="11" xfId="0" applyFont="1" applyFill="1" applyBorder="1" applyAlignment="1">
      <alignment horizontal="center" vertical="center" wrapText="1"/>
    </xf>
    <xf numFmtId="0" fontId="4" fillId="121" borderId="11" xfId="0" applyFont="1" applyFill="1" applyBorder="1" applyAlignment="1">
      <alignment horizontal="center" vertical="center" wrapText="1"/>
    </xf>
    <xf numFmtId="0" fontId="4" fillId="122" borderId="11" xfId="0" applyFont="1" applyFill="1" applyBorder="1" applyAlignment="1">
      <alignment horizontal="center" vertical="center" wrapText="1"/>
    </xf>
    <xf numFmtId="0" fontId="4" fillId="123" borderId="11" xfId="0" applyFont="1" applyFill="1" applyBorder="1" applyAlignment="1">
      <alignment horizontal="center" vertical="center" wrapText="1"/>
    </xf>
    <xf numFmtId="0" fontId="4" fillId="13" borderId="12" xfId="0" applyFont="1" applyFill="1" applyBorder="1" applyAlignment="1">
      <alignment horizontal="center" vertical="center" wrapText="1"/>
    </xf>
    <xf numFmtId="0" fontId="5" fillId="10" borderId="12" xfId="0" applyFont="1" applyFill="1" applyBorder="1" applyAlignment="1">
      <alignment vertical="center" wrapText="1"/>
    </xf>
    <xf numFmtId="0" fontId="5" fillId="10" borderId="17" xfId="0" applyFont="1" applyFill="1" applyBorder="1" applyAlignment="1">
      <alignment vertical="center" wrapText="1"/>
    </xf>
    <xf numFmtId="0" fontId="5" fillId="10" borderId="13" xfId="0" applyFont="1" applyFill="1" applyBorder="1" applyAlignment="1">
      <alignment vertical="center" wrapText="1"/>
    </xf>
    <xf numFmtId="0" fontId="4" fillId="27" borderId="12" xfId="0" applyFont="1" applyFill="1" applyBorder="1" applyAlignment="1">
      <alignment horizontal="center" vertical="center" wrapText="1"/>
    </xf>
    <xf numFmtId="0" fontId="4" fillId="27" borderId="13" xfId="0" applyFont="1" applyFill="1" applyBorder="1" applyAlignment="1">
      <alignment horizontal="center" vertical="center" wrapText="1"/>
    </xf>
    <xf numFmtId="0" fontId="4" fillId="72" borderId="12" xfId="0" applyFont="1" applyFill="1" applyBorder="1" applyAlignment="1">
      <alignment horizontal="center" vertical="center" wrapText="1"/>
    </xf>
    <xf numFmtId="0" fontId="4" fillId="72" borderId="13" xfId="0" applyFont="1" applyFill="1" applyBorder="1" applyAlignment="1">
      <alignment horizontal="center" vertical="center" wrapText="1"/>
    </xf>
    <xf numFmtId="0" fontId="4" fillId="90" borderId="12" xfId="0" applyFont="1" applyFill="1" applyBorder="1" applyAlignment="1">
      <alignment horizontal="center" vertical="center" wrapText="1"/>
    </xf>
    <xf numFmtId="0" fontId="4" fillId="90" borderId="17" xfId="0" applyFont="1" applyFill="1" applyBorder="1" applyAlignment="1">
      <alignment horizontal="center" vertical="center" wrapText="1"/>
    </xf>
    <xf numFmtId="0" fontId="4" fillId="90" borderId="13" xfId="0" applyFont="1" applyFill="1" applyBorder="1" applyAlignment="1">
      <alignment horizontal="center" vertical="center" wrapText="1"/>
    </xf>
    <xf numFmtId="0" fontId="4" fillId="117" borderId="17" xfId="0" applyFont="1" applyFill="1" applyBorder="1" applyAlignment="1">
      <alignment horizontal="center" vertical="center" wrapText="1"/>
    </xf>
    <xf numFmtId="0" fontId="4" fillId="117" borderId="13" xfId="0" applyFont="1" applyFill="1" applyBorder="1" applyAlignment="1">
      <alignment horizontal="center" vertical="center" wrapText="1"/>
    </xf>
    <xf numFmtId="0" fontId="4" fillId="125" borderId="17" xfId="0" applyFont="1" applyFill="1" applyBorder="1" applyAlignment="1">
      <alignment horizontal="center" vertical="center" wrapText="1"/>
    </xf>
    <xf numFmtId="0" fontId="4" fillId="125" borderId="13" xfId="0" applyFont="1" applyFill="1" applyBorder="1" applyAlignment="1">
      <alignment horizontal="center" vertical="center" wrapText="1"/>
    </xf>
    <xf numFmtId="0" fontId="8" fillId="88" borderId="12" xfId="0" applyFont="1" applyFill="1" applyBorder="1" applyAlignment="1">
      <alignment horizontal="center" vertical="center" wrapText="1"/>
    </xf>
    <xf numFmtId="0" fontId="8" fillId="88" borderId="17" xfId="0" applyFont="1" applyFill="1" applyBorder="1" applyAlignment="1">
      <alignment horizontal="center" vertical="center" wrapText="1"/>
    </xf>
    <xf numFmtId="0" fontId="8" fillId="88" borderId="13" xfId="0" applyFont="1" applyFill="1" applyBorder="1" applyAlignment="1">
      <alignment horizontal="center" vertical="center" wrapText="1"/>
    </xf>
    <xf numFmtId="0" fontId="8" fillId="128" borderId="12" xfId="0" applyFont="1" applyFill="1" applyBorder="1" applyAlignment="1">
      <alignment horizontal="center" vertical="center" wrapText="1"/>
    </xf>
    <xf numFmtId="0" fontId="8" fillId="128" borderId="17" xfId="0" applyFont="1" applyFill="1" applyBorder="1" applyAlignment="1">
      <alignment horizontal="center" vertical="center" wrapText="1"/>
    </xf>
    <xf numFmtId="0" fontId="8" fillId="128" borderId="13" xfId="0" applyFont="1" applyFill="1" applyBorder="1" applyAlignment="1">
      <alignment horizontal="center" vertical="center" wrapText="1"/>
    </xf>
    <xf numFmtId="0" fontId="8" fillId="129" borderId="12" xfId="0" applyFont="1" applyFill="1" applyBorder="1" applyAlignment="1">
      <alignment horizontal="center" vertical="center" wrapText="1"/>
    </xf>
    <xf numFmtId="0" fontId="8" fillId="129" borderId="17" xfId="0" applyFont="1" applyFill="1" applyBorder="1" applyAlignment="1">
      <alignment horizontal="center" vertical="center" wrapText="1"/>
    </xf>
    <xf numFmtId="0" fontId="8" fillId="129" borderId="13" xfId="0" applyFont="1" applyFill="1" applyBorder="1" applyAlignment="1">
      <alignment horizontal="center" vertical="center" wrapText="1"/>
    </xf>
    <xf numFmtId="0" fontId="4" fillId="130" borderId="12" xfId="0" applyFont="1" applyFill="1" applyBorder="1" applyAlignment="1">
      <alignment horizontal="center" vertical="center" wrapText="1"/>
    </xf>
    <xf numFmtId="0" fontId="4" fillId="130" borderId="17" xfId="0" applyFont="1" applyFill="1" applyBorder="1" applyAlignment="1">
      <alignment horizontal="center" vertical="center" wrapText="1"/>
    </xf>
    <xf numFmtId="0" fontId="4" fillId="130" borderId="13" xfId="0" applyFont="1" applyFill="1" applyBorder="1" applyAlignment="1">
      <alignment horizontal="center" vertical="center" wrapText="1"/>
    </xf>
    <xf numFmtId="0" fontId="4" fillId="131" borderId="12" xfId="0" applyFont="1" applyFill="1" applyBorder="1" applyAlignment="1">
      <alignment horizontal="center" vertical="center" wrapText="1"/>
    </xf>
    <xf numFmtId="0" fontId="4" fillId="131" borderId="17" xfId="0" applyFont="1" applyFill="1" applyBorder="1" applyAlignment="1">
      <alignment horizontal="center" vertical="center" wrapText="1"/>
    </xf>
    <xf numFmtId="0" fontId="4" fillId="131" borderId="13" xfId="0" applyFont="1" applyFill="1" applyBorder="1" applyAlignment="1">
      <alignment horizontal="center" vertical="center" wrapText="1"/>
    </xf>
    <xf numFmtId="0" fontId="8" fillId="132" borderId="12" xfId="0" applyFont="1" applyFill="1" applyBorder="1" applyAlignment="1">
      <alignment horizontal="center" vertical="center" wrapText="1"/>
    </xf>
    <xf numFmtId="0" fontId="8" fillId="132" borderId="13" xfId="0" applyFont="1" applyFill="1" applyBorder="1" applyAlignment="1">
      <alignment horizontal="center" vertical="center" wrapText="1"/>
    </xf>
    <xf numFmtId="0" fontId="4" fillId="133" borderId="12" xfId="0" applyFont="1" applyFill="1" applyBorder="1" applyAlignment="1">
      <alignment horizontal="center" vertical="center" wrapText="1"/>
    </xf>
    <xf numFmtId="0" fontId="4" fillId="133" borderId="17" xfId="0" applyFont="1" applyFill="1" applyBorder="1" applyAlignment="1">
      <alignment horizontal="center" vertical="center" wrapText="1"/>
    </xf>
    <xf numFmtId="0" fontId="4" fillId="133" borderId="13" xfId="0" applyFont="1" applyFill="1" applyBorder="1" applyAlignment="1">
      <alignment horizontal="center" vertical="center" wrapText="1"/>
    </xf>
    <xf numFmtId="0" fontId="8" fillId="116" borderId="12" xfId="0" applyFont="1" applyFill="1" applyBorder="1" applyAlignment="1">
      <alignment horizontal="center" vertical="center" wrapText="1"/>
    </xf>
    <xf numFmtId="0" fontId="8" fillId="116" borderId="17" xfId="0" applyFont="1" applyFill="1" applyBorder="1" applyAlignment="1">
      <alignment horizontal="center" vertical="center" wrapText="1"/>
    </xf>
    <xf numFmtId="0" fontId="8" fillId="116" borderId="13" xfId="0" applyFont="1" applyFill="1" applyBorder="1" applyAlignment="1">
      <alignment horizontal="center" vertical="center" wrapText="1"/>
    </xf>
    <xf numFmtId="0" fontId="8" fillId="134" borderId="12" xfId="0" applyFont="1" applyFill="1" applyBorder="1" applyAlignment="1">
      <alignment horizontal="center" vertical="center" wrapText="1"/>
    </xf>
    <xf numFmtId="0" fontId="8" fillId="134" borderId="17" xfId="0" applyFont="1" applyFill="1" applyBorder="1" applyAlignment="1">
      <alignment horizontal="center" vertical="center" wrapText="1"/>
    </xf>
    <xf numFmtId="0" fontId="8" fillId="134" borderId="13" xfId="0" applyFont="1" applyFill="1" applyBorder="1" applyAlignment="1">
      <alignment horizontal="center" vertical="center" wrapText="1"/>
    </xf>
    <xf numFmtId="0" fontId="11" fillId="0" borderId="18" xfId="0" applyFont="1" applyBorder="1" applyAlignment="1">
      <alignment horizontal="left" vertical="center" indent="1"/>
    </xf>
    <xf numFmtId="0" fontId="12" fillId="0" borderId="0" xfId="0" applyFont="1" applyFill="1" applyBorder="1" applyAlignment="1">
      <alignment horizontal="center" vertical="center" wrapText="1"/>
    </xf>
    <xf numFmtId="0" fontId="3" fillId="0" borderId="0" xfId="0" applyFont="1" applyFill="1"/>
    <xf numFmtId="0" fontId="12" fillId="0" borderId="17" xfId="0" applyFont="1" applyFill="1" applyBorder="1" applyAlignment="1">
      <alignment horizontal="center" vertical="center" wrapText="1"/>
    </xf>
    <xf numFmtId="0" fontId="0" fillId="12" borderId="1" xfId="0" applyFont="1" applyFill="1" applyBorder="1"/>
    <xf numFmtId="0" fontId="12" fillId="8" borderId="11" xfId="0" applyFont="1" applyFill="1" applyBorder="1" applyAlignment="1">
      <alignment horizontal="center" vertical="center" wrapText="1"/>
    </xf>
    <xf numFmtId="0" fontId="4" fillId="11" borderId="17" xfId="0" applyFont="1" applyFill="1" applyBorder="1" applyAlignment="1">
      <alignment horizontal="center" vertical="center" wrapText="1"/>
    </xf>
    <xf numFmtId="0" fontId="5" fillId="10" borderId="19" xfId="0" applyFont="1" applyFill="1" applyBorder="1" applyAlignment="1">
      <alignment vertical="center" wrapText="1"/>
    </xf>
    <xf numFmtId="0" fontId="11" fillId="0" borderId="18" xfId="0" applyFont="1" applyFill="1" applyBorder="1" applyAlignment="1">
      <alignment horizontal="left" vertical="center" indent="1"/>
    </xf>
    <xf numFmtId="0" fontId="13" fillId="10" borderId="11" xfId="0" applyFont="1" applyFill="1" applyBorder="1" applyAlignment="1">
      <alignment vertical="center" wrapText="1"/>
    </xf>
    <xf numFmtId="0" fontId="14" fillId="10" borderId="11" xfId="0" applyFont="1" applyFill="1" applyBorder="1" applyAlignment="1">
      <alignment horizontal="center" vertical="center" wrapText="1"/>
    </xf>
    <xf numFmtId="0" fontId="15" fillId="10" borderId="11" xfId="0" applyFont="1" applyFill="1" applyBorder="1" applyAlignment="1">
      <alignment vertical="center" wrapText="1"/>
    </xf>
    <xf numFmtId="0" fontId="14" fillId="135" borderId="11" xfId="0" applyFont="1" applyFill="1" applyBorder="1" applyAlignment="1">
      <alignment horizontal="center" vertical="center" wrapText="1"/>
    </xf>
    <xf numFmtId="0" fontId="13" fillId="10" borderId="13" xfId="0" applyFont="1" applyFill="1" applyBorder="1" applyAlignment="1">
      <alignment vertical="center" wrapText="1"/>
    </xf>
    <xf numFmtId="0" fontId="13" fillId="10" borderId="12" xfId="0" applyFont="1" applyFill="1" applyBorder="1" applyAlignment="1">
      <alignment vertical="center" wrapText="1"/>
    </xf>
    <xf numFmtId="0" fontId="6" fillId="10" borderId="12" xfId="1" applyFill="1" applyBorder="1" applyAlignment="1">
      <alignment vertical="center" wrapText="1"/>
    </xf>
    <xf numFmtId="0" fontId="14" fillId="10" borderId="12" xfId="0" applyFont="1" applyFill="1" applyBorder="1" applyAlignment="1">
      <alignment horizontal="center" vertical="center" wrapText="1"/>
    </xf>
    <xf numFmtId="0" fontId="15" fillId="10" borderId="12" xfId="0" applyFont="1" applyFill="1" applyBorder="1" applyAlignment="1">
      <alignment vertical="center" wrapText="1"/>
    </xf>
    <xf numFmtId="0" fontId="0" fillId="10" borderId="20" xfId="0" applyFill="1" applyBorder="1"/>
    <xf numFmtId="0" fontId="14" fillId="10" borderId="13" xfId="0" applyFont="1" applyFill="1" applyBorder="1" applyAlignment="1">
      <alignment vertical="center" wrapText="1"/>
    </xf>
    <xf numFmtId="0" fontId="0" fillId="10" borderId="21" xfId="0" applyFill="1" applyBorder="1"/>
    <xf numFmtId="0" fontId="14" fillId="10" borderId="17" xfId="0" applyFont="1" applyFill="1" applyBorder="1" applyAlignment="1">
      <alignment vertical="center" wrapText="1"/>
    </xf>
    <xf numFmtId="0" fontId="14" fillId="10" borderId="12" xfId="0" applyFont="1" applyFill="1" applyBorder="1" applyAlignment="1">
      <alignment vertical="center" wrapText="1"/>
    </xf>
    <xf numFmtId="0" fontId="13" fillId="10" borderId="17" xfId="0" applyFont="1" applyFill="1" applyBorder="1" applyAlignment="1">
      <alignment vertical="center" wrapText="1"/>
    </xf>
    <xf numFmtId="0" fontId="6" fillId="10" borderId="13" xfId="1" applyFill="1" applyBorder="1" applyAlignment="1">
      <alignment vertical="center" wrapText="1"/>
    </xf>
    <xf numFmtId="0" fontId="6" fillId="11" borderId="11" xfId="1" applyFill="1" applyBorder="1" applyAlignment="1">
      <alignment horizontal="center" vertical="center" wrapText="1"/>
    </xf>
    <xf numFmtId="0" fontId="14" fillId="11" borderId="11" xfId="0" applyFont="1" applyFill="1" applyBorder="1" applyAlignment="1">
      <alignment horizontal="center" vertical="center" wrapText="1"/>
    </xf>
    <xf numFmtId="0" fontId="14" fillId="11" borderId="0" xfId="0" applyFont="1" applyFill="1" applyBorder="1" applyAlignment="1">
      <alignment horizontal="center" vertical="center" wrapText="1"/>
    </xf>
    <xf numFmtId="0" fontId="3" fillId="10" borderId="12" xfId="1" applyFont="1" applyFill="1" applyBorder="1" applyAlignment="1">
      <alignment vertical="center" wrapText="1"/>
    </xf>
    <xf numFmtId="0" fontId="3" fillId="10" borderId="17" xfId="1" applyFont="1" applyFill="1" applyBorder="1" applyAlignment="1">
      <alignment vertical="center" wrapText="1"/>
    </xf>
    <xf numFmtId="0" fontId="3" fillId="10" borderId="13" xfId="1" applyFont="1" applyFill="1" applyBorder="1" applyAlignment="1">
      <alignment vertical="center" wrapText="1"/>
    </xf>
    <xf numFmtId="0" fontId="3" fillId="10" borderId="11" xfId="1" applyFont="1" applyFill="1" applyBorder="1" applyAlignment="1">
      <alignment vertical="center" wrapText="1"/>
    </xf>
    <xf numFmtId="0" fontId="16" fillId="10" borderId="11" xfId="0" applyFont="1" applyFill="1" applyBorder="1" applyAlignment="1">
      <alignment vertical="center" wrapText="1"/>
    </xf>
    <xf numFmtId="0" fontId="16" fillId="10" borderId="12" xfId="0" applyFont="1" applyFill="1" applyBorder="1" applyAlignment="1">
      <alignment vertical="center" wrapText="1"/>
    </xf>
    <xf numFmtId="0" fontId="16" fillId="10" borderId="13" xfId="0" applyFont="1" applyFill="1" applyBorder="1" applyAlignment="1">
      <alignment vertical="center" wrapText="1"/>
    </xf>
    <xf numFmtId="0" fontId="16" fillId="10" borderId="17" xfId="0" applyFont="1" applyFill="1" applyBorder="1" applyAlignment="1">
      <alignment vertical="center" wrapText="1"/>
    </xf>
    <xf numFmtId="0" fontId="3" fillId="0" borderId="0" xfId="0" applyFont="1"/>
    <xf numFmtId="0" fontId="12" fillId="11" borderId="11" xfId="0" applyFont="1" applyFill="1" applyBorder="1" applyAlignment="1">
      <alignment horizontal="center" vertical="center" wrapText="1"/>
    </xf>
    <xf numFmtId="0" fontId="17" fillId="0" borderId="0" xfId="0" applyFont="1"/>
    <xf numFmtId="49" fontId="0" fillId="0" borderId="0" xfId="0" applyNumberFormat="1"/>
    <xf numFmtId="0" fontId="0" fillId="140" borderId="0" xfId="0" applyFill="1" applyBorder="1"/>
    <xf numFmtId="49" fontId="0" fillId="0" borderId="1" xfId="0" applyNumberFormat="1" applyBorder="1"/>
    <xf numFmtId="49" fontId="0" fillId="0" borderId="1" xfId="0" applyNumberFormat="1" applyFill="1" applyBorder="1"/>
    <xf numFmtId="0" fontId="0" fillId="0" borderId="22" xfId="0" applyBorder="1"/>
    <xf numFmtId="0" fontId="0" fillId="0" borderId="23" xfId="0" applyBorder="1"/>
    <xf numFmtId="49" fontId="0" fillId="0" borderId="23" xfId="0" applyNumberFormat="1" applyBorder="1"/>
    <xf numFmtId="0" fontId="0" fillId="0" borderId="24" xfId="0" applyFill="1" applyBorder="1"/>
    <xf numFmtId="0" fontId="0" fillId="0" borderId="25" xfId="0" applyBorder="1"/>
    <xf numFmtId="0" fontId="0" fillId="0" borderId="26" xfId="0" applyBorder="1"/>
    <xf numFmtId="0" fontId="0" fillId="0" borderId="26" xfId="0" applyFill="1" applyBorder="1"/>
    <xf numFmtId="0" fontId="0" fillId="0" borderId="27" xfId="0" applyBorder="1"/>
    <xf numFmtId="0" fontId="0" fillId="0" borderId="28" xfId="0" applyBorder="1"/>
    <xf numFmtId="49" fontId="0" fillId="0" borderId="28" xfId="0" applyNumberFormat="1" applyBorder="1"/>
    <xf numFmtId="0" fontId="0" fillId="0" borderId="29" xfId="0" applyBorder="1"/>
    <xf numFmtId="0" fontId="0" fillId="0" borderId="24" xfId="0" applyBorder="1"/>
    <xf numFmtId="0" fontId="0" fillId="0" borderId="29" xfId="0" applyFill="1" applyBorder="1"/>
    <xf numFmtId="0" fontId="0" fillId="0" borderId="28" xfId="0" applyFill="1" applyBorder="1"/>
    <xf numFmtId="49" fontId="0" fillId="0" borderId="28" xfId="0" applyNumberFormat="1" applyFill="1" applyBorder="1"/>
    <xf numFmtId="49" fontId="0" fillId="0" borderId="5" xfId="0" applyNumberFormat="1" applyBorder="1"/>
    <xf numFmtId="0" fontId="0" fillId="0" borderId="25" xfId="0" applyFill="1" applyBorder="1"/>
    <xf numFmtId="0" fontId="0" fillId="140" borderId="8" xfId="0" applyFill="1" applyBorder="1"/>
    <xf numFmtId="49" fontId="0" fillId="140" borderId="8" xfId="0" applyNumberFormat="1" applyFill="1" applyBorder="1"/>
    <xf numFmtId="0" fontId="5" fillId="10" borderId="0" xfId="0" applyFont="1" applyFill="1" applyBorder="1" applyAlignment="1">
      <alignment vertical="center" wrapText="1"/>
    </xf>
    <xf numFmtId="0" fontId="4" fillId="67" borderId="12" xfId="0" applyFont="1" applyFill="1" applyBorder="1" applyAlignment="1">
      <alignment horizontal="center" vertical="center" wrapText="1"/>
    </xf>
    <xf numFmtId="0" fontId="4" fillId="127" borderId="11" xfId="0" applyFont="1" applyFill="1" applyBorder="1" applyAlignment="1">
      <alignment horizontal="center" vertical="center" wrapText="1"/>
    </xf>
    <xf numFmtId="0" fontId="4" fillId="22" borderId="17" xfId="0" applyFont="1" applyFill="1" applyBorder="1" applyAlignment="1">
      <alignment horizontal="center" vertical="center" wrapText="1"/>
    </xf>
    <xf numFmtId="0" fontId="4" fillId="21" borderId="17" xfId="0" applyFont="1" applyFill="1" applyBorder="1" applyAlignment="1">
      <alignment horizontal="center" vertical="center" wrapText="1"/>
    </xf>
    <xf numFmtId="0" fontId="4" fillId="126" borderId="12" xfId="0" applyFont="1" applyFill="1" applyBorder="1" applyAlignment="1">
      <alignment horizontal="center" vertical="center" wrapText="1"/>
    </xf>
    <xf numFmtId="0" fontId="4" fillId="125" borderId="11" xfId="0" applyFont="1" applyFill="1" applyBorder="1" applyAlignment="1">
      <alignment horizontal="center" vertical="center" wrapText="1"/>
    </xf>
    <xf numFmtId="0" fontId="4" fillId="124" borderId="12" xfId="0" applyFont="1" applyFill="1" applyBorder="1" applyAlignment="1">
      <alignment horizontal="center" vertical="center" wrapText="1"/>
    </xf>
    <xf numFmtId="0" fontId="4" fillId="68" borderId="13" xfId="0" applyFont="1" applyFill="1" applyBorder="1" applyAlignment="1">
      <alignment horizontal="center" vertical="center" wrapText="1"/>
    </xf>
    <xf numFmtId="0" fontId="8" fillId="23" borderId="13" xfId="0" applyFont="1" applyFill="1" applyBorder="1" applyAlignment="1">
      <alignment horizontal="center" vertical="center" wrapText="1"/>
    </xf>
    <xf numFmtId="0" fontId="4" fillId="13" borderId="11" xfId="0" applyFont="1" applyFill="1" applyBorder="1" applyAlignment="1">
      <alignment horizontal="center" vertical="center" wrapText="1"/>
    </xf>
    <xf numFmtId="0" fontId="0" fillId="10" borderId="12" xfId="0" applyFill="1" applyBorder="1" applyAlignment="1">
      <alignment vertical="center" wrapText="1"/>
    </xf>
    <xf numFmtId="0" fontId="0" fillId="10" borderId="11" xfId="0" applyFill="1" applyBorder="1" applyAlignment="1">
      <alignment vertical="center" wrapText="1"/>
    </xf>
    <xf numFmtId="0" fontId="9" fillId="10" borderId="12" xfId="0" applyFont="1" applyFill="1" applyBorder="1" applyAlignment="1">
      <alignment horizontal="left" vertical="center" wrapText="1" indent="1"/>
    </xf>
    <xf numFmtId="0" fontId="0" fillId="0" borderId="17" xfId="0" applyBorder="1"/>
    <xf numFmtId="0" fontId="0" fillId="0" borderId="19" xfId="0" applyBorder="1"/>
    <xf numFmtId="0" fontId="18" fillId="0" borderId="0" xfId="0" applyFont="1" applyAlignment="1">
      <alignment vertical="center" wrapText="1"/>
    </xf>
    <xf numFmtId="17" fontId="0" fillId="0" borderId="0" xfId="0" applyNumberFormat="1"/>
    <xf numFmtId="0" fontId="19" fillId="0" borderId="0" xfId="0" applyFont="1"/>
    <xf numFmtId="0" fontId="23" fillId="0" borderId="30" xfId="0" applyFont="1" applyBorder="1" applyAlignment="1">
      <alignment horizontal="center" vertical="center" wrapText="1"/>
    </xf>
    <xf numFmtId="0" fontId="24" fillId="0" borderId="30" xfId="0" applyFont="1" applyBorder="1" applyAlignment="1">
      <alignment horizontal="center" vertical="center" wrapText="1"/>
    </xf>
    <xf numFmtId="0" fontId="21" fillId="0" borderId="30" xfId="0" applyFont="1" applyBorder="1" applyAlignment="1">
      <alignment vertical="center" wrapText="1"/>
    </xf>
    <xf numFmtId="0" fontId="21" fillId="0" borderId="0" xfId="0" applyFont="1" applyAlignment="1">
      <alignment vertical="center" wrapText="1"/>
    </xf>
    <xf numFmtId="0" fontId="22" fillId="0" borderId="0" xfId="0" applyFont="1" applyAlignment="1">
      <alignment vertical="top" wrapText="1"/>
    </xf>
    <xf numFmtId="0" fontId="25" fillId="0" borderId="0" xfId="0" applyFont="1" applyAlignment="1">
      <alignment horizontal="left" vertical="center" wrapText="1" indent="1"/>
    </xf>
    <xf numFmtId="0" fontId="26" fillId="8" borderId="0" xfId="0" applyFont="1" applyFill="1" applyAlignment="1">
      <alignment vertical="center" wrapText="1"/>
    </xf>
    <xf numFmtId="0" fontId="27" fillId="0" borderId="0" xfId="0" applyFont="1" applyAlignment="1">
      <alignment horizontal="left" vertical="center" wrapText="1" indent="1"/>
    </xf>
    <xf numFmtId="0" fontId="20" fillId="0" borderId="0" xfId="0" applyFont="1" applyAlignment="1">
      <alignment vertical="center" wrapText="1"/>
    </xf>
    <xf numFmtId="0" fontId="28" fillId="0" borderId="0" xfId="0" applyFont="1" applyAlignment="1">
      <alignment horizontal="left" vertical="center" wrapText="1"/>
    </xf>
    <xf numFmtId="0" fontId="29" fillId="0" borderId="0" xfId="0" applyFont="1" applyAlignment="1">
      <alignment horizontal="left" vertical="center" wrapText="1"/>
    </xf>
    <xf numFmtId="0" fontId="30" fillId="0" borderId="0" xfId="0" applyFont="1" applyAlignment="1">
      <alignment horizontal="left" vertical="center" wrapText="1"/>
    </xf>
    <xf numFmtId="0" fontId="31" fillId="0" borderId="0" xfId="0" applyFont="1"/>
    <xf numFmtId="0" fontId="32" fillId="8" borderId="0" xfId="0" applyFont="1" applyFill="1" applyAlignment="1">
      <alignment vertical="center" wrapText="1"/>
    </xf>
    <xf numFmtId="0" fontId="0" fillId="8" borderId="0" xfId="0" applyFill="1"/>
    <xf numFmtId="0" fontId="33" fillId="0" borderId="0" xfId="0" applyFont="1" applyAlignment="1">
      <alignment horizontal="left" vertical="center" wrapText="1" indent="1"/>
    </xf>
    <xf numFmtId="0" fontId="33" fillId="141" borderId="0" xfId="0" applyFont="1" applyFill="1" applyAlignment="1">
      <alignment horizontal="left" vertical="center" wrapText="1" indent="1"/>
    </xf>
    <xf numFmtId="0" fontId="3" fillId="8" borderId="12" xfId="1" applyFont="1" applyFill="1" applyBorder="1" applyAlignment="1">
      <alignment vertical="center" wrapText="1"/>
    </xf>
    <xf numFmtId="0" fontId="13" fillId="10" borderId="12" xfId="0" applyFont="1" applyFill="1" applyBorder="1" applyAlignment="1">
      <alignment vertical="center" wrapText="1"/>
    </xf>
    <xf numFmtId="0" fontId="13" fillId="10" borderId="17" xfId="0" applyFont="1" applyFill="1" applyBorder="1" applyAlignment="1">
      <alignment vertical="center" wrapText="1"/>
    </xf>
    <xf numFmtId="0" fontId="13" fillId="10" borderId="13" xfId="0" applyFont="1" applyFill="1" applyBorder="1" applyAlignment="1">
      <alignment vertical="center" wrapText="1"/>
    </xf>
    <xf numFmtId="0" fontId="15" fillId="10" borderId="12" xfId="0" applyFont="1" applyFill="1" applyBorder="1" applyAlignment="1">
      <alignment vertical="center" wrapText="1"/>
    </xf>
    <xf numFmtId="0" fontId="15" fillId="10" borderId="17" xfId="0" applyFont="1" applyFill="1" applyBorder="1" applyAlignment="1">
      <alignment vertical="center" wrapText="1"/>
    </xf>
    <xf numFmtId="0" fontId="15" fillId="10" borderId="13" xfId="0" applyFont="1" applyFill="1" applyBorder="1" applyAlignment="1">
      <alignment vertical="center" wrapText="1"/>
    </xf>
    <xf numFmtId="0" fontId="14" fillId="10" borderId="12" xfId="0" applyFont="1" applyFill="1" applyBorder="1" applyAlignment="1">
      <alignment horizontal="center" vertical="center" wrapText="1"/>
    </xf>
    <xf numFmtId="0" fontId="14" fillId="10" borderId="17" xfId="0" applyFont="1" applyFill="1" applyBorder="1" applyAlignment="1">
      <alignment horizontal="center" vertical="center" wrapText="1"/>
    </xf>
    <xf numFmtId="0" fontId="14" fillId="10" borderId="13" xfId="0" applyFont="1" applyFill="1" applyBorder="1" applyAlignment="1">
      <alignment horizontal="center" vertical="center" wrapText="1"/>
    </xf>
    <xf numFmtId="0" fontId="6" fillId="10" borderId="12" xfId="1" applyFill="1" applyBorder="1" applyAlignment="1">
      <alignment vertical="center" wrapText="1"/>
    </xf>
    <xf numFmtId="0" fontId="6" fillId="10" borderId="17" xfId="1" applyFill="1" applyBorder="1" applyAlignment="1">
      <alignment vertical="center" wrapText="1"/>
    </xf>
    <xf numFmtId="0" fontId="6" fillId="10" borderId="13" xfId="1" applyFill="1" applyBorder="1" applyAlignment="1">
      <alignment vertical="center" wrapText="1"/>
    </xf>
    <xf numFmtId="0" fontId="14" fillId="137" borderId="12" xfId="0" applyFont="1" applyFill="1" applyBorder="1" applyAlignment="1">
      <alignment horizontal="center" vertical="center" wrapText="1"/>
    </xf>
    <xf numFmtId="0" fontId="14" fillId="136" borderId="12" xfId="0" applyFont="1" applyFill="1" applyBorder="1" applyAlignment="1">
      <alignment horizontal="center" vertical="center" wrapText="1"/>
    </xf>
    <xf numFmtId="0" fontId="14" fillId="116" borderId="12" xfId="0" applyFont="1" applyFill="1" applyBorder="1" applyAlignment="1">
      <alignment horizontal="center" vertical="center" wrapText="1"/>
    </xf>
    <xf numFmtId="0" fontId="14" fillId="138" borderId="12" xfId="0" applyFont="1" applyFill="1" applyBorder="1" applyAlignment="1">
      <alignment horizontal="center" vertical="center" wrapText="1"/>
    </xf>
    <xf numFmtId="0" fontId="14" fillId="139" borderId="12" xfId="0" applyFont="1" applyFill="1" applyBorder="1" applyAlignment="1">
      <alignment horizontal="center" vertical="center" wrapText="1"/>
    </xf>
    <xf numFmtId="0" fontId="6" fillId="11" borderId="14" xfId="1" applyFill="1" applyBorder="1" applyAlignment="1">
      <alignment horizontal="center" vertical="center" wrapText="1"/>
    </xf>
    <xf numFmtId="0" fontId="6" fillId="11" borderId="15" xfId="1" applyFill="1" applyBorder="1" applyAlignment="1">
      <alignment horizontal="center" vertical="center" wrapText="1"/>
    </xf>
    <xf numFmtId="0" fontId="6" fillId="11" borderId="16" xfId="1" applyFill="1" applyBorder="1" applyAlignment="1">
      <alignment horizontal="center" vertical="center" wrapText="1"/>
    </xf>
    <xf numFmtId="0" fontId="6" fillId="11" borderId="12" xfId="1" applyFill="1" applyBorder="1" applyAlignment="1">
      <alignment horizontal="center" vertical="center" wrapText="1"/>
    </xf>
    <xf numFmtId="0" fontId="6" fillId="11" borderId="13" xfId="1" applyFill="1" applyBorder="1" applyAlignment="1">
      <alignment horizontal="center" vertical="center" wrapText="1"/>
    </xf>
    <xf numFmtId="0" fontId="4" fillId="11" borderId="12" xfId="0" applyFont="1" applyFill="1" applyBorder="1" applyAlignment="1">
      <alignment horizontal="center" vertical="center" wrapText="1"/>
    </xf>
    <xf numFmtId="0" fontId="4" fillId="11" borderId="13" xfId="0" applyFont="1" applyFill="1" applyBorder="1" applyAlignment="1">
      <alignment horizontal="center" vertical="center" wrapText="1"/>
    </xf>
  </cellXfs>
  <cellStyles count="2">
    <cellStyle name="Hyperlink" xfId="1" builtinId="8"/>
    <cellStyle name="Normal" xfId="0" builtinId="0"/>
  </cellStyles>
  <dxfs count="34">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rgb="FFFFFF00"/>
          <bgColor rgb="FF00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top style="thin">
          <color indexed="64"/>
        </top>
        <bottom style="thin">
          <color indexed="64"/>
        </bottom>
        <vertical/>
        <horizontal/>
      </border>
    </dxf>
    <dxf>
      <border diagonalUp="0" diagonalDown="0">
        <left style="thin">
          <color indexed="64"/>
        </left>
        <right/>
        <top style="thin">
          <color indexed="64"/>
        </top>
        <bottom style="thin">
          <color indexed="64"/>
        </bottom>
        <vertical/>
        <horizontal/>
      </border>
    </dxf>
    <dxf>
      <border diagonalUp="0" diagonalDown="0">
        <left style="thin">
          <color indexed="64"/>
        </left>
        <right/>
        <top style="thin">
          <color indexed="64"/>
        </top>
        <bottom style="thin">
          <color indexed="64"/>
        </bottom>
        <vertical/>
        <horizontal/>
      </border>
    </dxf>
    <dxf>
      <border diagonalUp="0" diagonalDown="0">
        <left style="thin">
          <color indexed="64"/>
        </left>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numFmt numFmtId="0" formatCode="General"/>
      <border diagonalUp="0" diagonalDown="0">
        <left style="thin">
          <color indexed="64"/>
        </left>
        <right style="thin">
          <color indexed="64"/>
        </right>
        <top style="thin">
          <color indexed="64"/>
        </top>
        <bottom style="thin">
          <color indexed="64"/>
        </bottom>
        <vertical/>
        <horizontal/>
      </border>
    </dxf>
    <dxf>
      <numFmt numFmtId="0" formatCode="General"/>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right style="thin">
          <color indexed="64"/>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fill>
        <patternFill patternType="solid">
          <fgColor indexed="64"/>
          <bgColor theme="1"/>
        </patternFill>
      </fill>
      <border diagonalUp="0" diagonalDown="0" outline="0">
        <left style="thin">
          <color indexed="64"/>
        </left>
        <right style="thin">
          <color indexed="64"/>
        </right>
        <top/>
        <bottom/>
      </border>
    </dxf>
  </dxfs>
  <tableStyles count="0" defaultTableStyle="TableStyleMedium2" defaultPivotStyle="PivotStyleLight16"/>
  <colors>
    <mruColors>
      <color rgb="FF96C800"/>
      <color rgb="FFC8C864"/>
      <color rgb="FFFAC864"/>
      <color rgb="FF990000"/>
      <color rgb="FFB30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pivotCacheDefinition" Target="pivotCache/pivotCacheDefinition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onnections" Target="connections.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openxmlformats.org/officeDocument/2006/relationships/customXml" Target="../customXml/item1.xml"/></Relationships>
</file>

<file path=xl/drawings/_rels/drawing1.xml.rels><?xml version="1.0" encoding="UTF-8" standalone="yes"?>
<Relationships xmlns="http://schemas.openxmlformats.org/package/2006/relationships"><Relationship Id="rId117" Type="http://schemas.openxmlformats.org/officeDocument/2006/relationships/hyperlink" Target="https://ck2.paradoxwikis.com/File:Nestorian_Heresy.png" TargetMode="External"/><Relationship Id="rId21" Type="http://schemas.openxmlformats.org/officeDocument/2006/relationships/hyperlink" Target="https://ck2.paradoxwikis.com/File:D_sunni.png" TargetMode="External"/><Relationship Id="rId42" Type="http://schemas.openxmlformats.org/officeDocument/2006/relationships/image" Target="../media/image21.png"/><Relationship Id="rId63" Type="http://schemas.openxmlformats.org/officeDocument/2006/relationships/hyperlink" Target="https://ck2.paradoxwikis.com/File:D_tengri_pagan_reformed.png" TargetMode="External"/><Relationship Id="rId84" Type="http://schemas.openxmlformats.org/officeDocument/2006/relationships/image" Target="../media/image42.png"/><Relationship Id="rId138" Type="http://schemas.openxmlformats.org/officeDocument/2006/relationships/image" Target="../media/image69.png"/><Relationship Id="rId159" Type="http://schemas.openxmlformats.org/officeDocument/2006/relationships/hyperlink" Target="https://ck2.paradoxwikis.com/File:Reformed_Aztec_Heresy.png" TargetMode="External"/><Relationship Id="rId107" Type="http://schemas.openxmlformats.org/officeDocument/2006/relationships/hyperlink" Target="https://ck2.paradoxwikis.com/File:Pagan.png" TargetMode="External"/><Relationship Id="rId11" Type="http://schemas.openxmlformats.org/officeDocument/2006/relationships/hyperlink" Target="https://ck2.paradoxwikis.com/File:Miaphysite.png" TargetMode="External"/><Relationship Id="rId32" Type="http://schemas.openxmlformats.org/officeDocument/2006/relationships/image" Target="../media/image16.png"/><Relationship Id="rId53" Type="http://schemas.openxmlformats.org/officeDocument/2006/relationships/hyperlink" Target="https://ck2.paradoxwikis.com/File:Slavic.png" TargetMode="External"/><Relationship Id="rId74" Type="http://schemas.openxmlformats.org/officeDocument/2006/relationships/image" Target="../media/image37.png"/><Relationship Id="rId128" Type="http://schemas.openxmlformats.org/officeDocument/2006/relationships/image" Target="../media/image64.png"/><Relationship Id="rId149" Type="http://schemas.openxmlformats.org/officeDocument/2006/relationships/hyperlink" Target="https://ck2.paradoxwikis.com/File:Reformed_Slavic_Heresy.png" TargetMode="External"/><Relationship Id="rId5" Type="http://schemas.openxmlformats.org/officeDocument/2006/relationships/hyperlink" Target="https://ck2.paradoxwikis.com/File:K_papal_state.png" TargetMode="External"/><Relationship Id="rId95" Type="http://schemas.openxmlformats.org/officeDocument/2006/relationships/hyperlink" Target="https://ck2.paradoxwikis.com/File:B%C3%B6n.png" TargetMode="External"/><Relationship Id="rId160" Type="http://schemas.openxmlformats.org/officeDocument/2006/relationships/image" Target="../media/image80.png"/><Relationship Id="rId22" Type="http://schemas.openxmlformats.org/officeDocument/2006/relationships/image" Target="../media/image11.png"/><Relationship Id="rId43" Type="http://schemas.openxmlformats.org/officeDocument/2006/relationships/hyperlink" Target="https://ck2.paradoxwikis.com/File:Jain.png" TargetMode="External"/><Relationship Id="rId64" Type="http://schemas.openxmlformats.org/officeDocument/2006/relationships/image" Target="../media/image32.png"/><Relationship Id="rId118" Type="http://schemas.openxmlformats.org/officeDocument/2006/relationships/image" Target="../media/image59.png"/><Relationship Id="rId139" Type="http://schemas.openxmlformats.org/officeDocument/2006/relationships/hyperlink" Target="https://ck2.paradoxwikis.com/File:D_hurufi.png" TargetMode="External"/><Relationship Id="rId85" Type="http://schemas.openxmlformats.org/officeDocument/2006/relationships/hyperlink" Target="https://ck2.paradoxwikis.com/File:Reformed_Aztec.png" TargetMode="External"/><Relationship Id="rId150" Type="http://schemas.openxmlformats.org/officeDocument/2006/relationships/image" Target="../media/image75.png"/><Relationship Id="rId12" Type="http://schemas.openxmlformats.org/officeDocument/2006/relationships/image" Target="../media/image6.png"/><Relationship Id="rId17" Type="http://schemas.openxmlformats.org/officeDocument/2006/relationships/hyperlink" Target="https://ck2.paradoxwikis.com/File:D_nestorian.png" TargetMode="External"/><Relationship Id="rId33" Type="http://schemas.openxmlformats.org/officeDocument/2006/relationships/hyperlink" Target="https://ck2.paradoxwikis.com/File:D_jewish.png" TargetMode="External"/><Relationship Id="rId38" Type="http://schemas.openxmlformats.org/officeDocument/2006/relationships/image" Target="../media/image19.png"/><Relationship Id="rId59" Type="http://schemas.openxmlformats.org/officeDocument/2006/relationships/hyperlink" Target="https://ck2.paradoxwikis.com/File:Tengri.png" TargetMode="External"/><Relationship Id="rId103" Type="http://schemas.openxmlformats.org/officeDocument/2006/relationships/hyperlink" Target="https://ck2.paradoxwikis.com/File:Reformed_Hellenic.png" TargetMode="External"/><Relationship Id="rId108" Type="http://schemas.openxmlformats.org/officeDocument/2006/relationships/image" Target="../media/image54.png"/><Relationship Id="rId124" Type="http://schemas.openxmlformats.org/officeDocument/2006/relationships/image" Target="../media/image62.png"/><Relationship Id="rId129" Type="http://schemas.openxmlformats.org/officeDocument/2006/relationships/hyperlink" Target="https://ck2.paradoxwikis.com/File:D_yazidi.png" TargetMode="External"/><Relationship Id="rId54" Type="http://schemas.openxmlformats.org/officeDocument/2006/relationships/image" Target="../media/image27.png"/><Relationship Id="rId70" Type="http://schemas.openxmlformats.org/officeDocument/2006/relationships/image" Target="../media/image35.png"/><Relationship Id="rId75" Type="http://schemas.openxmlformats.org/officeDocument/2006/relationships/hyperlink" Target="https://ck2.paradoxwikis.com/File:D_finnish_pagan_reformed.png" TargetMode="External"/><Relationship Id="rId91" Type="http://schemas.openxmlformats.org/officeDocument/2006/relationships/hyperlink" Target="https://ck2.paradoxwikis.com/File:Reformed_Zunist.png" TargetMode="External"/><Relationship Id="rId96" Type="http://schemas.openxmlformats.org/officeDocument/2006/relationships/image" Target="../media/image48.png"/><Relationship Id="rId140" Type="http://schemas.openxmlformats.org/officeDocument/2006/relationships/image" Target="../media/image70.png"/><Relationship Id="rId145" Type="http://schemas.openxmlformats.org/officeDocument/2006/relationships/hyperlink" Target="https://ck2.paradoxwikis.com/File:Judaism_Heresy.png" TargetMode="External"/><Relationship Id="rId161" Type="http://schemas.openxmlformats.org/officeDocument/2006/relationships/hyperlink" Target="https://ck2.paradoxwikis.com/File:Reformed_Zunist_Heresy.png" TargetMode="External"/><Relationship Id="rId166" Type="http://schemas.openxmlformats.org/officeDocument/2006/relationships/image" Target="../media/image83.png"/><Relationship Id="rId1" Type="http://schemas.openxmlformats.org/officeDocument/2006/relationships/hyperlink" Target="https://ck2.paradoxwikis.com/File:Religion_modifier.png" TargetMode="External"/><Relationship Id="rId6" Type="http://schemas.openxmlformats.org/officeDocument/2006/relationships/image" Target="../media/image3.png"/><Relationship Id="rId23" Type="http://schemas.openxmlformats.org/officeDocument/2006/relationships/hyperlink" Target="https://ck2.paradoxwikis.com/File:Shia.png" TargetMode="External"/><Relationship Id="rId28" Type="http://schemas.openxmlformats.org/officeDocument/2006/relationships/image" Target="../media/image14.png"/><Relationship Id="rId49" Type="http://schemas.openxmlformats.org/officeDocument/2006/relationships/hyperlink" Target="https://ck2.paradoxwikis.com/File:Reformed_Norse.png" TargetMode="External"/><Relationship Id="rId114" Type="http://schemas.openxmlformats.org/officeDocument/2006/relationships/image" Target="../media/image57.png"/><Relationship Id="rId119" Type="http://schemas.openxmlformats.org/officeDocument/2006/relationships/hyperlink" Target="https://ck2.paradoxwikis.com/File:Orthodox_Heresy.png" TargetMode="External"/><Relationship Id="rId44" Type="http://schemas.openxmlformats.org/officeDocument/2006/relationships/image" Target="../media/image22.png"/><Relationship Id="rId60" Type="http://schemas.openxmlformats.org/officeDocument/2006/relationships/image" Target="../media/image30.png"/><Relationship Id="rId65" Type="http://schemas.openxmlformats.org/officeDocument/2006/relationships/hyperlink" Target="https://ck2.paradoxwikis.com/File:Romuva.png" TargetMode="External"/><Relationship Id="rId81" Type="http://schemas.openxmlformats.org/officeDocument/2006/relationships/hyperlink" Target="https://ck2.paradoxwikis.com/File:D_west_african_pagan_reformed.png" TargetMode="External"/><Relationship Id="rId86" Type="http://schemas.openxmlformats.org/officeDocument/2006/relationships/image" Target="../media/image43.png"/><Relationship Id="rId130" Type="http://schemas.openxmlformats.org/officeDocument/2006/relationships/image" Target="../media/image65.png"/><Relationship Id="rId135" Type="http://schemas.openxmlformats.org/officeDocument/2006/relationships/hyperlink" Target="https://ck2.paradoxwikis.com/File:Shia_Heresy.png" TargetMode="External"/><Relationship Id="rId151" Type="http://schemas.openxmlformats.org/officeDocument/2006/relationships/hyperlink" Target="https://ck2.paradoxwikis.com/File:Reformed_Tengri_Heresy.png" TargetMode="External"/><Relationship Id="rId156" Type="http://schemas.openxmlformats.org/officeDocument/2006/relationships/image" Target="../media/image78.png"/><Relationship Id="rId13" Type="http://schemas.openxmlformats.org/officeDocument/2006/relationships/hyperlink" Target="https://ck2.paradoxwikis.com/File:D_miaphysite.png" TargetMode="External"/><Relationship Id="rId18" Type="http://schemas.openxmlformats.org/officeDocument/2006/relationships/image" Target="../media/image9.png"/><Relationship Id="rId39" Type="http://schemas.openxmlformats.org/officeDocument/2006/relationships/hyperlink" Target="https://ck2.paradoxwikis.com/File:Hindu.png" TargetMode="External"/><Relationship Id="rId109" Type="http://schemas.openxmlformats.org/officeDocument/2006/relationships/hyperlink" Target="https://ck2.paradoxwikis.com/File:Catholic_Heresy.png" TargetMode="External"/><Relationship Id="rId34" Type="http://schemas.openxmlformats.org/officeDocument/2006/relationships/image" Target="../media/image17.png"/><Relationship Id="rId50" Type="http://schemas.openxmlformats.org/officeDocument/2006/relationships/image" Target="../media/image25.png"/><Relationship Id="rId55" Type="http://schemas.openxmlformats.org/officeDocument/2006/relationships/hyperlink" Target="https://ck2.paradoxwikis.com/File:Reformed_Slavic.png" TargetMode="External"/><Relationship Id="rId76" Type="http://schemas.openxmlformats.org/officeDocument/2006/relationships/image" Target="../media/image38.png"/><Relationship Id="rId97" Type="http://schemas.openxmlformats.org/officeDocument/2006/relationships/hyperlink" Target="https://ck2.paradoxwikis.com/File:Reformed_B%C3%B6n.png" TargetMode="External"/><Relationship Id="rId104" Type="http://schemas.openxmlformats.org/officeDocument/2006/relationships/image" Target="../media/image52.png"/><Relationship Id="rId120" Type="http://schemas.openxmlformats.org/officeDocument/2006/relationships/image" Target="../media/image60.png"/><Relationship Id="rId125" Type="http://schemas.openxmlformats.org/officeDocument/2006/relationships/hyperlink" Target="https://ck2.paradoxwikis.com/File:D_paulician.png" TargetMode="External"/><Relationship Id="rId141" Type="http://schemas.openxmlformats.org/officeDocument/2006/relationships/hyperlink" Target="https://ck2.paradoxwikis.com/File:Zoroastrian_Heresy.png" TargetMode="External"/><Relationship Id="rId146" Type="http://schemas.openxmlformats.org/officeDocument/2006/relationships/image" Target="../media/image73.png"/><Relationship Id="rId7" Type="http://schemas.openxmlformats.org/officeDocument/2006/relationships/hyperlink" Target="https://ck2.paradoxwikis.com/File:Orthodox.png" TargetMode="External"/><Relationship Id="rId71" Type="http://schemas.openxmlformats.org/officeDocument/2006/relationships/hyperlink" Target="https://ck2.paradoxwikis.com/File:Suomenusko.png" TargetMode="External"/><Relationship Id="rId92" Type="http://schemas.openxmlformats.org/officeDocument/2006/relationships/image" Target="../media/image46.png"/><Relationship Id="rId162" Type="http://schemas.openxmlformats.org/officeDocument/2006/relationships/image" Target="../media/image81.png"/><Relationship Id="rId2" Type="http://schemas.openxmlformats.org/officeDocument/2006/relationships/image" Target="../media/image1.png"/><Relationship Id="rId29" Type="http://schemas.openxmlformats.org/officeDocument/2006/relationships/hyperlink" Target="https://ck2.paradoxwikis.com/File:D_ibadi.png" TargetMode="External"/><Relationship Id="rId24" Type="http://schemas.openxmlformats.org/officeDocument/2006/relationships/image" Target="../media/image12.png"/><Relationship Id="rId40" Type="http://schemas.openxmlformats.org/officeDocument/2006/relationships/image" Target="../media/image20.png"/><Relationship Id="rId45" Type="http://schemas.openxmlformats.org/officeDocument/2006/relationships/hyperlink" Target="https://ck2.paradoxwikis.com/File:Taoist.png" TargetMode="External"/><Relationship Id="rId66" Type="http://schemas.openxmlformats.org/officeDocument/2006/relationships/image" Target="../media/image33.png"/><Relationship Id="rId87" Type="http://schemas.openxmlformats.org/officeDocument/2006/relationships/hyperlink" Target="https://ck2.paradoxwikis.com/File:D_aztec_reformed.png" TargetMode="External"/><Relationship Id="rId110" Type="http://schemas.openxmlformats.org/officeDocument/2006/relationships/image" Target="../media/image55.png"/><Relationship Id="rId115" Type="http://schemas.openxmlformats.org/officeDocument/2006/relationships/hyperlink" Target="https://ck2.paradoxwikis.com/File:D_monophysite.png" TargetMode="External"/><Relationship Id="rId131" Type="http://schemas.openxmlformats.org/officeDocument/2006/relationships/hyperlink" Target="https://ck2.paradoxwikis.com/File:Ibadi_Heresy.png" TargetMode="External"/><Relationship Id="rId136" Type="http://schemas.openxmlformats.org/officeDocument/2006/relationships/image" Target="../media/image68.png"/><Relationship Id="rId157" Type="http://schemas.openxmlformats.org/officeDocument/2006/relationships/hyperlink" Target="https://ck2.paradoxwikis.com/File:Reformed_West_African_Heresy.png" TargetMode="External"/><Relationship Id="rId61" Type="http://schemas.openxmlformats.org/officeDocument/2006/relationships/hyperlink" Target="https://ck2.paradoxwikis.com/File:Reformed_Tengri.png" TargetMode="External"/><Relationship Id="rId82" Type="http://schemas.openxmlformats.org/officeDocument/2006/relationships/image" Target="../media/image41.png"/><Relationship Id="rId152" Type="http://schemas.openxmlformats.org/officeDocument/2006/relationships/image" Target="../media/image76.png"/><Relationship Id="rId19" Type="http://schemas.openxmlformats.org/officeDocument/2006/relationships/hyperlink" Target="https://ck2.paradoxwikis.com/File:Sunni.png" TargetMode="External"/><Relationship Id="rId14" Type="http://schemas.openxmlformats.org/officeDocument/2006/relationships/image" Target="../media/image7.png"/><Relationship Id="rId30" Type="http://schemas.openxmlformats.org/officeDocument/2006/relationships/image" Target="../media/image15.png"/><Relationship Id="rId35" Type="http://schemas.openxmlformats.org/officeDocument/2006/relationships/hyperlink" Target="https://ck2.paradoxwikis.com/File:Zoroastrian.png" TargetMode="External"/><Relationship Id="rId56" Type="http://schemas.openxmlformats.org/officeDocument/2006/relationships/image" Target="../media/image28.png"/><Relationship Id="rId77" Type="http://schemas.openxmlformats.org/officeDocument/2006/relationships/hyperlink" Target="https://ck2.paradoxwikis.com/File:African.png" TargetMode="External"/><Relationship Id="rId100" Type="http://schemas.openxmlformats.org/officeDocument/2006/relationships/image" Target="../media/image50.png"/><Relationship Id="rId105" Type="http://schemas.openxmlformats.org/officeDocument/2006/relationships/hyperlink" Target="https://ck2.paradoxwikis.com/File:K_hellenic_pagan.png" TargetMode="External"/><Relationship Id="rId126" Type="http://schemas.openxmlformats.org/officeDocument/2006/relationships/image" Target="../media/image63.png"/><Relationship Id="rId147" Type="http://schemas.openxmlformats.org/officeDocument/2006/relationships/hyperlink" Target="https://ck2.paradoxwikis.com/File:Reformed_Norse_Heresy.png" TargetMode="External"/><Relationship Id="rId8" Type="http://schemas.openxmlformats.org/officeDocument/2006/relationships/image" Target="../media/image4.png"/><Relationship Id="rId51" Type="http://schemas.openxmlformats.org/officeDocument/2006/relationships/hyperlink" Target="https://ck2.paradoxwikis.com/File:D_norse_pagan_reformed.png" TargetMode="External"/><Relationship Id="rId72" Type="http://schemas.openxmlformats.org/officeDocument/2006/relationships/image" Target="../media/image36.png"/><Relationship Id="rId93" Type="http://schemas.openxmlformats.org/officeDocument/2006/relationships/hyperlink" Target="https://ck2.paradoxwikis.com/File:D_zun_pagan_reformed.png" TargetMode="External"/><Relationship Id="rId98" Type="http://schemas.openxmlformats.org/officeDocument/2006/relationships/image" Target="../media/image49.png"/><Relationship Id="rId121" Type="http://schemas.openxmlformats.org/officeDocument/2006/relationships/hyperlink" Target="https://ck2.paradoxwikis.com/File:D_monothelite.png" TargetMode="External"/><Relationship Id="rId142" Type="http://schemas.openxmlformats.org/officeDocument/2006/relationships/image" Target="../media/image71.png"/><Relationship Id="rId163" Type="http://schemas.openxmlformats.org/officeDocument/2006/relationships/hyperlink" Target="https://ck2.paradoxwikis.com/File:Reformed_B%C3%B6n_Heresy.png" TargetMode="External"/><Relationship Id="rId3" Type="http://schemas.openxmlformats.org/officeDocument/2006/relationships/hyperlink" Target="https://ck2.paradoxwikis.com/File:Catholic.png" TargetMode="External"/><Relationship Id="rId25" Type="http://schemas.openxmlformats.org/officeDocument/2006/relationships/hyperlink" Target="https://ck2.paradoxwikis.com/File:D_shiite.png" TargetMode="External"/><Relationship Id="rId46" Type="http://schemas.openxmlformats.org/officeDocument/2006/relationships/image" Target="../media/image23.png"/><Relationship Id="rId67" Type="http://schemas.openxmlformats.org/officeDocument/2006/relationships/hyperlink" Target="https://ck2.paradoxwikis.com/File:Reformed_Romuva.png" TargetMode="External"/><Relationship Id="rId116" Type="http://schemas.openxmlformats.org/officeDocument/2006/relationships/image" Target="../media/image58.png"/><Relationship Id="rId137" Type="http://schemas.openxmlformats.org/officeDocument/2006/relationships/hyperlink" Target="https://ck2.paradoxwikis.com/File:D_qarmatian.png" TargetMode="External"/><Relationship Id="rId158" Type="http://schemas.openxmlformats.org/officeDocument/2006/relationships/image" Target="../media/image79.png"/><Relationship Id="rId20" Type="http://schemas.openxmlformats.org/officeDocument/2006/relationships/image" Target="../media/image10.png"/><Relationship Id="rId41" Type="http://schemas.openxmlformats.org/officeDocument/2006/relationships/hyperlink" Target="https://ck2.paradoxwikis.com/File:Buddhist.png" TargetMode="External"/><Relationship Id="rId62" Type="http://schemas.openxmlformats.org/officeDocument/2006/relationships/image" Target="../media/image31.png"/><Relationship Id="rId83" Type="http://schemas.openxmlformats.org/officeDocument/2006/relationships/hyperlink" Target="https://ck2.paradoxwikis.com/File:Aztec.png" TargetMode="External"/><Relationship Id="rId88" Type="http://schemas.openxmlformats.org/officeDocument/2006/relationships/image" Target="../media/image44.png"/><Relationship Id="rId111" Type="http://schemas.openxmlformats.org/officeDocument/2006/relationships/hyperlink" Target="https://ck2.paradoxwikis.com/File:D_fraticelli.png" TargetMode="External"/><Relationship Id="rId132" Type="http://schemas.openxmlformats.org/officeDocument/2006/relationships/image" Target="../media/image66.png"/><Relationship Id="rId153" Type="http://schemas.openxmlformats.org/officeDocument/2006/relationships/hyperlink" Target="https://ck2.paradoxwikis.com/File:Reformed_Romuva_Heresy.png" TargetMode="External"/><Relationship Id="rId15" Type="http://schemas.openxmlformats.org/officeDocument/2006/relationships/hyperlink" Target="https://ck2.paradoxwikis.com/File:Nestorian.png" TargetMode="External"/><Relationship Id="rId36" Type="http://schemas.openxmlformats.org/officeDocument/2006/relationships/image" Target="../media/image18.png"/><Relationship Id="rId57" Type="http://schemas.openxmlformats.org/officeDocument/2006/relationships/hyperlink" Target="https://ck2.paradoxwikis.com/File:D_slavic_pagan_reformed.png" TargetMode="External"/><Relationship Id="rId106" Type="http://schemas.openxmlformats.org/officeDocument/2006/relationships/image" Target="../media/image53.png"/><Relationship Id="rId127" Type="http://schemas.openxmlformats.org/officeDocument/2006/relationships/hyperlink" Target="https://ck2.paradoxwikis.com/File:Sunni_Heresy.png" TargetMode="External"/><Relationship Id="rId10" Type="http://schemas.openxmlformats.org/officeDocument/2006/relationships/image" Target="../media/image5.png"/><Relationship Id="rId31" Type="http://schemas.openxmlformats.org/officeDocument/2006/relationships/hyperlink" Target="https://ck2.paradoxwikis.com/File:Judaism.png" TargetMode="External"/><Relationship Id="rId52" Type="http://schemas.openxmlformats.org/officeDocument/2006/relationships/image" Target="../media/image26.png"/><Relationship Id="rId73" Type="http://schemas.openxmlformats.org/officeDocument/2006/relationships/hyperlink" Target="https://ck2.paradoxwikis.com/File:Reformed_Suomenusko.png" TargetMode="External"/><Relationship Id="rId78" Type="http://schemas.openxmlformats.org/officeDocument/2006/relationships/image" Target="../media/image39.png"/><Relationship Id="rId94" Type="http://schemas.openxmlformats.org/officeDocument/2006/relationships/image" Target="../media/image47.png"/><Relationship Id="rId99" Type="http://schemas.openxmlformats.org/officeDocument/2006/relationships/hyperlink" Target="https://ck2.paradoxwikis.com/File:D_bon_reformed.png" TargetMode="External"/><Relationship Id="rId101" Type="http://schemas.openxmlformats.org/officeDocument/2006/relationships/hyperlink" Target="https://ck2.paradoxwikis.com/File:Hellenic.png" TargetMode="External"/><Relationship Id="rId122" Type="http://schemas.openxmlformats.org/officeDocument/2006/relationships/image" Target="../media/image61.png"/><Relationship Id="rId143" Type="http://schemas.openxmlformats.org/officeDocument/2006/relationships/hyperlink" Target="https://ck2.paradoxwikis.com/File:D_army_light.png" TargetMode="External"/><Relationship Id="rId148" Type="http://schemas.openxmlformats.org/officeDocument/2006/relationships/image" Target="../media/image74.png"/><Relationship Id="rId164" Type="http://schemas.openxmlformats.org/officeDocument/2006/relationships/image" Target="../media/image82.png"/><Relationship Id="rId4" Type="http://schemas.openxmlformats.org/officeDocument/2006/relationships/image" Target="../media/image2.png"/><Relationship Id="rId9" Type="http://schemas.openxmlformats.org/officeDocument/2006/relationships/hyperlink" Target="https://ck2.paradoxwikis.com/File:K_orthodox.png" TargetMode="External"/><Relationship Id="rId26" Type="http://schemas.openxmlformats.org/officeDocument/2006/relationships/image" Target="../media/image13.png"/><Relationship Id="rId47" Type="http://schemas.openxmlformats.org/officeDocument/2006/relationships/hyperlink" Target="https://ck2.paradoxwikis.com/File:Norse.png" TargetMode="External"/><Relationship Id="rId68" Type="http://schemas.openxmlformats.org/officeDocument/2006/relationships/image" Target="../media/image34.png"/><Relationship Id="rId89" Type="http://schemas.openxmlformats.org/officeDocument/2006/relationships/hyperlink" Target="https://ck2.paradoxwikis.com/File:Zunist.png" TargetMode="External"/><Relationship Id="rId112" Type="http://schemas.openxmlformats.org/officeDocument/2006/relationships/image" Target="../media/image56.png"/><Relationship Id="rId133" Type="http://schemas.openxmlformats.org/officeDocument/2006/relationships/hyperlink" Target="https://ck2.paradoxwikis.com/File:D_kharijite.png" TargetMode="External"/><Relationship Id="rId154" Type="http://schemas.openxmlformats.org/officeDocument/2006/relationships/image" Target="../media/image77.png"/><Relationship Id="rId16" Type="http://schemas.openxmlformats.org/officeDocument/2006/relationships/image" Target="../media/image8.png"/><Relationship Id="rId37" Type="http://schemas.openxmlformats.org/officeDocument/2006/relationships/hyperlink" Target="https://ck2.paradoxwikis.com/File:D_zoroastrian.png" TargetMode="External"/><Relationship Id="rId58" Type="http://schemas.openxmlformats.org/officeDocument/2006/relationships/image" Target="../media/image29.png"/><Relationship Id="rId79" Type="http://schemas.openxmlformats.org/officeDocument/2006/relationships/hyperlink" Target="https://ck2.paradoxwikis.com/File:Reformed_West_African.png" TargetMode="External"/><Relationship Id="rId102" Type="http://schemas.openxmlformats.org/officeDocument/2006/relationships/image" Target="../media/image51.png"/><Relationship Id="rId123" Type="http://schemas.openxmlformats.org/officeDocument/2006/relationships/hyperlink" Target="https://ck2.paradoxwikis.com/File:D_iconoclast.png" TargetMode="External"/><Relationship Id="rId144" Type="http://schemas.openxmlformats.org/officeDocument/2006/relationships/image" Target="../media/image72.png"/><Relationship Id="rId90" Type="http://schemas.openxmlformats.org/officeDocument/2006/relationships/image" Target="../media/image45.png"/><Relationship Id="rId165" Type="http://schemas.openxmlformats.org/officeDocument/2006/relationships/hyperlink" Target="https://ck2.paradoxwikis.com/File:Reformed_Hellenic_Heresy.png" TargetMode="External"/><Relationship Id="rId27" Type="http://schemas.openxmlformats.org/officeDocument/2006/relationships/hyperlink" Target="https://ck2.paradoxwikis.com/File:Ibadi.png" TargetMode="External"/><Relationship Id="rId48" Type="http://schemas.openxmlformats.org/officeDocument/2006/relationships/image" Target="../media/image24.png"/><Relationship Id="rId69" Type="http://schemas.openxmlformats.org/officeDocument/2006/relationships/hyperlink" Target="https://ck2.paradoxwikis.com/File:D_baltic_pagan_reformed.png" TargetMode="External"/><Relationship Id="rId113" Type="http://schemas.openxmlformats.org/officeDocument/2006/relationships/hyperlink" Target="https://ck2.paradoxwikis.com/File:Miaphysite_Heresy.png" TargetMode="External"/><Relationship Id="rId134" Type="http://schemas.openxmlformats.org/officeDocument/2006/relationships/image" Target="../media/image67.png"/><Relationship Id="rId80" Type="http://schemas.openxmlformats.org/officeDocument/2006/relationships/image" Target="../media/image40.png"/><Relationship Id="rId155" Type="http://schemas.openxmlformats.org/officeDocument/2006/relationships/hyperlink" Target="https://ck2.paradoxwikis.com/File:Reformed_Suomenusko_Heresy.png" TargetMode="External"/></Relationships>
</file>

<file path=xl/drawings/_rels/drawing2.xml.rels><?xml version="1.0" encoding="UTF-8" standalone="yes"?>
<Relationships xmlns="http://schemas.openxmlformats.org/package/2006/relationships"><Relationship Id="rId3" Type="http://schemas.openxmlformats.org/officeDocument/2006/relationships/image" Target="../media/image85.png"/><Relationship Id="rId2" Type="http://schemas.openxmlformats.org/officeDocument/2006/relationships/image" Target="../media/image84.png"/><Relationship Id="rId1" Type="http://schemas.openxmlformats.org/officeDocument/2006/relationships/hyperlink" Target="https://ck2.paradoxwikis.com/Horse_Lords" TargetMode="External"/></Relationships>
</file>

<file path=xl/drawings/drawing1.xml><?xml version="1.0" encoding="utf-8"?>
<xdr:wsDr xmlns:xdr="http://schemas.openxmlformats.org/drawingml/2006/spreadsheetDrawing" xmlns:a="http://schemas.openxmlformats.org/drawingml/2006/main">
  <xdr:oneCellAnchor>
    <xdr:from>
      <xdr:col>13</xdr:col>
      <xdr:colOff>0</xdr:colOff>
      <xdr:row>0</xdr:row>
      <xdr:rowOff>0</xdr:rowOff>
    </xdr:from>
    <xdr:ext cx="190500" cy="190500"/>
    <xdr:pic>
      <xdr:nvPicPr>
        <xdr:cNvPr id="2" name="Picture 1">
          <a:hlinkClick xmlns:r="http://schemas.openxmlformats.org/officeDocument/2006/relationships" r:id="rId1"/>
          <a:extLst>
            <a:ext uri="{FF2B5EF4-FFF2-40B4-BE49-F238E27FC236}">
              <a16:creationId xmlns:a16="http://schemas.microsoft.com/office/drawing/2014/main" id="{FDF42C29-D76D-4F1F-9D77-0CC072BF92DF}"/>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657600" y="0"/>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0</xdr:col>
      <xdr:colOff>0</xdr:colOff>
      <xdr:row>1</xdr:row>
      <xdr:rowOff>53340</xdr:rowOff>
    </xdr:from>
    <xdr:ext cx="304800" cy="314325"/>
    <xdr:pic>
      <xdr:nvPicPr>
        <xdr:cNvPr id="3" name="Picture 2">
          <a:hlinkClick xmlns:r="http://schemas.openxmlformats.org/officeDocument/2006/relationships" r:id="rId3"/>
          <a:extLst>
            <a:ext uri="{FF2B5EF4-FFF2-40B4-BE49-F238E27FC236}">
              <a16:creationId xmlns:a16="http://schemas.microsoft.com/office/drawing/2014/main" id="{850EAE2E-B06E-44EC-AF9A-D7D4A9253F75}"/>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0" y="238125"/>
          <a:ext cx="304800" cy="3143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10</xdr:col>
      <xdr:colOff>0</xdr:colOff>
      <xdr:row>1</xdr:row>
      <xdr:rowOff>53340</xdr:rowOff>
    </xdr:from>
    <xdr:ext cx="342900" cy="339090"/>
    <xdr:pic>
      <xdr:nvPicPr>
        <xdr:cNvPr id="4" name="Picture 3">
          <a:hlinkClick xmlns:r="http://schemas.openxmlformats.org/officeDocument/2006/relationships" r:id="rId5"/>
          <a:extLst>
            <a:ext uri="{FF2B5EF4-FFF2-40B4-BE49-F238E27FC236}">
              <a16:creationId xmlns:a16="http://schemas.microsoft.com/office/drawing/2014/main" id="{98694B5E-7437-42AE-AF36-B4BB515F03C1}"/>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828800" y="238125"/>
          <a:ext cx="342900" cy="33909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0</xdr:col>
      <xdr:colOff>0</xdr:colOff>
      <xdr:row>8</xdr:row>
      <xdr:rowOff>15240</xdr:rowOff>
    </xdr:from>
    <xdr:ext cx="304800" cy="297180"/>
    <xdr:pic>
      <xdr:nvPicPr>
        <xdr:cNvPr id="5" name="Picture 4">
          <a:hlinkClick xmlns:r="http://schemas.openxmlformats.org/officeDocument/2006/relationships" r:id="rId7"/>
          <a:extLst>
            <a:ext uri="{FF2B5EF4-FFF2-40B4-BE49-F238E27FC236}">
              <a16:creationId xmlns:a16="http://schemas.microsoft.com/office/drawing/2014/main" id="{577E653E-1DEF-4FB6-B6E2-6E1509814353}"/>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0" y="1466850"/>
          <a:ext cx="304800" cy="29718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10</xdr:col>
      <xdr:colOff>0</xdr:colOff>
      <xdr:row>8</xdr:row>
      <xdr:rowOff>15240</xdr:rowOff>
    </xdr:from>
    <xdr:ext cx="342900" cy="335280"/>
    <xdr:pic>
      <xdr:nvPicPr>
        <xdr:cNvPr id="6" name="Picture 5">
          <a:hlinkClick xmlns:r="http://schemas.openxmlformats.org/officeDocument/2006/relationships" r:id="rId9"/>
          <a:extLst>
            <a:ext uri="{FF2B5EF4-FFF2-40B4-BE49-F238E27FC236}">
              <a16:creationId xmlns:a16="http://schemas.microsoft.com/office/drawing/2014/main" id="{FDD53D8B-73F2-45F0-A7C0-C1313A2A33D2}"/>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1828800" y="1466850"/>
          <a:ext cx="342900" cy="33528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0</xdr:col>
      <xdr:colOff>0</xdr:colOff>
      <xdr:row>15</xdr:row>
      <xdr:rowOff>121920</xdr:rowOff>
    </xdr:from>
    <xdr:ext cx="304800" cy="302895"/>
    <xdr:pic>
      <xdr:nvPicPr>
        <xdr:cNvPr id="7" name="Picture 6">
          <a:hlinkClick xmlns:r="http://schemas.openxmlformats.org/officeDocument/2006/relationships" r:id="rId11"/>
          <a:extLst>
            <a:ext uri="{FF2B5EF4-FFF2-40B4-BE49-F238E27FC236}">
              <a16:creationId xmlns:a16="http://schemas.microsoft.com/office/drawing/2014/main" id="{B7D559BE-D56D-4383-BC66-F641E104188B}"/>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0" y="2838450"/>
          <a:ext cx="304800" cy="30289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10</xdr:col>
      <xdr:colOff>0</xdr:colOff>
      <xdr:row>15</xdr:row>
      <xdr:rowOff>121920</xdr:rowOff>
    </xdr:from>
    <xdr:ext cx="342900" cy="340995"/>
    <xdr:pic>
      <xdr:nvPicPr>
        <xdr:cNvPr id="8" name="Picture 7">
          <a:hlinkClick xmlns:r="http://schemas.openxmlformats.org/officeDocument/2006/relationships" r:id="rId13"/>
          <a:extLst>
            <a:ext uri="{FF2B5EF4-FFF2-40B4-BE49-F238E27FC236}">
              <a16:creationId xmlns:a16="http://schemas.microsoft.com/office/drawing/2014/main" id="{2805A219-52AD-43A8-875E-7BB883ED2D74}"/>
            </a:ext>
          </a:extLst>
        </xdr:cNvPr>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1828800" y="2838450"/>
          <a:ext cx="342900" cy="34099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0</xdr:col>
      <xdr:colOff>0</xdr:colOff>
      <xdr:row>21</xdr:row>
      <xdr:rowOff>541020</xdr:rowOff>
    </xdr:from>
    <xdr:ext cx="304800" cy="314325"/>
    <xdr:pic>
      <xdr:nvPicPr>
        <xdr:cNvPr id="9" name="Picture 8">
          <a:hlinkClick xmlns:r="http://schemas.openxmlformats.org/officeDocument/2006/relationships" r:id="rId15"/>
          <a:extLst>
            <a:ext uri="{FF2B5EF4-FFF2-40B4-BE49-F238E27FC236}">
              <a16:creationId xmlns:a16="http://schemas.microsoft.com/office/drawing/2014/main" id="{E19CDC5C-5A99-421C-868A-53FFBBA79A82}"/>
            </a:ext>
          </a:extLst>
        </xdr:cNvPr>
        <xdr:cNvPicPr>
          <a:picLocks noChangeAspect="1" noChangeArrowheads="1"/>
        </xdr:cNvPicPr>
      </xdr:nvPicPr>
      <xdr:blipFill>
        <a:blip xmlns:r="http://schemas.openxmlformats.org/officeDocument/2006/relationships" r:embed="rId16">
          <a:extLst>
            <a:ext uri="{28A0092B-C50C-407E-A947-70E740481C1C}">
              <a14:useLocalDpi xmlns:a14="http://schemas.microsoft.com/office/drawing/2010/main" val="0"/>
            </a:ext>
          </a:extLst>
        </a:blip>
        <a:srcRect/>
        <a:stretch>
          <a:fillRect/>
        </a:stretch>
      </xdr:blipFill>
      <xdr:spPr bwMode="auto">
        <a:xfrm>
          <a:off x="0" y="3981450"/>
          <a:ext cx="304800" cy="3143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10</xdr:col>
      <xdr:colOff>0</xdr:colOff>
      <xdr:row>21</xdr:row>
      <xdr:rowOff>541020</xdr:rowOff>
    </xdr:from>
    <xdr:ext cx="342900" cy="352425"/>
    <xdr:pic>
      <xdr:nvPicPr>
        <xdr:cNvPr id="10" name="Picture 9">
          <a:hlinkClick xmlns:r="http://schemas.openxmlformats.org/officeDocument/2006/relationships" r:id="rId17"/>
          <a:extLst>
            <a:ext uri="{FF2B5EF4-FFF2-40B4-BE49-F238E27FC236}">
              <a16:creationId xmlns:a16="http://schemas.microsoft.com/office/drawing/2014/main" id="{4E191EB3-A389-4D36-997C-A4AC2E674C76}"/>
            </a:ext>
          </a:extLst>
        </xdr:cNvPr>
        <xdr:cNvPicPr>
          <a:picLocks noChangeAspect="1" noChangeArrowheads="1"/>
        </xdr:cNvPicPr>
      </xdr:nvPicPr>
      <xdr:blipFill>
        <a:blip xmlns:r="http://schemas.openxmlformats.org/officeDocument/2006/relationships" r:embed="rId18">
          <a:extLst>
            <a:ext uri="{28A0092B-C50C-407E-A947-70E740481C1C}">
              <a14:useLocalDpi xmlns:a14="http://schemas.microsoft.com/office/drawing/2010/main" val="0"/>
            </a:ext>
          </a:extLst>
        </a:blip>
        <a:srcRect/>
        <a:stretch>
          <a:fillRect/>
        </a:stretch>
      </xdr:blipFill>
      <xdr:spPr bwMode="auto">
        <a:xfrm>
          <a:off x="1828800" y="3981450"/>
          <a:ext cx="342900" cy="3524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0</xdr:col>
      <xdr:colOff>0</xdr:colOff>
      <xdr:row>26</xdr:row>
      <xdr:rowOff>441960</xdr:rowOff>
    </xdr:from>
    <xdr:ext cx="304800" cy="300990"/>
    <xdr:pic>
      <xdr:nvPicPr>
        <xdr:cNvPr id="11" name="Picture 10">
          <a:hlinkClick xmlns:r="http://schemas.openxmlformats.org/officeDocument/2006/relationships" r:id="rId19"/>
          <a:extLst>
            <a:ext uri="{FF2B5EF4-FFF2-40B4-BE49-F238E27FC236}">
              <a16:creationId xmlns:a16="http://schemas.microsoft.com/office/drawing/2014/main" id="{A247D15E-3E58-4409-8B90-28C72651F183}"/>
            </a:ext>
          </a:extLst>
        </xdr:cNvPr>
        <xdr:cNvPicPr>
          <a:picLocks noChangeAspect="1" noChangeArrowheads="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0" y="4886325"/>
          <a:ext cx="304800" cy="30099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10</xdr:col>
      <xdr:colOff>0</xdr:colOff>
      <xdr:row>26</xdr:row>
      <xdr:rowOff>441960</xdr:rowOff>
    </xdr:from>
    <xdr:ext cx="342900" cy="339090"/>
    <xdr:pic>
      <xdr:nvPicPr>
        <xdr:cNvPr id="12" name="Picture 11">
          <a:hlinkClick xmlns:r="http://schemas.openxmlformats.org/officeDocument/2006/relationships" r:id="rId21"/>
          <a:extLst>
            <a:ext uri="{FF2B5EF4-FFF2-40B4-BE49-F238E27FC236}">
              <a16:creationId xmlns:a16="http://schemas.microsoft.com/office/drawing/2014/main" id="{1DC73AF7-C632-4BED-A27E-3A66F44012A7}"/>
            </a:ext>
          </a:extLst>
        </xdr:cNvPr>
        <xdr:cNvPicPr>
          <a:picLocks noChangeAspect="1" noChangeArrowheads="1"/>
        </xdr:cNvPicPr>
      </xdr:nvPicPr>
      <xdr:blipFill>
        <a:blip xmlns:r="http://schemas.openxmlformats.org/officeDocument/2006/relationships" r:embed="rId22">
          <a:extLst>
            <a:ext uri="{28A0092B-C50C-407E-A947-70E740481C1C}">
              <a14:useLocalDpi xmlns:a14="http://schemas.microsoft.com/office/drawing/2010/main" val="0"/>
            </a:ext>
          </a:extLst>
        </a:blip>
        <a:srcRect/>
        <a:stretch>
          <a:fillRect/>
        </a:stretch>
      </xdr:blipFill>
      <xdr:spPr bwMode="auto">
        <a:xfrm>
          <a:off x="1828800" y="4886325"/>
          <a:ext cx="342900" cy="33909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0</xdr:col>
      <xdr:colOff>0</xdr:colOff>
      <xdr:row>26</xdr:row>
      <xdr:rowOff>0</xdr:rowOff>
    </xdr:from>
    <xdr:ext cx="304800" cy="304800"/>
    <xdr:pic>
      <xdr:nvPicPr>
        <xdr:cNvPr id="13" name="Picture 12">
          <a:hlinkClick xmlns:r="http://schemas.openxmlformats.org/officeDocument/2006/relationships" r:id="rId23"/>
          <a:extLst>
            <a:ext uri="{FF2B5EF4-FFF2-40B4-BE49-F238E27FC236}">
              <a16:creationId xmlns:a16="http://schemas.microsoft.com/office/drawing/2014/main" id="{74146FAC-23F9-4ADA-A009-F0AE8CB58EC5}"/>
            </a:ext>
          </a:extLst>
        </xdr:cNvPr>
        <xdr:cNvPicPr>
          <a:picLocks noChangeAspect="1" noChangeArrowheads="1"/>
        </xdr:cNvPicPr>
      </xdr:nvPicPr>
      <xdr:blipFill>
        <a:blip xmlns:r="http://schemas.openxmlformats.org/officeDocument/2006/relationships" r:embed="rId24">
          <a:extLst>
            <a:ext uri="{28A0092B-C50C-407E-A947-70E740481C1C}">
              <a14:useLocalDpi xmlns:a14="http://schemas.microsoft.com/office/drawing/2010/main" val="0"/>
            </a:ext>
          </a:extLst>
        </a:blip>
        <a:srcRect/>
        <a:stretch>
          <a:fillRect/>
        </a:stretch>
      </xdr:blipFill>
      <xdr:spPr bwMode="auto">
        <a:xfrm>
          <a:off x="0" y="4705350"/>
          <a:ext cx="304800" cy="3048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10</xdr:col>
      <xdr:colOff>0</xdr:colOff>
      <xdr:row>26</xdr:row>
      <xdr:rowOff>0</xdr:rowOff>
    </xdr:from>
    <xdr:ext cx="342900" cy="342900"/>
    <xdr:pic>
      <xdr:nvPicPr>
        <xdr:cNvPr id="14" name="Picture 13">
          <a:hlinkClick xmlns:r="http://schemas.openxmlformats.org/officeDocument/2006/relationships" r:id="rId25"/>
          <a:extLst>
            <a:ext uri="{FF2B5EF4-FFF2-40B4-BE49-F238E27FC236}">
              <a16:creationId xmlns:a16="http://schemas.microsoft.com/office/drawing/2014/main" id="{6E1C1C00-2E57-409F-A6D5-AED294954A2A}"/>
            </a:ext>
          </a:extLst>
        </xdr:cNvPr>
        <xdr:cNvPicPr>
          <a:picLocks noChangeAspect="1" noChangeArrowheads="1"/>
        </xdr:cNvPicPr>
      </xdr:nvPicPr>
      <xdr:blipFill>
        <a:blip xmlns:r="http://schemas.openxmlformats.org/officeDocument/2006/relationships" r:embed="rId26">
          <a:extLst>
            <a:ext uri="{28A0092B-C50C-407E-A947-70E740481C1C}">
              <a14:useLocalDpi xmlns:a14="http://schemas.microsoft.com/office/drawing/2010/main" val="0"/>
            </a:ext>
          </a:extLst>
        </a:blip>
        <a:srcRect/>
        <a:stretch>
          <a:fillRect/>
        </a:stretch>
      </xdr:blipFill>
      <xdr:spPr bwMode="auto">
        <a:xfrm>
          <a:off x="1828800" y="4705350"/>
          <a:ext cx="342900" cy="342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0</xdr:col>
      <xdr:colOff>0</xdr:colOff>
      <xdr:row>31</xdr:row>
      <xdr:rowOff>0</xdr:rowOff>
    </xdr:from>
    <xdr:ext cx="304800" cy="304800"/>
    <xdr:pic>
      <xdr:nvPicPr>
        <xdr:cNvPr id="15" name="Picture 14">
          <a:hlinkClick xmlns:r="http://schemas.openxmlformats.org/officeDocument/2006/relationships" r:id="rId27"/>
          <a:extLst>
            <a:ext uri="{FF2B5EF4-FFF2-40B4-BE49-F238E27FC236}">
              <a16:creationId xmlns:a16="http://schemas.microsoft.com/office/drawing/2014/main" id="{30E37EEF-D8C3-4846-940A-AC062BA0041D}"/>
            </a:ext>
          </a:extLst>
        </xdr:cNvPr>
        <xdr:cNvPicPr>
          <a:picLocks noChangeAspect="1" noChangeArrowheads="1"/>
        </xdr:cNvPicPr>
      </xdr:nvPicPr>
      <xdr:blipFill>
        <a:blip xmlns:r="http://schemas.openxmlformats.org/officeDocument/2006/relationships" r:embed="rId28">
          <a:extLst>
            <a:ext uri="{28A0092B-C50C-407E-A947-70E740481C1C}">
              <a14:useLocalDpi xmlns:a14="http://schemas.microsoft.com/office/drawing/2010/main" val="0"/>
            </a:ext>
          </a:extLst>
        </a:blip>
        <a:srcRect/>
        <a:stretch>
          <a:fillRect/>
        </a:stretch>
      </xdr:blipFill>
      <xdr:spPr bwMode="auto">
        <a:xfrm>
          <a:off x="0" y="5610225"/>
          <a:ext cx="304800" cy="3048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10</xdr:col>
      <xdr:colOff>0</xdr:colOff>
      <xdr:row>31</xdr:row>
      <xdr:rowOff>0</xdr:rowOff>
    </xdr:from>
    <xdr:ext cx="342900" cy="342900"/>
    <xdr:pic>
      <xdr:nvPicPr>
        <xdr:cNvPr id="16" name="Picture 15">
          <a:hlinkClick xmlns:r="http://schemas.openxmlformats.org/officeDocument/2006/relationships" r:id="rId29"/>
          <a:extLst>
            <a:ext uri="{FF2B5EF4-FFF2-40B4-BE49-F238E27FC236}">
              <a16:creationId xmlns:a16="http://schemas.microsoft.com/office/drawing/2014/main" id="{1B23A753-6E6F-4F76-A164-75E71A0ED030}"/>
            </a:ext>
          </a:extLst>
        </xdr:cNvPr>
        <xdr:cNvPicPr>
          <a:picLocks noChangeAspect="1" noChangeArrowheads="1"/>
        </xdr:cNvPicPr>
      </xdr:nvPicPr>
      <xdr:blipFill>
        <a:blip xmlns:r="http://schemas.openxmlformats.org/officeDocument/2006/relationships" r:embed="rId30">
          <a:extLst>
            <a:ext uri="{28A0092B-C50C-407E-A947-70E740481C1C}">
              <a14:useLocalDpi xmlns:a14="http://schemas.microsoft.com/office/drawing/2010/main" val="0"/>
            </a:ext>
          </a:extLst>
        </a:blip>
        <a:srcRect/>
        <a:stretch>
          <a:fillRect/>
        </a:stretch>
      </xdr:blipFill>
      <xdr:spPr bwMode="auto">
        <a:xfrm>
          <a:off x="1828800" y="5610225"/>
          <a:ext cx="342900" cy="342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0</xdr:col>
      <xdr:colOff>0</xdr:colOff>
      <xdr:row>36</xdr:row>
      <xdr:rowOff>0</xdr:rowOff>
    </xdr:from>
    <xdr:ext cx="304800" cy="304800"/>
    <xdr:pic>
      <xdr:nvPicPr>
        <xdr:cNvPr id="17" name="Picture 16">
          <a:hlinkClick xmlns:r="http://schemas.openxmlformats.org/officeDocument/2006/relationships" r:id="rId31"/>
          <a:extLst>
            <a:ext uri="{FF2B5EF4-FFF2-40B4-BE49-F238E27FC236}">
              <a16:creationId xmlns:a16="http://schemas.microsoft.com/office/drawing/2014/main" id="{E3AC1918-F4AA-4CB1-A93A-72E45AF9B214}"/>
            </a:ext>
          </a:extLst>
        </xdr:cNvPr>
        <xdr:cNvPicPr>
          <a:picLocks noChangeAspect="1" noChangeArrowheads="1"/>
        </xdr:cNvPicPr>
      </xdr:nvPicPr>
      <xdr:blipFill>
        <a:blip xmlns:r="http://schemas.openxmlformats.org/officeDocument/2006/relationships" r:embed="rId32">
          <a:extLst>
            <a:ext uri="{28A0092B-C50C-407E-A947-70E740481C1C}">
              <a14:useLocalDpi xmlns:a14="http://schemas.microsoft.com/office/drawing/2010/main" val="0"/>
            </a:ext>
          </a:extLst>
        </a:blip>
        <a:srcRect/>
        <a:stretch>
          <a:fillRect/>
        </a:stretch>
      </xdr:blipFill>
      <xdr:spPr bwMode="auto">
        <a:xfrm>
          <a:off x="0" y="6515100"/>
          <a:ext cx="304800" cy="3048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10</xdr:col>
      <xdr:colOff>0</xdr:colOff>
      <xdr:row>36</xdr:row>
      <xdr:rowOff>0</xdr:rowOff>
    </xdr:from>
    <xdr:ext cx="342900" cy="342900"/>
    <xdr:pic>
      <xdr:nvPicPr>
        <xdr:cNvPr id="18" name="Picture 17">
          <a:hlinkClick xmlns:r="http://schemas.openxmlformats.org/officeDocument/2006/relationships" r:id="rId33"/>
          <a:extLst>
            <a:ext uri="{FF2B5EF4-FFF2-40B4-BE49-F238E27FC236}">
              <a16:creationId xmlns:a16="http://schemas.microsoft.com/office/drawing/2014/main" id="{A3A7C2A2-824B-4B43-9205-77787217ED2F}"/>
            </a:ext>
          </a:extLst>
        </xdr:cNvPr>
        <xdr:cNvPicPr>
          <a:picLocks noChangeAspect="1" noChangeArrowheads="1"/>
        </xdr:cNvPicPr>
      </xdr:nvPicPr>
      <xdr:blipFill>
        <a:blip xmlns:r="http://schemas.openxmlformats.org/officeDocument/2006/relationships" r:embed="rId34">
          <a:extLst>
            <a:ext uri="{28A0092B-C50C-407E-A947-70E740481C1C}">
              <a14:useLocalDpi xmlns:a14="http://schemas.microsoft.com/office/drawing/2010/main" val="0"/>
            </a:ext>
          </a:extLst>
        </a:blip>
        <a:srcRect/>
        <a:stretch>
          <a:fillRect/>
        </a:stretch>
      </xdr:blipFill>
      <xdr:spPr bwMode="auto">
        <a:xfrm>
          <a:off x="1828800" y="6515100"/>
          <a:ext cx="342900" cy="342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0</xdr:col>
      <xdr:colOff>0</xdr:colOff>
      <xdr:row>41</xdr:row>
      <xdr:rowOff>0</xdr:rowOff>
    </xdr:from>
    <xdr:ext cx="304800" cy="304800"/>
    <xdr:pic>
      <xdr:nvPicPr>
        <xdr:cNvPr id="19" name="Picture 18">
          <a:hlinkClick xmlns:r="http://schemas.openxmlformats.org/officeDocument/2006/relationships" r:id="rId35"/>
          <a:extLst>
            <a:ext uri="{FF2B5EF4-FFF2-40B4-BE49-F238E27FC236}">
              <a16:creationId xmlns:a16="http://schemas.microsoft.com/office/drawing/2014/main" id="{59EA1513-A85E-4833-8415-1FF8187703E8}"/>
            </a:ext>
          </a:extLst>
        </xdr:cNvPr>
        <xdr:cNvPicPr>
          <a:picLocks noChangeAspect="1" noChangeArrowheads="1"/>
        </xdr:cNvPicPr>
      </xdr:nvPicPr>
      <xdr:blipFill>
        <a:blip xmlns:r="http://schemas.openxmlformats.org/officeDocument/2006/relationships" r:embed="rId36">
          <a:extLst>
            <a:ext uri="{28A0092B-C50C-407E-A947-70E740481C1C}">
              <a14:useLocalDpi xmlns:a14="http://schemas.microsoft.com/office/drawing/2010/main" val="0"/>
            </a:ext>
          </a:extLst>
        </a:blip>
        <a:srcRect/>
        <a:stretch>
          <a:fillRect/>
        </a:stretch>
      </xdr:blipFill>
      <xdr:spPr bwMode="auto">
        <a:xfrm>
          <a:off x="0" y="7419975"/>
          <a:ext cx="304800" cy="3048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10</xdr:col>
      <xdr:colOff>0</xdr:colOff>
      <xdr:row>41</xdr:row>
      <xdr:rowOff>0</xdr:rowOff>
    </xdr:from>
    <xdr:ext cx="342900" cy="342900"/>
    <xdr:pic>
      <xdr:nvPicPr>
        <xdr:cNvPr id="20" name="Picture 19">
          <a:hlinkClick xmlns:r="http://schemas.openxmlformats.org/officeDocument/2006/relationships" r:id="rId37"/>
          <a:extLst>
            <a:ext uri="{FF2B5EF4-FFF2-40B4-BE49-F238E27FC236}">
              <a16:creationId xmlns:a16="http://schemas.microsoft.com/office/drawing/2014/main" id="{23B60A50-D2D3-4603-ABEB-38395DCBDE37}"/>
            </a:ext>
          </a:extLst>
        </xdr:cNvPr>
        <xdr:cNvPicPr>
          <a:picLocks noChangeAspect="1" noChangeArrowheads="1"/>
        </xdr:cNvPicPr>
      </xdr:nvPicPr>
      <xdr:blipFill>
        <a:blip xmlns:r="http://schemas.openxmlformats.org/officeDocument/2006/relationships" r:embed="rId38">
          <a:extLst>
            <a:ext uri="{28A0092B-C50C-407E-A947-70E740481C1C}">
              <a14:useLocalDpi xmlns:a14="http://schemas.microsoft.com/office/drawing/2010/main" val="0"/>
            </a:ext>
          </a:extLst>
        </a:blip>
        <a:srcRect/>
        <a:stretch>
          <a:fillRect/>
        </a:stretch>
      </xdr:blipFill>
      <xdr:spPr bwMode="auto">
        <a:xfrm>
          <a:off x="1828800" y="7419975"/>
          <a:ext cx="342900" cy="342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0</xdr:col>
      <xdr:colOff>0</xdr:colOff>
      <xdr:row>46</xdr:row>
      <xdr:rowOff>0</xdr:rowOff>
    </xdr:from>
    <xdr:ext cx="304800" cy="297180"/>
    <xdr:pic>
      <xdr:nvPicPr>
        <xdr:cNvPr id="21" name="Picture 20">
          <a:hlinkClick xmlns:r="http://schemas.openxmlformats.org/officeDocument/2006/relationships" r:id="rId39"/>
          <a:extLst>
            <a:ext uri="{FF2B5EF4-FFF2-40B4-BE49-F238E27FC236}">
              <a16:creationId xmlns:a16="http://schemas.microsoft.com/office/drawing/2014/main" id="{40A006E1-A9D7-47E9-B368-0EE5971B30AE}"/>
            </a:ext>
          </a:extLst>
        </xdr:cNvPr>
        <xdr:cNvPicPr>
          <a:picLocks noChangeAspect="1" noChangeArrowheads="1"/>
        </xdr:cNvPicPr>
      </xdr:nvPicPr>
      <xdr:blipFill>
        <a:blip xmlns:r="http://schemas.openxmlformats.org/officeDocument/2006/relationships" r:embed="rId40">
          <a:extLst>
            <a:ext uri="{28A0092B-C50C-407E-A947-70E740481C1C}">
              <a14:useLocalDpi xmlns:a14="http://schemas.microsoft.com/office/drawing/2010/main" val="0"/>
            </a:ext>
          </a:extLst>
        </a:blip>
        <a:srcRect/>
        <a:stretch>
          <a:fillRect/>
        </a:stretch>
      </xdr:blipFill>
      <xdr:spPr bwMode="auto">
        <a:xfrm>
          <a:off x="0" y="8324850"/>
          <a:ext cx="304800" cy="29718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0</xdr:col>
      <xdr:colOff>0</xdr:colOff>
      <xdr:row>51</xdr:row>
      <xdr:rowOff>403860</xdr:rowOff>
    </xdr:from>
    <xdr:ext cx="304800" cy="300990"/>
    <xdr:pic>
      <xdr:nvPicPr>
        <xdr:cNvPr id="22" name="Picture 21">
          <a:hlinkClick xmlns:r="http://schemas.openxmlformats.org/officeDocument/2006/relationships" r:id="rId41"/>
          <a:extLst>
            <a:ext uri="{FF2B5EF4-FFF2-40B4-BE49-F238E27FC236}">
              <a16:creationId xmlns:a16="http://schemas.microsoft.com/office/drawing/2014/main" id="{06ED8321-EB65-4A4E-B459-0A4B744BD1C4}"/>
            </a:ext>
          </a:extLst>
        </xdr:cNvPr>
        <xdr:cNvPicPr>
          <a:picLocks noChangeAspect="1" noChangeArrowheads="1"/>
        </xdr:cNvPicPr>
      </xdr:nvPicPr>
      <xdr:blipFill>
        <a:blip xmlns:r="http://schemas.openxmlformats.org/officeDocument/2006/relationships" r:embed="rId42">
          <a:extLst>
            <a:ext uri="{28A0092B-C50C-407E-A947-70E740481C1C}">
              <a14:useLocalDpi xmlns:a14="http://schemas.microsoft.com/office/drawing/2010/main" val="0"/>
            </a:ext>
          </a:extLst>
        </a:blip>
        <a:srcRect/>
        <a:stretch>
          <a:fillRect/>
        </a:stretch>
      </xdr:blipFill>
      <xdr:spPr bwMode="auto">
        <a:xfrm>
          <a:off x="0" y="9410700"/>
          <a:ext cx="304800" cy="30099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0</xdr:col>
      <xdr:colOff>0</xdr:colOff>
      <xdr:row>56</xdr:row>
      <xdr:rowOff>0</xdr:rowOff>
    </xdr:from>
    <xdr:ext cx="304800" cy="304800"/>
    <xdr:pic>
      <xdr:nvPicPr>
        <xdr:cNvPr id="23" name="Picture 22">
          <a:hlinkClick xmlns:r="http://schemas.openxmlformats.org/officeDocument/2006/relationships" r:id="rId43"/>
          <a:extLst>
            <a:ext uri="{FF2B5EF4-FFF2-40B4-BE49-F238E27FC236}">
              <a16:creationId xmlns:a16="http://schemas.microsoft.com/office/drawing/2014/main" id="{387C4C45-0D3D-44BA-84AC-92FFAAB8D80C}"/>
            </a:ext>
          </a:extLst>
        </xdr:cNvPr>
        <xdr:cNvPicPr>
          <a:picLocks noChangeAspect="1" noChangeArrowheads="1"/>
        </xdr:cNvPicPr>
      </xdr:nvPicPr>
      <xdr:blipFill>
        <a:blip xmlns:r="http://schemas.openxmlformats.org/officeDocument/2006/relationships" r:embed="rId44">
          <a:extLst>
            <a:ext uri="{28A0092B-C50C-407E-A947-70E740481C1C}">
              <a14:useLocalDpi xmlns:a14="http://schemas.microsoft.com/office/drawing/2010/main" val="0"/>
            </a:ext>
          </a:extLst>
        </a:blip>
        <a:srcRect/>
        <a:stretch>
          <a:fillRect/>
        </a:stretch>
      </xdr:blipFill>
      <xdr:spPr bwMode="auto">
        <a:xfrm>
          <a:off x="0" y="10134600"/>
          <a:ext cx="304800" cy="3048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0</xdr:col>
      <xdr:colOff>0</xdr:colOff>
      <xdr:row>66</xdr:row>
      <xdr:rowOff>0</xdr:rowOff>
    </xdr:from>
    <xdr:ext cx="304800" cy="314325"/>
    <xdr:pic>
      <xdr:nvPicPr>
        <xdr:cNvPr id="24" name="Picture 23">
          <a:hlinkClick xmlns:r="http://schemas.openxmlformats.org/officeDocument/2006/relationships" r:id="rId45"/>
          <a:extLst>
            <a:ext uri="{FF2B5EF4-FFF2-40B4-BE49-F238E27FC236}">
              <a16:creationId xmlns:a16="http://schemas.microsoft.com/office/drawing/2014/main" id="{DC3CB775-86B7-4AEE-B34D-7D8F82443095}"/>
            </a:ext>
          </a:extLst>
        </xdr:cNvPr>
        <xdr:cNvPicPr>
          <a:picLocks noChangeAspect="1" noChangeArrowheads="1"/>
        </xdr:cNvPicPr>
      </xdr:nvPicPr>
      <xdr:blipFill>
        <a:blip xmlns:r="http://schemas.openxmlformats.org/officeDocument/2006/relationships" r:embed="rId46">
          <a:extLst>
            <a:ext uri="{28A0092B-C50C-407E-A947-70E740481C1C}">
              <a14:useLocalDpi xmlns:a14="http://schemas.microsoft.com/office/drawing/2010/main" val="0"/>
            </a:ext>
          </a:extLst>
        </a:blip>
        <a:srcRect/>
        <a:stretch>
          <a:fillRect/>
        </a:stretch>
      </xdr:blipFill>
      <xdr:spPr bwMode="auto">
        <a:xfrm>
          <a:off x="0" y="11944350"/>
          <a:ext cx="304800" cy="3143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0</xdr:col>
      <xdr:colOff>0</xdr:colOff>
      <xdr:row>75</xdr:row>
      <xdr:rowOff>0</xdr:rowOff>
    </xdr:from>
    <xdr:ext cx="304800" cy="304800"/>
    <xdr:pic>
      <xdr:nvPicPr>
        <xdr:cNvPr id="25" name="Picture 24">
          <a:hlinkClick xmlns:r="http://schemas.openxmlformats.org/officeDocument/2006/relationships" r:id="rId47"/>
          <a:extLst>
            <a:ext uri="{FF2B5EF4-FFF2-40B4-BE49-F238E27FC236}">
              <a16:creationId xmlns:a16="http://schemas.microsoft.com/office/drawing/2014/main" id="{953E9090-5660-4995-95CB-0D115BF80757}"/>
            </a:ext>
          </a:extLst>
        </xdr:cNvPr>
        <xdr:cNvPicPr>
          <a:picLocks noChangeAspect="1" noChangeArrowheads="1"/>
        </xdr:cNvPicPr>
      </xdr:nvPicPr>
      <xdr:blipFill>
        <a:blip xmlns:r="http://schemas.openxmlformats.org/officeDocument/2006/relationships" r:embed="rId48">
          <a:extLst>
            <a:ext uri="{28A0092B-C50C-407E-A947-70E740481C1C}">
              <a14:useLocalDpi xmlns:a14="http://schemas.microsoft.com/office/drawing/2010/main" val="0"/>
            </a:ext>
          </a:extLst>
        </a:blip>
        <a:srcRect/>
        <a:stretch>
          <a:fillRect/>
        </a:stretch>
      </xdr:blipFill>
      <xdr:spPr bwMode="auto">
        <a:xfrm>
          <a:off x="0" y="13573125"/>
          <a:ext cx="304800" cy="3048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0</xdr:col>
      <xdr:colOff>0</xdr:colOff>
      <xdr:row>83</xdr:row>
      <xdr:rowOff>0</xdr:rowOff>
    </xdr:from>
    <xdr:ext cx="304800" cy="306705"/>
    <xdr:pic>
      <xdr:nvPicPr>
        <xdr:cNvPr id="26" name="Picture 25">
          <a:hlinkClick xmlns:r="http://schemas.openxmlformats.org/officeDocument/2006/relationships" r:id="rId49"/>
          <a:extLst>
            <a:ext uri="{FF2B5EF4-FFF2-40B4-BE49-F238E27FC236}">
              <a16:creationId xmlns:a16="http://schemas.microsoft.com/office/drawing/2014/main" id="{7A1E28E2-DE97-4F77-8E6A-F04E29A49C5B}"/>
            </a:ext>
          </a:extLst>
        </xdr:cNvPr>
        <xdr:cNvPicPr>
          <a:picLocks noChangeAspect="1" noChangeArrowheads="1"/>
        </xdr:cNvPicPr>
      </xdr:nvPicPr>
      <xdr:blipFill>
        <a:blip xmlns:r="http://schemas.openxmlformats.org/officeDocument/2006/relationships" r:embed="rId50">
          <a:extLst>
            <a:ext uri="{28A0092B-C50C-407E-A947-70E740481C1C}">
              <a14:useLocalDpi xmlns:a14="http://schemas.microsoft.com/office/drawing/2010/main" val="0"/>
            </a:ext>
          </a:extLst>
        </a:blip>
        <a:srcRect/>
        <a:stretch>
          <a:fillRect/>
        </a:stretch>
      </xdr:blipFill>
      <xdr:spPr bwMode="auto">
        <a:xfrm>
          <a:off x="0" y="15020925"/>
          <a:ext cx="304800" cy="30670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10</xdr:col>
      <xdr:colOff>0</xdr:colOff>
      <xdr:row>83</xdr:row>
      <xdr:rowOff>0</xdr:rowOff>
    </xdr:from>
    <xdr:ext cx="342900" cy="344805"/>
    <xdr:pic>
      <xdr:nvPicPr>
        <xdr:cNvPr id="27" name="Picture 26">
          <a:hlinkClick xmlns:r="http://schemas.openxmlformats.org/officeDocument/2006/relationships" r:id="rId51"/>
          <a:extLst>
            <a:ext uri="{FF2B5EF4-FFF2-40B4-BE49-F238E27FC236}">
              <a16:creationId xmlns:a16="http://schemas.microsoft.com/office/drawing/2014/main" id="{235EB1E6-5F01-4E1B-B973-A373C67F3547}"/>
            </a:ext>
          </a:extLst>
        </xdr:cNvPr>
        <xdr:cNvPicPr>
          <a:picLocks noChangeAspect="1" noChangeArrowheads="1"/>
        </xdr:cNvPicPr>
      </xdr:nvPicPr>
      <xdr:blipFill>
        <a:blip xmlns:r="http://schemas.openxmlformats.org/officeDocument/2006/relationships" r:embed="rId52">
          <a:extLst>
            <a:ext uri="{28A0092B-C50C-407E-A947-70E740481C1C}">
              <a14:useLocalDpi xmlns:a14="http://schemas.microsoft.com/office/drawing/2010/main" val="0"/>
            </a:ext>
          </a:extLst>
        </a:blip>
        <a:srcRect/>
        <a:stretch>
          <a:fillRect/>
        </a:stretch>
      </xdr:blipFill>
      <xdr:spPr bwMode="auto">
        <a:xfrm>
          <a:off x="1828800" y="15020925"/>
          <a:ext cx="342900" cy="34480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0</xdr:col>
      <xdr:colOff>0</xdr:colOff>
      <xdr:row>84</xdr:row>
      <xdr:rowOff>198120</xdr:rowOff>
    </xdr:from>
    <xdr:ext cx="304800" cy="302895"/>
    <xdr:pic>
      <xdr:nvPicPr>
        <xdr:cNvPr id="28" name="Picture 27">
          <a:hlinkClick xmlns:r="http://schemas.openxmlformats.org/officeDocument/2006/relationships" r:id="rId53"/>
          <a:extLst>
            <a:ext uri="{FF2B5EF4-FFF2-40B4-BE49-F238E27FC236}">
              <a16:creationId xmlns:a16="http://schemas.microsoft.com/office/drawing/2014/main" id="{912479FD-87BC-4C8B-A15B-3130ABF1EEAA}"/>
            </a:ext>
          </a:extLst>
        </xdr:cNvPr>
        <xdr:cNvPicPr>
          <a:picLocks noChangeAspect="1" noChangeArrowheads="1"/>
        </xdr:cNvPicPr>
      </xdr:nvPicPr>
      <xdr:blipFill>
        <a:blip xmlns:r="http://schemas.openxmlformats.org/officeDocument/2006/relationships" r:embed="rId54">
          <a:extLst>
            <a:ext uri="{28A0092B-C50C-407E-A947-70E740481C1C}">
              <a14:useLocalDpi xmlns:a14="http://schemas.microsoft.com/office/drawing/2010/main" val="0"/>
            </a:ext>
          </a:extLst>
        </a:blip>
        <a:srcRect/>
        <a:stretch>
          <a:fillRect/>
        </a:stretch>
      </xdr:blipFill>
      <xdr:spPr bwMode="auto">
        <a:xfrm>
          <a:off x="0" y="15382875"/>
          <a:ext cx="304800" cy="30289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0</xdr:col>
      <xdr:colOff>0</xdr:colOff>
      <xdr:row>92</xdr:row>
      <xdr:rowOff>0</xdr:rowOff>
    </xdr:from>
    <xdr:ext cx="304800" cy="314325"/>
    <xdr:pic>
      <xdr:nvPicPr>
        <xdr:cNvPr id="29" name="Picture 28">
          <a:hlinkClick xmlns:r="http://schemas.openxmlformats.org/officeDocument/2006/relationships" r:id="rId55"/>
          <a:extLst>
            <a:ext uri="{FF2B5EF4-FFF2-40B4-BE49-F238E27FC236}">
              <a16:creationId xmlns:a16="http://schemas.microsoft.com/office/drawing/2014/main" id="{3C25E79B-CAEC-4F1C-B5AB-BC8C0DFF5CFD}"/>
            </a:ext>
          </a:extLst>
        </xdr:cNvPr>
        <xdr:cNvPicPr>
          <a:picLocks noChangeAspect="1" noChangeArrowheads="1"/>
        </xdr:cNvPicPr>
      </xdr:nvPicPr>
      <xdr:blipFill>
        <a:blip xmlns:r="http://schemas.openxmlformats.org/officeDocument/2006/relationships" r:embed="rId56">
          <a:extLst>
            <a:ext uri="{28A0092B-C50C-407E-A947-70E740481C1C}">
              <a14:useLocalDpi xmlns:a14="http://schemas.microsoft.com/office/drawing/2010/main" val="0"/>
            </a:ext>
          </a:extLst>
        </a:blip>
        <a:srcRect/>
        <a:stretch>
          <a:fillRect/>
        </a:stretch>
      </xdr:blipFill>
      <xdr:spPr bwMode="auto">
        <a:xfrm>
          <a:off x="0" y="16649700"/>
          <a:ext cx="304800" cy="3143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10</xdr:col>
      <xdr:colOff>0</xdr:colOff>
      <xdr:row>92</xdr:row>
      <xdr:rowOff>0</xdr:rowOff>
    </xdr:from>
    <xdr:ext cx="342900" cy="352425"/>
    <xdr:pic>
      <xdr:nvPicPr>
        <xdr:cNvPr id="30" name="Picture 29">
          <a:hlinkClick xmlns:r="http://schemas.openxmlformats.org/officeDocument/2006/relationships" r:id="rId57"/>
          <a:extLst>
            <a:ext uri="{FF2B5EF4-FFF2-40B4-BE49-F238E27FC236}">
              <a16:creationId xmlns:a16="http://schemas.microsoft.com/office/drawing/2014/main" id="{F9034FB2-8973-492E-983C-5115B7A1F40E}"/>
            </a:ext>
          </a:extLst>
        </xdr:cNvPr>
        <xdr:cNvPicPr>
          <a:picLocks noChangeAspect="1" noChangeArrowheads="1"/>
        </xdr:cNvPicPr>
      </xdr:nvPicPr>
      <xdr:blipFill>
        <a:blip xmlns:r="http://schemas.openxmlformats.org/officeDocument/2006/relationships" r:embed="rId58">
          <a:extLst>
            <a:ext uri="{28A0092B-C50C-407E-A947-70E740481C1C}">
              <a14:useLocalDpi xmlns:a14="http://schemas.microsoft.com/office/drawing/2010/main" val="0"/>
            </a:ext>
          </a:extLst>
        </a:blip>
        <a:srcRect/>
        <a:stretch>
          <a:fillRect/>
        </a:stretch>
      </xdr:blipFill>
      <xdr:spPr bwMode="auto">
        <a:xfrm>
          <a:off x="1828800" y="16649700"/>
          <a:ext cx="342900" cy="3524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0</xdr:col>
      <xdr:colOff>0</xdr:colOff>
      <xdr:row>98</xdr:row>
      <xdr:rowOff>0</xdr:rowOff>
    </xdr:from>
    <xdr:ext cx="304800" cy="314325"/>
    <xdr:pic>
      <xdr:nvPicPr>
        <xdr:cNvPr id="31" name="Picture 30">
          <a:hlinkClick xmlns:r="http://schemas.openxmlformats.org/officeDocument/2006/relationships" r:id="rId59"/>
          <a:extLst>
            <a:ext uri="{FF2B5EF4-FFF2-40B4-BE49-F238E27FC236}">
              <a16:creationId xmlns:a16="http://schemas.microsoft.com/office/drawing/2014/main" id="{EC4C2305-313F-4D98-B0D3-CE74644CDEB5}"/>
            </a:ext>
          </a:extLst>
        </xdr:cNvPr>
        <xdr:cNvPicPr>
          <a:picLocks noChangeAspect="1" noChangeArrowheads="1"/>
        </xdr:cNvPicPr>
      </xdr:nvPicPr>
      <xdr:blipFill>
        <a:blip xmlns:r="http://schemas.openxmlformats.org/officeDocument/2006/relationships" r:embed="rId60">
          <a:extLst>
            <a:ext uri="{28A0092B-C50C-407E-A947-70E740481C1C}">
              <a14:useLocalDpi xmlns:a14="http://schemas.microsoft.com/office/drawing/2010/main" val="0"/>
            </a:ext>
          </a:extLst>
        </a:blip>
        <a:srcRect/>
        <a:stretch>
          <a:fillRect/>
        </a:stretch>
      </xdr:blipFill>
      <xdr:spPr bwMode="auto">
        <a:xfrm>
          <a:off x="0" y="17735550"/>
          <a:ext cx="304800" cy="3143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0</xdr:col>
      <xdr:colOff>0</xdr:colOff>
      <xdr:row>106</xdr:row>
      <xdr:rowOff>0</xdr:rowOff>
    </xdr:from>
    <xdr:ext cx="304800" cy="306705"/>
    <xdr:pic>
      <xdr:nvPicPr>
        <xdr:cNvPr id="32" name="Picture 31">
          <a:hlinkClick xmlns:r="http://schemas.openxmlformats.org/officeDocument/2006/relationships" r:id="rId61"/>
          <a:extLst>
            <a:ext uri="{FF2B5EF4-FFF2-40B4-BE49-F238E27FC236}">
              <a16:creationId xmlns:a16="http://schemas.microsoft.com/office/drawing/2014/main" id="{5F4811AD-CF8B-4D06-9FBD-F6004EFA4864}"/>
            </a:ext>
          </a:extLst>
        </xdr:cNvPr>
        <xdr:cNvPicPr>
          <a:picLocks noChangeAspect="1" noChangeArrowheads="1"/>
        </xdr:cNvPicPr>
      </xdr:nvPicPr>
      <xdr:blipFill>
        <a:blip xmlns:r="http://schemas.openxmlformats.org/officeDocument/2006/relationships" r:embed="rId62">
          <a:extLst>
            <a:ext uri="{28A0092B-C50C-407E-A947-70E740481C1C}">
              <a14:useLocalDpi xmlns:a14="http://schemas.microsoft.com/office/drawing/2010/main" val="0"/>
            </a:ext>
          </a:extLst>
        </a:blip>
        <a:srcRect/>
        <a:stretch>
          <a:fillRect/>
        </a:stretch>
      </xdr:blipFill>
      <xdr:spPr bwMode="auto">
        <a:xfrm>
          <a:off x="0" y="19183350"/>
          <a:ext cx="304800" cy="30670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10</xdr:col>
      <xdr:colOff>0</xdr:colOff>
      <xdr:row>106</xdr:row>
      <xdr:rowOff>0</xdr:rowOff>
    </xdr:from>
    <xdr:ext cx="342900" cy="344805"/>
    <xdr:pic>
      <xdr:nvPicPr>
        <xdr:cNvPr id="33" name="Picture 32">
          <a:hlinkClick xmlns:r="http://schemas.openxmlformats.org/officeDocument/2006/relationships" r:id="rId63"/>
          <a:extLst>
            <a:ext uri="{FF2B5EF4-FFF2-40B4-BE49-F238E27FC236}">
              <a16:creationId xmlns:a16="http://schemas.microsoft.com/office/drawing/2014/main" id="{FE2EA261-DD33-4864-A2B0-B2AAAD5356F8}"/>
            </a:ext>
          </a:extLst>
        </xdr:cNvPr>
        <xdr:cNvPicPr>
          <a:picLocks noChangeAspect="1" noChangeArrowheads="1"/>
        </xdr:cNvPicPr>
      </xdr:nvPicPr>
      <xdr:blipFill>
        <a:blip xmlns:r="http://schemas.openxmlformats.org/officeDocument/2006/relationships" r:embed="rId64">
          <a:extLst>
            <a:ext uri="{28A0092B-C50C-407E-A947-70E740481C1C}">
              <a14:useLocalDpi xmlns:a14="http://schemas.microsoft.com/office/drawing/2010/main" val="0"/>
            </a:ext>
          </a:extLst>
        </a:blip>
        <a:srcRect/>
        <a:stretch>
          <a:fillRect/>
        </a:stretch>
      </xdr:blipFill>
      <xdr:spPr bwMode="auto">
        <a:xfrm>
          <a:off x="1828800" y="19183350"/>
          <a:ext cx="342900" cy="34480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0</xdr:col>
      <xdr:colOff>0</xdr:colOff>
      <xdr:row>107</xdr:row>
      <xdr:rowOff>198120</xdr:rowOff>
    </xdr:from>
    <xdr:ext cx="304800" cy="302895"/>
    <xdr:pic>
      <xdr:nvPicPr>
        <xdr:cNvPr id="34" name="Picture 33">
          <a:hlinkClick xmlns:r="http://schemas.openxmlformats.org/officeDocument/2006/relationships" r:id="rId65"/>
          <a:extLst>
            <a:ext uri="{FF2B5EF4-FFF2-40B4-BE49-F238E27FC236}">
              <a16:creationId xmlns:a16="http://schemas.microsoft.com/office/drawing/2014/main" id="{797D0358-1354-4AD1-BA13-28A15820A193}"/>
            </a:ext>
          </a:extLst>
        </xdr:cNvPr>
        <xdr:cNvPicPr>
          <a:picLocks noChangeAspect="1" noChangeArrowheads="1"/>
        </xdr:cNvPicPr>
      </xdr:nvPicPr>
      <xdr:blipFill>
        <a:blip xmlns:r="http://schemas.openxmlformats.org/officeDocument/2006/relationships" r:embed="rId66">
          <a:extLst>
            <a:ext uri="{28A0092B-C50C-407E-A947-70E740481C1C}">
              <a14:useLocalDpi xmlns:a14="http://schemas.microsoft.com/office/drawing/2010/main" val="0"/>
            </a:ext>
          </a:extLst>
        </a:blip>
        <a:srcRect/>
        <a:stretch>
          <a:fillRect/>
        </a:stretch>
      </xdr:blipFill>
      <xdr:spPr bwMode="auto">
        <a:xfrm>
          <a:off x="0" y="19545300"/>
          <a:ext cx="304800" cy="30289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0</xdr:col>
      <xdr:colOff>0</xdr:colOff>
      <xdr:row>115</xdr:row>
      <xdr:rowOff>0</xdr:rowOff>
    </xdr:from>
    <xdr:ext cx="304800" cy="314325"/>
    <xdr:pic>
      <xdr:nvPicPr>
        <xdr:cNvPr id="35" name="Picture 34">
          <a:hlinkClick xmlns:r="http://schemas.openxmlformats.org/officeDocument/2006/relationships" r:id="rId67"/>
          <a:extLst>
            <a:ext uri="{FF2B5EF4-FFF2-40B4-BE49-F238E27FC236}">
              <a16:creationId xmlns:a16="http://schemas.microsoft.com/office/drawing/2014/main" id="{F6B887BB-C568-47B0-A2B5-0E325A74BEA2}"/>
            </a:ext>
          </a:extLst>
        </xdr:cNvPr>
        <xdr:cNvPicPr>
          <a:picLocks noChangeAspect="1" noChangeArrowheads="1"/>
        </xdr:cNvPicPr>
      </xdr:nvPicPr>
      <xdr:blipFill>
        <a:blip xmlns:r="http://schemas.openxmlformats.org/officeDocument/2006/relationships" r:embed="rId68">
          <a:extLst>
            <a:ext uri="{28A0092B-C50C-407E-A947-70E740481C1C}">
              <a14:useLocalDpi xmlns:a14="http://schemas.microsoft.com/office/drawing/2010/main" val="0"/>
            </a:ext>
          </a:extLst>
        </a:blip>
        <a:srcRect/>
        <a:stretch>
          <a:fillRect/>
        </a:stretch>
      </xdr:blipFill>
      <xdr:spPr bwMode="auto">
        <a:xfrm>
          <a:off x="0" y="20812125"/>
          <a:ext cx="304800" cy="3143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10</xdr:col>
      <xdr:colOff>0</xdr:colOff>
      <xdr:row>115</xdr:row>
      <xdr:rowOff>0</xdr:rowOff>
    </xdr:from>
    <xdr:ext cx="342900" cy="352425"/>
    <xdr:pic>
      <xdr:nvPicPr>
        <xdr:cNvPr id="36" name="Picture 35">
          <a:hlinkClick xmlns:r="http://schemas.openxmlformats.org/officeDocument/2006/relationships" r:id="rId69"/>
          <a:extLst>
            <a:ext uri="{FF2B5EF4-FFF2-40B4-BE49-F238E27FC236}">
              <a16:creationId xmlns:a16="http://schemas.microsoft.com/office/drawing/2014/main" id="{DAC6031C-DBB2-48BA-ABEE-F83133DD7FA7}"/>
            </a:ext>
          </a:extLst>
        </xdr:cNvPr>
        <xdr:cNvPicPr>
          <a:picLocks noChangeAspect="1" noChangeArrowheads="1"/>
        </xdr:cNvPicPr>
      </xdr:nvPicPr>
      <xdr:blipFill>
        <a:blip xmlns:r="http://schemas.openxmlformats.org/officeDocument/2006/relationships" r:embed="rId70">
          <a:extLst>
            <a:ext uri="{28A0092B-C50C-407E-A947-70E740481C1C}">
              <a14:useLocalDpi xmlns:a14="http://schemas.microsoft.com/office/drawing/2010/main" val="0"/>
            </a:ext>
          </a:extLst>
        </a:blip>
        <a:srcRect/>
        <a:stretch>
          <a:fillRect/>
        </a:stretch>
      </xdr:blipFill>
      <xdr:spPr bwMode="auto">
        <a:xfrm>
          <a:off x="1828800" y="20812125"/>
          <a:ext cx="342900" cy="3524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0</xdr:col>
      <xdr:colOff>0</xdr:colOff>
      <xdr:row>121</xdr:row>
      <xdr:rowOff>0</xdr:rowOff>
    </xdr:from>
    <xdr:ext cx="304800" cy="314325"/>
    <xdr:pic>
      <xdr:nvPicPr>
        <xdr:cNvPr id="37" name="Picture 36">
          <a:hlinkClick xmlns:r="http://schemas.openxmlformats.org/officeDocument/2006/relationships" r:id="rId71"/>
          <a:extLst>
            <a:ext uri="{FF2B5EF4-FFF2-40B4-BE49-F238E27FC236}">
              <a16:creationId xmlns:a16="http://schemas.microsoft.com/office/drawing/2014/main" id="{1F85DA15-45C5-4BFF-8AA6-0AF79D002F99}"/>
            </a:ext>
          </a:extLst>
        </xdr:cNvPr>
        <xdr:cNvPicPr>
          <a:picLocks noChangeAspect="1" noChangeArrowheads="1"/>
        </xdr:cNvPicPr>
      </xdr:nvPicPr>
      <xdr:blipFill>
        <a:blip xmlns:r="http://schemas.openxmlformats.org/officeDocument/2006/relationships" r:embed="rId72">
          <a:extLst>
            <a:ext uri="{28A0092B-C50C-407E-A947-70E740481C1C}">
              <a14:useLocalDpi xmlns:a14="http://schemas.microsoft.com/office/drawing/2010/main" val="0"/>
            </a:ext>
          </a:extLst>
        </a:blip>
        <a:srcRect/>
        <a:stretch>
          <a:fillRect/>
        </a:stretch>
      </xdr:blipFill>
      <xdr:spPr bwMode="auto">
        <a:xfrm>
          <a:off x="0" y="21897975"/>
          <a:ext cx="304800" cy="3143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0</xdr:col>
      <xdr:colOff>0</xdr:colOff>
      <xdr:row>129</xdr:row>
      <xdr:rowOff>0</xdr:rowOff>
    </xdr:from>
    <xdr:ext cx="304800" cy="314325"/>
    <xdr:pic>
      <xdr:nvPicPr>
        <xdr:cNvPr id="38" name="Picture 37">
          <a:hlinkClick xmlns:r="http://schemas.openxmlformats.org/officeDocument/2006/relationships" r:id="rId73"/>
          <a:extLst>
            <a:ext uri="{FF2B5EF4-FFF2-40B4-BE49-F238E27FC236}">
              <a16:creationId xmlns:a16="http://schemas.microsoft.com/office/drawing/2014/main" id="{A4BBA96F-FB84-425C-A3F9-393D346EBA57}"/>
            </a:ext>
          </a:extLst>
        </xdr:cNvPr>
        <xdr:cNvPicPr>
          <a:picLocks noChangeAspect="1" noChangeArrowheads="1"/>
        </xdr:cNvPicPr>
      </xdr:nvPicPr>
      <xdr:blipFill>
        <a:blip xmlns:r="http://schemas.openxmlformats.org/officeDocument/2006/relationships" r:embed="rId74">
          <a:extLst>
            <a:ext uri="{28A0092B-C50C-407E-A947-70E740481C1C}">
              <a14:useLocalDpi xmlns:a14="http://schemas.microsoft.com/office/drawing/2010/main" val="0"/>
            </a:ext>
          </a:extLst>
        </a:blip>
        <a:srcRect/>
        <a:stretch>
          <a:fillRect/>
        </a:stretch>
      </xdr:blipFill>
      <xdr:spPr bwMode="auto">
        <a:xfrm>
          <a:off x="0" y="23345775"/>
          <a:ext cx="304800" cy="3143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10</xdr:col>
      <xdr:colOff>0</xdr:colOff>
      <xdr:row>129</xdr:row>
      <xdr:rowOff>0</xdr:rowOff>
    </xdr:from>
    <xdr:ext cx="342900" cy="352425"/>
    <xdr:pic>
      <xdr:nvPicPr>
        <xdr:cNvPr id="39" name="Picture 38">
          <a:hlinkClick xmlns:r="http://schemas.openxmlformats.org/officeDocument/2006/relationships" r:id="rId75"/>
          <a:extLst>
            <a:ext uri="{FF2B5EF4-FFF2-40B4-BE49-F238E27FC236}">
              <a16:creationId xmlns:a16="http://schemas.microsoft.com/office/drawing/2014/main" id="{03E5EFAA-AD4A-4452-B421-E7F7C2E10D97}"/>
            </a:ext>
          </a:extLst>
        </xdr:cNvPr>
        <xdr:cNvPicPr>
          <a:picLocks noChangeAspect="1" noChangeArrowheads="1"/>
        </xdr:cNvPicPr>
      </xdr:nvPicPr>
      <xdr:blipFill>
        <a:blip xmlns:r="http://schemas.openxmlformats.org/officeDocument/2006/relationships" r:embed="rId76">
          <a:extLst>
            <a:ext uri="{28A0092B-C50C-407E-A947-70E740481C1C}">
              <a14:useLocalDpi xmlns:a14="http://schemas.microsoft.com/office/drawing/2010/main" val="0"/>
            </a:ext>
          </a:extLst>
        </a:blip>
        <a:srcRect/>
        <a:stretch>
          <a:fillRect/>
        </a:stretch>
      </xdr:blipFill>
      <xdr:spPr bwMode="auto">
        <a:xfrm>
          <a:off x="1828800" y="23345775"/>
          <a:ext cx="342900" cy="3524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0</xdr:col>
      <xdr:colOff>0</xdr:colOff>
      <xdr:row>135</xdr:row>
      <xdr:rowOff>0</xdr:rowOff>
    </xdr:from>
    <xdr:ext cx="304800" cy="314325"/>
    <xdr:pic>
      <xdr:nvPicPr>
        <xdr:cNvPr id="40" name="Picture 39">
          <a:hlinkClick xmlns:r="http://schemas.openxmlformats.org/officeDocument/2006/relationships" r:id="rId77"/>
          <a:extLst>
            <a:ext uri="{FF2B5EF4-FFF2-40B4-BE49-F238E27FC236}">
              <a16:creationId xmlns:a16="http://schemas.microsoft.com/office/drawing/2014/main" id="{4A1D65E2-CD8F-48DF-9518-8071A0EE1D29}"/>
            </a:ext>
          </a:extLst>
        </xdr:cNvPr>
        <xdr:cNvPicPr>
          <a:picLocks noChangeAspect="1" noChangeArrowheads="1"/>
        </xdr:cNvPicPr>
      </xdr:nvPicPr>
      <xdr:blipFill>
        <a:blip xmlns:r="http://schemas.openxmlformats.org/officeDocument/2006/relationships" r:embed="rId78">
          <a:extLst>
            <a:ext uri="{28A0092B-C50C-407E-A947-70E740481C1C}">
              <a14:useLocalDpi xmlns:a14="http://schemas.microsoft.com/office/drawing/2010/main" val="0"/>
            </a:ext>
          </a:extLst>
        </a:blip>
        <a:srcRect/>
        <a:stretch>
          <a:fillRect/>
        </a:stretch>
      </xdr:blipFill>
      <xdr:spPr bwMode="auto">
        <a:xfrm>
          <a:off x="0" y="24431625"/>
          <a:ext cx="304800" cy="3143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0</xdr:col>
      <xdr:colOff>0</xdr:colOff>
      <xdr:row>143</xdr:row>
      <xdr:rowOff>0</xdr:rowOff>
    </xdr:from>
    <xdr:ext cx="304800" cy="306705"/>
    <xdr:pic>
      <xdr:nvPicPr>
        <xdr:cNvPr id="41" name="Picture 40">
          <a:hlinkClick xmlns:r="http://schemas.openxmlformats.org/officeDocument/2006/relationships" r:id="rId79"/>
          <a:extLst>
            <a:ext uri="{FF2B5EF4-FFF2-40B4-BE49-F238E27FC236}">
              <a16:creationId xmlns:a16="http://schemas.microsoft.com/office/drawing/2014/main" id="{F9875E1B-78C8-484D-8C06-CF8D7AA86B17}"/>
            </a:ext>
          </a:extLst>
        </xdr:cNvPr>
        <xdr:cNvPicPr>
          <a:picLocks noChangeAspect="1" noChangeArrowheads="1"/>
        </xdr:cNvPicPr>
      </xdr:nvPicPr>
      <xdr:blipFill>
        <a:blip xmlns:r="http://schemas.openxmlformats.org/officeDocument/2006/relationships" r:embed="rId80">
          <a:extLst>
            <a:ext uri="{28A0092B-C50C-407E-A947-70E740481C1C}">
              <a14:useLocalDpi xmlns:a14="http://schemas.microsoft.com/office/drawing/2010/main" val="0"/>
            </a:ext>
          </a:extLst>
        </a:blip>
        <a:srcRect/>
        <a:stretch>
          <a:fillRect/>
        </a:stretch>
      </xdr:blipFill>
      <xdr:spPr bwMode="auto">
        <a:xfrm>
          <a:off x="0" y="25879425"/>
          <a:ext cx="304800" cy="30670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10</xdr:col>
      <xdr:colOff>0</xdr:colOff>
      <xdr:row>143</xdr:row>
      <xdr:rowOff>0</xdr:rowOff>
    </xdr:from>
    <xdr:ext cx="342900" cy="344805"/>
    <xdr:pic>
      <xdr:nvPicPr>
        <xdr:cNvPr id="42" name="Picture 41">
          <a:hlinkClick xmlns:r="http://schemas.openxmlformats.org/officeDocument/2006/relationships" r:id="rId81"/>
          <a:extLst>
            <a:ext uri="{FF2B5EF4-FFF2-40B4-BE49-F238E27FC236}">
              <a16:creationId xmlns:a16="http://schemas.microsoft.com/office/drawing/2014/main" id="{6D9355E0-43B2-49B2-A8FE-56C8C0B7EDFD}"/>
            </a:ext>
          </a:extLst>
        </xdr:cNvPr>
        <xdr:cNvPicPr>
          <a:picLocks noChangeAspect="1" noChangeArrowheads="1"/>
        </xdr:cNvPicPr>
      </xdr:nvPicPr>
      <xdr:blipFill>
        <a:blip xmlns:r="http://schemas.openxmlformats.org/officeDocument/2006/relationships" r:embed="rId82">
          <a:extLst>
            <a:ext uri="{28A0092B-C50C-407E-A947-70E740481C1C}">
              <a14:useLocalDpi xmlns:a14="http://schemas.microsoft.com/office/drawing/2010/main" val="0"/>
            </a:ext>
          </a:extLst>
        </a:blip>
        <a:srcRect/>
        <a:stretch>
          <a:fillRect/>
        </a:stretch>
      </xdr:blipFill>
      <xdr:spPr bwMode="auto">
        <a:xfrm>
          <a:off x="1828800" y="25879425"/>
          <a:ext cx="342900" cy="34480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0</xdr:col>
      <xdr:colOff>0</xdr:colOff>
      <xdr:row>145</xdr:row>
      <xdr:rowOff>15240</xdr:rowOff>
    </xdr:from>
    <xdr:ext cx="304800" cy="291465"/>
    <xdr:pic>
      <xdr:nvPicPr>
        <xdr:cNvPr id="43" name="Picture 42">
          <a:hlinkClick xmlns:r="http://schemas.openxmlformats.org/officeDocument/2006/relationships" r:id="rId83"/>
          <a:extLst>
            <a:ext uri="{FF2B5EF4-FFF2-40B4-BE49-F238E27FC236}">
              <a16:creationId xmlns:a16="http://schemas.microsoft.com/office/drawing/2014/main" id="{769A4C76-2712-4E26-938F-5258DD2E9405}"/>
            </a:ext>
          </a:extLst>
        </xdr:cNvPr>
        <xdr:cNvPicPr>
          <a:picLocks noChangeAspect="1" noChangeArrowheads="1"/>
        </xdr:cNvPicPr>
      </xdr:nvPicPr>
      <xdr:blipFill>
        <a:blip xmlns:r="http://schemas.openxmlformats.org/officeDocument/2006/relationships" r:embed="rId84">
          <a:extLst>
            <a:ext uri="{28A0092B-C50C-407E-A947-70E740481C1C}">
              <a14:useLocalDpi xmlns:a14="http://schemas.microsoft.com/office/drawing/2010/main" val="0"/>
            </a:ext>
          </a:extLst>
        </a:blip>
        <a:srcRect/>
        <a:stretch>
          <a:fillRect/>
        </a:stretch>
      </xdr:blipFill>
      <xdr:spPr bwMode="auto">
        <a:xfrm>
          <a:off x="0" y="26260425"/>
          <a:ext cx="304800" cy="29146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0</xdr:col>
      <xdr:colOff>0</xdr:colOff>
      <xdr:row>152</xdr:row>
      <xdr:rowOff>0</xdr:rowOff>
    </xdr:from>
    <xdr:ext cx="304800" cy="306705"/>
    <xdr:pic>
      <xdr:nvPicPr>
        <xdr:cNvPr id="44" name="Picture 43">
          <a:hlinkClick xmlns:r="http://schemas.openxmlformats.org/officeDocument/2006/relationships" r:id="rId85"/>
          <a:extLst>
            <a:ext uri="{FF2B5EF4-FFF2-40B4-BE49-F238E27FC236}">
              <a16:creationId xmlns:a16="http://schemas.microsoft.com/office/drawing/2014/main" id="{A88A0582-3F4D-4033-8D69-C7FA30623A9F}"/>
            </a:ext>
          </a:extLst>
        </xdr:cNvPr>
        <xdr:cNvPicPr>
          <a:picLocks noChangeAspect="1" noChangeArrowheads="1"/>
        </xdr:cNvPicPr>
      </xdr:nvPicPr>
      <xdr:blipFill>
        <a:blip xmlns:r="http://schemas.openxmlformats.org/officeDocument/2006/relationships" r:embed="rId86">
          <a:extLst>
            <a:ext uri="{28A0092B-C50C-407E-A947-70E740481C1C}">
              <a14:useLocalDpi xmlns:a14="http://schemas.microsoft.com/office/drawing/2010/main" val="0"/>
            </a:ext>
          </a:extLst>
        </a:blip>
        <a:srcRect/>
        <a:stretch>
          <a:fillRect/>
        </a:stretch>
      </xdr:blipFill>
      <xdr:spPr bwMode="auto">
        <a:xfrm>
          <a:off x="0" y="27508200"/>
          <a:ext cx="304800" cy="30670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10</xdr:col>
      <xdr:colOff>0</xdr:colOff>
      <xdr:row>152</xdr:row>
      <xdr:rowOff>0</xdr:rowOff>
    </xdr:from>
    <xdr:ext cx="342900" cy="344805"/>
    <xdr:pic>
      <xdr:nvPicPr>
        <xdr:cNvPr id="45" name="Picture 44">
          <a:hlinkClick xmlns:r="http://schemas.openxmlformats.org/officeDocument/2006/relationships" r:id="rId87"/>
          <a:extLst>
            <a:ext uri="{FF2B5EF4-FFF2-40B4-BE49-F238E27FC236}">
              <a16:creationId xmlns:a16="http://schemas.microsoft.com/office/drawing/2014/main" id="{5A6672D3-5E98-4C23-9110-24AE1AE1A047}"/>
            </a:ext>
          </a:extLst>
        </xdr:cNvPr>
        <xdr:cNvPicPr>
          <a:picLocks noChangeAspect="1" noChangeArrowheads="1"/>
        </xdr:cNvPicPr>
      </xdr:nvPicPr>
      <xdr:blipFill>
        <a:blip xmlns:r="http://schemas.openxmlformats.org/officeDocument/2006/relationships" r:embed="rId88">
          <a:extLst>
            <a:ext uri="{28A0092B-C50C-407E-A947-70E740481C1C}">
              <a14:useLocalDpi xmlns:a14="http://schemas.microsoft.com/office/drawing/2010/main" val="0"/>
            </a:ext>
          </a:extLst>
        </a:blip>
        <a:srcRect/>
        <a:stretch>
          <a:fillRect/>
        </a:stretch>
      </xdr:blipFill>
      <xdr:spPr bwMode="auto">
        <a:xfrm>
          <a:off x="1828800" y="27508200"/>
          <a:ext cx="342900" cy="34480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0</xdr:col>
      <xdr:colOff>0</xdr:colOff>
      <xdr:row>153</xdr:row>
      <xdr:rowOff>198120</xdr:rowOff>
    </xdr:from>
    <xdr:ext cx="304800" cy="302895"/>
    <xdr:pic>
      <xdr:nvPicPr>
        <xdr:cNvPr id="46" name="Picture 45">
          <a:hlinkClick xmlns:r="http://schemas.openxmlformats.org/officeDocument/2006/relationships" r:id="rId89"/>
          <a:extLst>
            <a:ext uri="{FF2B5EF4-FFF2-40B4-BE49-F238E27FC236}">
              <a16:creationId xmlns:a16="http://schemas.microsoft.com/office/drawing/2014/main" id="{30B559FE-DD3D-49F4-84F6-328EBB76193D}"/>
            </a:ext>
          </a:extLst>
        </xdr:cNvPr>
        <xdr:cNvPicPr>
          <a:picLocks noChangeAspect="1" noChangeArrowheads="1"/>
        </xdr:cNvPicPr>
      </xdr:nvPicPr>
      <xdr:blipFill>
        <a:blip xmlns:r="http://schemas.openxmlformats.org/officeDocument/2006/relationships" r:embed="rId90">
          <a:extLst>
            <a:ext uri="{28A0092B-C50C-407E-A947-70E740481C1C}">
              <a14:useLocalDpi xmlns:a14="http://schemas.microsoft.com/office/drawing/2010/main" val="0"/>
            </a:ext>
          </a:extLst>
        </a:blip>
        <a:srcRect/>
        <a:stretch>
          <a:fillRect/>
        </a:stretch>
      </xdr:blipFill>
      <xdr:spPr bwMode="auto">
        <a:xfrm>
          <a:off x="0" y="27870150"/>
          <a:ext cx="304800" cy="30289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0</xdr:col>
      <xdr:colOff>0</xdr:colOff>
      <xdr:row>161</xdr:row>
      <xdr:rowOff>0</xdr:rowOff>
    </xdr:from>
    <xdr:ext cx="304800" cy="306705"/>
    <xdr:pic>
      <xdr:nvPicPr>
        <xdr:cNvPr id="47" name="Picture 46">
          <a:hlinkClick xmlns:r="http://schemas.openxmlformats.org/officeDocument/2006/relationships" r:id="rId91"/>
          <a:extLst>
            <a:ext uri="{FF2B5EF4-FFF2-40B4-BE49-F238E27FC236}">
              <a16:creationId xmlns:a16="http://schemas.microsoft.com/office/drawing/2014/main" id="{D38E2482-92DE-4D0E-B6FC-B8852EFFEA11}"/>
            </a:ext>
          </a:extLst>
        </xdr:cNvPr>
        <xdr:cNvPicPr>
          <a:picLocks noChangeAspect="1" noChangeArrowheads="1"/>
        </xdr:cNvPicPr>
      </xdr:nvPicPr>
      <xdr:blipFill>
        <a:blip xmlns:r="http://schemas.openxmlformats.org/officeDocument/2006/relationships" r:embed="rId92">
          <a:extLst>
            <a:ext uri="{28A0092B-C50C-407E-A947-70E740481C1C}">
              <a14:useLocalDpi xmlns:a14="http://schemas.microsoft.com/office/drawing/2010/main" val="0"/>
            </a:ext>
          </a:extLst>
        </a:blip>
        <a:srcRect/>
        <a:stretch>
          <a:fillRect/>
        </a:stretch>
      </xdr:blipFill>
      <xdr:spPr bwMode="auto">
        <a:xfrm>
          <a:off x="0" y="29136975"/>
          <a:ext cx="304800" cy="30670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10</xdr:col>
      <xdr:colOff>0</xdr:colOff>
      <xdr:row>161</xdr:row>
      <xdr:rowOff>0</xdr:rowOff>
    </xdr:from>
    <xdr:ext cx="342900" cy="344805"/>
    <xdr:pic>
      <xdr:nvPicPr>
        <xdr:cNvPr id="48" name="Picture 47">
          <a:hlinkClick xmlns:r="http://schemas.openxmlformats.org/officeDocument/2006/relationships" r:id="rId93"/>
          <a:extLst>
            <a:ext uri="{FF2B5EF4-FFF2-40B4-BE49-F238E27FC236}">
              <a16:creationId xmlns:a16="http://schemas.microsoft.com/office/drawing/2014/main" id="{6694E7D3-D8F9-4C69-BB55-BDD1F74D7416}"/>
            </a:ext>
          </a:extLst>
        </xdr:cNvPr>
        <xdr:cNvPicPr>
          <a:picLocks noChangeAspect="1" noChangeArrowheads="1"/>
        </xdr:cNvPicPr>
      </xdr:nvPicPr>
      <xdr:blipFill>
        <a:blip xmlns:r="http://schemas.openxmlformats.org/officeDocument/2006/relationships" r:embed="rId94">
          <a:extLst>
            <a:ext uri="{28A0092B-C50C-407E-A947-70E740481C1C}">
              <a14:useLocalDpi xmlns:a14="http://schemas.microsoft.com/office/drawing/2010/main" val="0"/>
            </a:ext>
          </a:extLst>
        </a:blip>
        <a:srcRect/>
        <a:stretch>
          <a:fillRect/>
        </a:stretch>
      </xdr:blipFill>
      <xdr:spPr bwMode="auto">
        <a:xfrm>
          <a:off x="1828800" y="29136975"/>
          <a:ext cx="342900" cy="34480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0</xdr:col>
      <xdr:colOff>0</xdr:colOff>
      <xdr:row>161</xdr:row>
      <xdr:rowOff>198120</xdr:rowOff>
    </xdr:from>
    <xdr:ext cx="304800" cy="295275"/>
    <xdr:pic>
      <xdr:nvPicPr>
        <xdr:cNvPr id="49" name="Picture 48">
          <a:hlinkClick xmlns:r="http://schemas.openxmlformats.org/officeDocument/2006/relationships" r:id="rId95"/>
          <a:extLst>
            <a:ext uri="{FF2B5EF4-FFF2-40B4-BE49-F238E27FC236}">
              <a16:creationId xmlns:a16="http://schemas.microsoft.com/office/drawing/2014/main" id="{F1D6C6D1-96D1-4FE2-9F2A-507B22DD282D}"/>
            </a:ext>
          </a:extLst>
        </xdr:cNvPr>
        <xdr:cNvPicPr>
          <a:picLocks noChangeAspect="1" noChangeArrowheads="1"/>
        </xdr:cNvPicPr>
      </xdr:nvPicPr>
      <xdr:blipFill>
        <a:blip xmlns:r="http://schemas.openxmlformats.org/officeDocument/2006/relationships" r:embed="rId96">
          <a:extLst>
            <a:ext uri="{28A0092B-C50C-407E-A947-70E740481C1C}">
              <a14:useLocalDpi xmlns:a14="http://schemas.microsoft.com/office/drawing/2010/main" val="0"/>
            </a:ext>
          </a:extLst>
        </a:blip>
        <a:srcRect/>
        <a:stretch>
          <a:fillRect/>
        </a:stretch>
      </xdr:blipFill>
      <xdr:spPr bwMode="auto">
        <a:xfrm>
          <a:off x="0" y="29317950"/>
          <a:ext cx="304800" cy="29527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0</xdr:col>
      <xdr:colOff>0</xdr:colOff>
      <xdr:row>169</xdr:row>
      <xdr:rowOff>0</xdr:rowOff>
    </xdr:from>
    <xdr:ext cx="304800" cy="306705"/>
    <xdr:pic>
      <xdr:nvPicPr>
        <xdr:cNvPr id="50" name="Picture 49">
          <a:hlinkClick xmlns:r="http://schemas.openxmlformats.org/officeDocument/2006/relationships" r:id="rId97"/>
          <a:extLst>
            <a:ext uri="{FF2B5EF4-FFF2-40B4-BE49-F238E27FC236}">
              <a16:creationId xmlns:a16="http://schemas.microsoft.com/office/drawing/2014/main" id="{51724193-C3EB-4A27-A9A1-02DC64A42B0F}"/>
            </a:ext>
          </a:extLst>
        </xdr:cNvPr>
        <xdr:cNvPicPr>
          <a:picLocks noChangeAspect="1" noChangeArrowheads="1"/>
        </xdr:cNvPicPr>
      </xdr:nvPicPr>
      <xdr:blipFill>
        <a:blip xmlns:r="http://schemas.openxmlformats.org/officeDocument/2006/relationships" r:embed="rId98">
          <a:extLst>
            <a:ext uri="{28A0092B-C50C-407E-A947-70E740481C1C}">
              <a14:useLocalDpi xmlns:a14="http://schemas.microsoft.com/office/drawing/2010/main" val="0"/>
            </a:ext>
          </a:extLst>
        </a:blip>
        <a:srcRect/>
        <a:stretch>
          <a:fillRect/>
        </a:stretch>
      </xdr:blipFill>
      <xdr:spPr bwMode="auto">
        <a:xfrm>
          <a:off x="0" y="30584775"/>
          <a:ext cx="304800" cy="30670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10</xdr:col>
      <xdr:colOff>0</xdr:colOff>
      <xdr:row>169</xdr:row>
      <xdr:rowOff>0</xdr:rowOff>
    </xdr:from>
    <xdr:ext cx="342900" cy="344805"/>
    <xdr:pic>
      <xdr:nvPicPr>
        <xdr:cNvPr id="51" name="Picture 50">
          <a:hlinkClick xmlns:r="http://schemas.openxmlformats.org/officeDocument/2006/relationships" r:id="rId99"/>
          <a:extLst>
            <a:ext uri="{FF2B5EF4-FFF2-40B4-BE49-F238E27FC236}">
              <a16:creationId xmlns:a16="http://schemas.microsoft.com/office/drawing/2014/main" id="{A7F3AB33-7BA1-4349-96F3-C0E6542730C7}"/>
            </a:ext>
          </a:extLst>
        </xdr:cNvPr>
        <xdr:cNvPicPr>
          <a:picLocks noChangeAspect="1" noChangeArrowheads="1"/>
        </xdr:cNvPicPr>
      </xdr:nvPicPr>
      <xdr:blipFill>
        <a:blip xmlns:r="http://schemas.openxmlformats.org/officeDocument/2006/relationships" r:embed="rId100">
          <a:extLst>
            <a:ext uri="{28A0092B-C50C-407E-A947-70E740481C1C}">
              <a14:useLocalDpi xmlns:a14="http://schemas.microsoft.com/office/drawing/2010/main" val="0"/>
            </a:ext>
          </a:extLst>
        </a:blip>
        <a:srcRect/>
        <a:stretch>
          <a:fillRect/>
        </a:stretch>
      </xdr:blipFill>
      <xdr:spPr bwMode="auto">
        <a:xfrm>
          <a:off x="1828800" y="30584775"/>
          <a:ext cx="342900" cy="34480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0</xdr:col>
      <xdr:colOff>0</xdr:colOff>
      <xdr:row>171</xdr:row>
      <xdr:rowOff>15240</xdr:rowOff>
    </xdr:from>
    <xdr:ext cx="304800" cy="291465"/>
    <xdr:pic>
      <xdr:nvPicPr>
        <xdr:cNvPr id="52" name="Picture 51">
          <a:hlinkClick xmlns:r="http://schemas.openxmlformats.org/officeDocument/2006/relationships" r:id="rId101"/>
          <a:extLst>
            <a:ext uri="{FF2B5EF4-FFF2-40B4-BE49-F238E27FC236}">
              <a16:creationId xmlns:a16="http://schemas.microsoft.com/office/drawing/2014/main" id="{BF6F1355-1C68-429B-A7AF-0623BA7E0FDD}"/>
            </a:ext>
          </a:extLst>
        </xdr:cNvPr>
        <xdr:cNvPicPr>
          <a:picLocks noChangeAspect="1" noChangeArrowheads="1"/>
        </xdr:cNvPicPr>
      </xdr:nvPicPr>
      <xdr:blipFill>
        <a:blip xmlns:r="http://schemas.openxmlformats.org/officeDocument/2006/relationships" r:embed="rId102">
          <a:extLst>
            <a:ext uri="{28A0092B-C50C-407E-A947-70E740481C1C}">
              <a14:useLocalDpi xmlns:a14="http://schemas.microsoft.com/office/drawing/2010/main" val="0"/>
            </a:ext>
          </a:extLst>
        </a:blip>
        <a:srcRect/>
        <a:stretch>
          <a:fillRect/>
        </a:stretch>
      </xdr:blipFill>
      <xdr:spPr bwMode="auto">
        <a:xfrm>
          <a:off x="0" y="30965775"/>
          <a:ext cx="304800" cy="29146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0</xdr:col>
      <xdr:colOff>0</xdr:colOff>
      <xdr:row>175</xdr:row>
      <xdr:rowOff>0</xdr:rowOff>
    </xdr:from>
    <xdr:ext cx="304800" cy="310515"/>
    <xdr:pic>
      <xdr:nvPicPr>
        <xdr:cNvPr id="53" name="Picture 52">
          <a:hlinkClick xmlns:r="http://schemas.openxmlformats.org/officeDocument/2006/relationships" r:id="rId103"/>
          <a:extLst>
            <a:ext uri="{FF2B5EF4-FFF2-40B4-BE49-F238E27FC236}">
              <a16:creationId xmlns:a16="http://schemas.microsoft.com/office/drawing/2014/main" id="{05312BE2-57F0-4A5F-B283-AC89F62DB5D5}"/>
            </a:ext>
          </a:extLst>
        </xdr:cNvPr>
        <xdr:cNvPicPr>
          <a:picLocks noChangeAspect="1" noChangeArrowheads="1"/>
        </xdr:cNvPicPr>
      </xdr:nvPicPr>
      <xdr:blipFill>
        <a:blip xmlns:r="http://schemas.openxmlformats.org/officeDocument/2006/relationships" r:embed="rId104">
          <a:extLst>
            <a:ext uri="{28A0092B-C50C-407E-A947-70E740481C1C}">
              <a14:useLocalDpi xmlns:a14="http://schemas.microsoft.com/office/drawing/2010/main" val="0"/>
            </a:ext>
          </a:extLst>
        </a:blip>
        <a:srcRect/>
        <a:stretch>
          <a:fillRect/>
        </a:stretch>
      </xdr:blipFill>
      <xdr:spPr bwMode="auto">
        <a:xfrm>
          <a:off x="0" y="31670625"/>
          <a:ext cx="304800" cy="31051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10</xdr:col>
      <xdr:colOff>0</xdr:colOff>
      <xdr:row>177</xdr:row>
      <xdr:rowOff>0</xdr:rowOff>
    </xdr:from>
    <xdr:ext cx="342900" cy="348615"/>
    <xdr:pic>
      <xdr:nvPicPr>
        <xdr:cNvPr id="54" name="Picture 53">
          <a:hlinkClick xmlns:r="http://schemas.openxmlformats.org/officeDocument/2006/relationships" r:id="rId105"/>
          <a:extLst>
            <a:ext uri="{FF2B5EF4-FFF2-40B4-BE49-F238E27FC236}">
              <a16:creationId xmlns:a16="http://schemas.microsoft.com/office/drawing/2014/main" id="{29F45EE2-B616-4EC3-838A-E3A10B8A5979}"/>
            </a:ext>
          </a:extLst>
        </xdr:cNvPr>
        <xdr:cNvPicPr>
          <a:picLocks noChangeAspect="1" noChangeArrowheads="1"/>
        </xdr:cNvPicPr>
      </xdr:nvPicPr>
      <xdr:blipFill>
        <a:blip xmlns:r="http://schemas.openxmlformats.org/officeDocument/2006/relationships" r:embed="rId106">
          <a:extLst>
            <a:ext uri="{28A0092B-C50C-407E-A947-70E740481C1C}">
              <a14:useLocalDpi xmlns:a14="http://schemas.microsoft.com/office/drawing/2010/main" val="0"/>
            </a:ext>
          </a:extLst>
        </a:blip>
        <a:srcRect/>
        <a:stretch>
          <a:fillRect/>
        </a:stretch>
      </xdr:blipFill>
      <xdr:spPr bwMode="auto">
        <a:xfrm>
          <a:off x="1828800" y="32032575"/>
          <a:ext cx="342900" cy="34861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0</xdr:col>
      <xdr:colOff>0</xdr:colOff>
      <xdr:row>180</xdr:row>
      <xdr:rowOff>15240</xdr:rowOff>
    </xdr:from>
    <xdr:ext cx="304800" cy="291465"/>
    <xdr:pic>
      <xdr:nvPicPr>
        <xdr:cNvPr id="55" name="Picture 54">
          <a:hlinkClick xmlns:r="http://schemas.openxmlformats.org/officeDocument/2006/relationships" r:id="rId107"/>
          <a:extLst>
            <a:ext uri="{FF2B5EF4-FFF2-40B4-BE49-F238E27FC236}">
              <a16:creationId xmlns:a16="http://schemas.microsoft.com/office/drawing/2014/main" id="{BCC4CFCB-8541-4087-8977-0D42DC2393EF}"/>
            </a:ext>
          </a:extLst>
        </xdr:cNvPr>
        <xdr:cNvPicPr>
          <a:picLocks noChangeAspect="1" noChangeArrowheads="1"/>
        </xdr:cNvPicPr>
      </xdr:nvPicPr>
      <xdr:blipFill>
        <a:blip xmlns:r="http://schemas.openxmlformats.org/officeDocument/2006/relationships" r:embed="rId108">
          <a:extLst>
            <a:ext uri="{28A0092B-C50C-407E-A947-70E740481C1C}">
              <a14:useLocalDpi xmlns:a14="http://schemas.microsoft.com/office/drawing/2010/main" val="0"/>
            </a:ext>
          </a:extLst>
        </a:blip>
        <a:srcRect/>
        <a:stretch>
          <a:fillRect/>
        </a:stretch>
      </xdr:blipFill>
      <xdr:spPr bwMode="auto">
        <a:xfrm>
          <a:off x="0" y="32594550"/>
          <a:ext cx="304800" cy="29146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14</xdr:col>
      <xdr:colOff>0</xdr:colOff>
      <xdr:row>0</xdr:row>
      <xdr:rowOff>0</xdr:rowOff>
    </xdr:from>
    <xdr:ext cx="190500" cy="190500"/>
    <xdr:pic>
      <xdr:nvPicPr>
        <xdr:cNvPr id="56" name="Picture 55">
          <a:hlinkClick xmlns:r="http://schemas.openxmlformats.org/officeDocument/2006/relationships" r:id="rId1"/>
          <a:extLst>
            <a:ext uri="{FF2B5EF4-FFF2-40B4-BE49-F238E27FC236}">
              <a16:creationId xmlns:a16="http://schemas.microsoft.com/office/drawing/2014/main" id="{3B09192A-2DD6-4375-9369-D5B9AE2958A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267200" y="0"/>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0</xdr:col>
      <xdr:colOff>0</xdr:colOff>
      <xdr:row>185</xdr:row>
      <xdr:rowOff>0</xdr:rowOff>
    </xdr:from>
    <xdr:ext cx="304800" cy="304800"/>
    <xdr:pic>
      <xdr:nvPicPr>
        <xdr:cNvPr id="57" name="Picture 56">
          <a:hlinkClick xmlns:r="http://schemas.openxmlformats.org/officeDocument/2006/relationships" r:id="rId109"/>
          <a:extLst>
            <a:ext uri="{FF2B5EF4-FFF2-40B4-BE49-F238E27FC236}">
              <a16:creationId xmlns:a16="http://schemas.microsoft.com/office/drawing/2014/main" id="{652F7AE2-B6E3-468E-98A6-F6027F24E1AA}"/>
            </a:ext>
          </a:extLst>
        </xdr:cNvPr>
        <xdr:cNvPicPr>
          <a:picLocks noChangeAspect="1" noChangeArrowheads="1"/>
        </xdr:cNvPicPr>
      </xdr:nvPicPr>
      <xdr:blipFill>
        <a:blip xmlns:r="http://schemas.openxmlformats.org/officeDocument/2006/relationships" r:embed="rId110">
          <a:extLst>
            <a:ext uri="{28A0092B-C50C-407E-A947-70E740481C1C}">
              <a14:useLocalDpi xmlns:a14="http://schemas.microsoft.com/office/drawing/2010/main" val="0"/>
            </a:ext>
          </a:extLst>
        </a:blip>
        <a:srcRect/>
        <a:stretch>
          <a:fillRect/>
        </a:stretch>
      </xdr:blipFill>
      <xdr:spPr bwMode="auto">
        <a:xfrm>
          <a:off x="0" y="33480375"/>
          <a:ext cx="304800" cy="3048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0</xdr:col>
      <xdr:colOff>0</xdr:colOff>
      <xdr:row>186</xdr:row>
      <xdr:rowOff>167640</xdr:rowOff>
    </xdr:from>
    <xdr:ext cx="304800" cy="300990"/>
    <xdr:pic>
      <xdr:nvPicPr>
        <xdr:cNvPr id="58" name="Picture 57">
          <a:hlinkClick xmlns:r="http://schemas.openxmlformats.org/officeDocument/2006/relationships" r:id="rId109"/>
          <a:extLst>
            <a:ext uri="{FF2B5EF4-FFF2-40B4-BE49-F238E27FC236}">
              <a16:creationId xmlns:a16="http://schemas.microsoft.com/office/drawing/2014/main" id="{1D7C17EA-B17B-49CC-B194-B0ABAA27A75C}"/>
            </a:ext>
          </a:extLst>
        </xdr:cNvPr>
        <xdr:cNvPicPr>
          <a:picLocks noChangeAspect="1" noChangeArrowheads="1"/>
        </xdr:cNvPicPr>
      </xdr:nvPicPr>
      <xdr:blipFill>
        <a:blip xmlns:r="http://schemas.openxmlformats.org/officeDocument/2006/relationships" r:embed="rId110">
          <a:extLst>
            <a:ext uri="{28A0092B-C50C-407E-A947-70E740481C1C}">
              <a14:useLocalDpi xmlns:a14="http://schemas.microsoft.com/office/drawing/2010/main" val="0"/>
            </a:ext>
          </a:extLst>
        </a:blip>
        <a:srcRect/>
        <a:stretch>
          <a:fillRect/>
        </a:stretch>
      </xdr:blipFill>
      <xdr:spPr bwMode="auto">
        <a:xfrm>
          <a:off x="0" y="33832800"/>
          <a:ext cx="304800" cy="30099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10</xdr:col>
      <xdr:colOff>0</xdr:colOff>
      <xdr:row>186</xdr:row>
      <xdr:rowOff>167640</xdr:rowOff>
    </xdr:from>
    <xdr:ext cx="342900" cy="339090"/>
    <xdr:pic>
      <xdr:nvPicPr>
        <xdr:cNvPr id="59" name="Picture 58">
          <a:hlinkClick xmlns:r="http://schemas.openxmlformats.org/officeDocument/2006/relationships" r:id="rId111"/>
          <a:extLst>
            <a:ext uri="{FF2B5EF4-FFF2-40B4-BE49-F238E27FC236}">
              <a16:creationId xmlns:a16="http://schemas.microsoft.com/office/drawing/2014/main" id="{9122DD97-D327-4A5B-8FEF-099A39B2A94B}"/>
            </a:ext>
          </a:extLst>
        </xdr:cNvPr>
        <xdr:cNvPicPr>
          <a:picLocks noChangeAspect="1" noChangeArrowheads="1"/>
        </xdr:cNvPicPr>
      </xdr:nvPicPr>
      <xdr:blipFill>
        <a:blip xmlns:r="http://schemas.openxmlformats.org/officeDocument/2006/relationships" r:embed="rId112">
          <a:extLst>
            <a:ext uri="{28A0092B-C50C-407E-A947-70E740481C1C}">
              <a14:useLocalDpi xmlns:a14="http://schemas.microsoft.com/office/drawing/2010/main" val="0"/>
            </a:ext>
          </a:extLst>
        </a:blip>
        <a:srcRect/>
        <a:stretch>
          <a:fillRect/>
        </a:stretch>
      </xdr:blipFill>
      <xdr:spPr bwMode="auto">
        <a:xfrm>
          <a:off x="1828800" y="33832800"/>
          <a:ext cx="342900" cy="33909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0</xdr:col>
      <xdr:colOff>0</xdr:colOff>
      <xdr:row>188</xdr:row>
      <xdr:rowOff>106680</xdr:rowOff>
    </xdr:from>
    <xdr:ext cx="304800" cy="297180"/>
    <xdr:pic>
      <xdr:nvPicPr>
        <xdr:cNvPr id="60" name="Picture 59">
          <a:hlinkClick xmlns:r="http://schemas.openxmlformats.org/officeDocument/2006/relationships" r:id="rId109"/>
          <a:extLst>
            <a:ext uri="{FF2B5EF4-FFF2-40B4-BE49-F238E27FC236}">
              <a16:creationId xmlns:a16="http://schemas.microsoft.com/office/drawing/2014/main" id="{3D08F10C-37E0-4A10-A5EA-0DB821B8FCFA}"/>
            </a:ext>
          </a:extLst>
        </xdr:cNvPr>
        <xdr:cNvPicPr>
          <a:picLocks noChangeAspect="1" noChangeArrowheads="1"/>
        </xdr:cNvPicPr>
      </xdr:nvPicPr>
      <xdr:blipFill>
        <a:blip xmlns:r="http://schemas.openxmlformats.org/officeDocument/2006/relationships" r:embed="rId110">
          <a:extLst>
            <a:ext uri="{28A0092B-C50C-407E-A947-70E740481C1C}">
              <a14:useLocalDpi xmlns:a14="http://schemas.microsoft.com/office/drawing/2010/main" val="0"/>
            </a:ext>
          </a:extLst>
        </a:blip>
        <a:srcRect/>
        <a:stretch>
          <a:fillRect/>
        </a:stretch>
      </xdr:blipFill>
      <xdr:spPr bwMode="auto">
        <a:xfrm>
          <a:off x="0" y="34128075"/>
          <a:ext cx="304800" cy="29718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0</xdr:col>
      <xdr:colOff>0</xdr:colOff>
      <xdr:row>189</xdr:row>
      <xdr:rowOff>350520</xdr:rowOff>
    </xdr:from>
    <xdr:ext cx="304800" cy="314325"/>
    <xdr:pic>
      <xdr:nvPicPr>
        <xdr:cNvPr id="61" name="Picture 60">
          <a:hlinkClick xmlns:r="http://schemas.openxmlformats.org/officeDocument/2006/relationships" r:id="rId109"/>
          <a:extLst>
            <a:ext uri="{FF2B5EF4-FFF2-40B4-BE49-F238E27FC236}">
              <a16:creationId xmlns:a16="http://schemas.microsoft.com/office/drawing/2014/main" id="{AE074413-615C-4D56-962D-1CAC5433EBB6}"/>
            </a:ext>
          </a:extLst>
        </xdr:cNvPr>
        <xdr:cNvPicPr>
          <a:picLocks noChangeAspect="1" noChangeArrowheads="1"/>
        </xdr:cNvPicPr>
      </xdr:nvPicPr>
      <xdr:blipFill>
        <a:blip xmlns:r="http://schemas.openxmlformats.org/officeDocument/2006/relationships" r:embed="rId110">
          <a:extLst>
            <a:ext uri="{28A0092B-C50C-407E-A947-70E740481C1C}">
              <a14:useLocalDpi xmlns:a14="http://schemas.microsoft.com/office/drawing/2010/main" val="0"/>
            </a:ext>
          </a:extLst>
        </a:blip>
        <a:srcRect/>
        <a:stretch>
          <a:fillRect/>
        </a:stretch>
      </xdr:blipFill>
      <xdr:spPr bwMode="auto">
        <a:xfrm>
          <a:off x="0" y="34385250"/>
          <a:ext cx="304800" cy="3143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0</xdr:col>
      <xdr:colOff>0</xdr:colOff>
      <xdr:row>189</xdr:row>
      <xdr:rowOff>708660</xdr:rowOff>
    </xdr:from>
    <xdr:ext cx="304800" cy="323850"/>
    <xdr:pic>
      <xdr:nvPicPr>
        <xdr:cNvPr id="62" name="Picture 61">
          <a:hlinkClick xmlns:r="http://schemas.openxmlformats.org/officeDocument/2006/relationships" r:id="rId113"/>
          <a:extLst>
            <a:ext uri="{FF2B5EF4-FFF2-40B4-BE49-F238E27FC236}">
              <a16:creationId xmlns:a16="http://schemas.microsoft.com/office/drawing/2014/main" id="{42CC6116-F094-4AAC-B4DE-7F08889DF251}"/>
            </a:ext>
          </a:extLst>
        </xdr:cNvPr>
        <xdr:cNvPicPr>
          <a:picLocks noChangeAspect="1" noChangeArrowheads="1"/>
        </xdr:cNvPicPr>
      </xdr:nvPicPr>
      <xdr:blipFill>
        <a:blip xmlns:r="http://schemas.openxmlformats.org/officeDocument/2006/relationships" r:embed="rId114">
          <a:extLst>
            <a:ext uri="{28A0092B-C50C-407E-A947-70E740481C1C}">
              <a14:useLocalDpi xmlns:a14="http://schemas.microsoft.com/office/drawing/2010/main" val="0"/>
            </a:ext>
          </a:extLst>
        </a:blip>
        <a:srcRect/>
        <a:stretch>
          <a:fillRect/>
        </a:stretch>
      </xdr:blipFill>
      <xdr:spPr bwMode="auto">
        <a:xfrm>
          <a:off x="0" y="34385250"/>
          <a:ext cx="304800" cy="32385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10</xdr:col>
      <xdr:colOff>0</xdr:colOff>
      <xdr:row>189</xdr:row>
      <xdr:rowOff>708660</xdr:rowOff>
    </xdr:from>
    <xdr:ext cx="342900" cy="361950"/>
    <xdr:pic>
      <xdr:nvPicPr>
        <xdr:cNvPr id="63" name="Picture 62">
          <a:hlinkClick xmlns:r="http://schemas.openxmlformats.org/officeDocument/2006/relationships" r:id="rId115"/>
          <a:extLst>
            <a:ext uri="{FF2B5EF4-FFF2-40B4-BE49-F238E27FC236}">
              <a16:creationId xmlns:a16="http://schemas.microsoft.com/office/drawing/2014/main" id="{EFD85FCC-9A87-41B3-AAE7-FBFB9B593920}"/>
            </a:ext>
          </a:extLst>
        </xdr:cNvPr>
        <xdr:cNvPicPr>
          <a:picLocks noChangeAspect="1" noChangeArrowheads="1"/>
        </xdr:cNvPicPr>
      </xdr:nvPicPr>
      <xdr:blipFill>
        <a:blip xmlns:r="http://schemas.openxmlformats.org/officeDocument/2006/relationships" r:embed="rId116">
          <a:extLst>
            <a:ext uri="{28A0092B-C50C-407E-A947-70E740481C1C}">
              <a14:useLocalDpi xmlns:a14="http://schemas.microsoft.com/office/drawing/2010/main" val="0"/>
            </a:ext>
          </a:extLst>
        </a:blip>
        <a:srcRect/>
        <a:stretch>
          <a:fillRect/>
        </a:stretch>
      </xdr:blipFill>
      <xdr:spPr bwMode="auto">
        <a:xfrm>
          <a:off x="1828800" y="34385250"/>
          <a:ext cx="342900" cy="36195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0</xdr:col>
      <xdr:colOff>0</xdr:colOff>
      <xdr:row>190</xdr:row>
      <xdr:rowOff>914400</xdr:rowOff>
    </xdr:from>
    <xdr:ext cx="304800" cy="304800"/>
    <xdr:pic>
      <xdr:nvPicPr>
        <xdr:cNvPr id="64" name="Picture 63">
          <a:hlinkClick xmlns:r="http://schemas.openxmlformats.org/officeDocument/2006/relationships" r:id="rId117"/>
          <a:extLst>
            <a:ext uri="{FF2B5EF4-FFF2-40B4-BE49-F238E27FC236}">
              <a16:creationId xmlns:a16="http://schemas.microsoft.com/office/drawing/2014/main" id="{F2CB05E2-797C-4604-B75D-9A9CCAFB11EB}"/>
            </a:ext>
          </a:extLst>
        </xdr:cNvPr>
        <xdr:cNvPicPr>
          <a:picLocks noChangeAspect="1" noChangeArrowheads="1"/>
        </xdr:cNvPicPr>
      </xdr:nvPicPr>
      <xdr:blipFill>
        <a:blip xmlns:r="http://schemas.openxmlformats.org/officeDocument/2006/relationships" r:embed="rId118">
          <a:extLst>
            <a:ext uri="{28A0092B-C50C-407E-A947-70E740481C1C}">
              <a14:useLocalDpi xmlns:a14="http://schemas.microsoft.com/office/drawing/2010/main" val="0"/>
            </a:ext>
          </a:extLst>
        </a:blip>
        <a:srcRect/>
        <a:stretch>
          <a:fillRect/>
        </a:stretch>
      </xdr:blipFill>
      <xdr:spPr bwMode="auto">
        <a:xfrm>
          <a:off x="0" y="34566225"/>
          <a:ext cx="304800" cy="3048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0</xdr:col>
      <xdr:colOff>0</xdr:colOff>
      <xdr:row>192</xdr:row>
      <xdr:rowOff>297180</xdr:rowOff>
    </xdr:from>
    <xdr:ext cx="304800" cy="297180"/>
    <xdr:pic>
      <xdr:nvPicPr>
        <xdr:cNvPr id="65" name="Picture 64">
          <a:hlinkClick xmlns:r="http://schemas.openxmlformats.org/officeDocument/2006/relationships" r:id="rId119"/>
          <a:extLst>
            <a:ext uri="{FF2B5EF4-FFF2-40B4-BE49-F238E27FC236}">
              <a16:creationId xmlns:a16="http://schemas.microsoft.com/office/drawing/2014/main" id="{A05DBCE6-6CCE-4C3A-9D6D-E90C87E96B80}"/>
            </a:ext>
          </a:extLst>
        </xdr:cNvPr>
        <xdr:cNvPicPr>
          <a:picLocks noChangeAspect="1" noChangeArrowheads="1"/>
        </xdr:cNvPicPr>
      </xdr:nvPicPr>
      <xdr:blipFill>
        <a:blip xmlns:r="http://schemas.openxmlformats.org/officeDocument/2006/relationships" r:embed="rId120">
          <a:extLst>
            <a:ext uri="{28A0092B-C50C-407E-A947-70E740481C1C}">
              <a14:useLocalDpi xmlns:a14="http://schemas.microsoft.com/office/drawing/2010/main" val="0"/>
            </a:ext>
          </a:extLst>
        </a:blip>
        <a:srcRect/>
        <a:stretch>
          <a:fillRect/>
        </a:stretch>
      </xdr:blipFill>
      <xdr:spPr bwMode="auto">
        <a:xfrm>
          <a:off x="0" y="34928175"/>
          <a:ext cx="304800" cy="29718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0</xdr:col>
      <xdr:colOff>0</xdr:colOff>
      <xdr:row>193</xdr:row>
      <xdr:rowOff>327660</xdr:rowOff>
    </xdr:from>
    <xdr:ext cx="304800" cy="300990"/>
    <xdr:pic>
      <xdr:nvPicPr>
        <xdr:cNvPr id="66" name="Picture 65">
          <a:hlinkClick xmlns:r="http://schemas.openxmlformats.org/officeDocument/2006/relationships" r:id="rId119"/>
          <a:extLst>
            <a:ext uri="{FF2B5EF4-FFF2-40B4-BE49-F238E27FC236}">
              <a16:creationId xmlns:a16="http://schemas.microsoft.com/office/drawing/2014/main" id="{A8A58AA8-F40B-4306-8833-D17AB23FC8DD}"/>
            </a:ext>
          </a:extLst>
        </xdr:cNvPr>
        <xdr:cNvPicPr>
          <a:picLocks noChangeAspect="1" noChangeArrowheads="1"/>
        </xdr:cNvPicPr>
      </xdr:nvPicPr>
      <xdr:blipFill>
        <a:blip xmlns:r="http://schemas.openxmlformats.org/officeDocument/2006/relationships" r:embed="rId120">
          <a:extLst>
            <a:ext uri="{28A0092B-C50C-407E-A947-70E740481C1C}">
              <a14:useLocalDpi xmlns:a14="http://schemas.microsoft.com/office/drawing/2010/main" val="0"/>
            </a:ext>
          </a:extLst>
        </a:blip>
        <a:srcRect/>
        <a:stretch>
          <a:fillRect/>
        </a:stretch>
      </xdr:blipFill>
      <xdr:spPr bwMode="auto">
        <a:xfrm>
          <a:off x="0" y="35109150"/>
          <a:ext cx="304800" cy="30099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10</xdr:col>
      <xdr:colOff>0</xdr:colOff>
      <xdr:row>193</xdr:row>
      <xdr:rowOff>327660</xdr:rowOff>
    </xdr:from>
    <xdr:ext cx="342900" cy="339090"/>
    <xdr:pic>
      <xdr:nvPicPr>
        <xdr:cNvPr id="67" name="Picture 66">
          <a:hlinkClick xmlns:r="http://schemas.openxmlformats.org/officeDocument/2006/relationships" r:id="rId121"/>
          <a:extLst>
            <a:ext uri="{FF2B5EF4-FFF2-40B4-BE49-F238E27FC236}">
              <a16:creationId xmlns:a16="http://schemas.microsoft.com/office/drawing/2014/main" id="{254F3FB7-7D78-45CA-B57D-007798AED68C}"/>
            </a:ext>
          </a:extLst>
        </xdr:cNvPr>
        <xdr:cNvPicPr>
          <a:picLocks noChangeAspect="1" noChangeArrowheads="1"/>
        </xdr:cNvPicPr>
      </xdr:nvPicPr>
      <xdr:blipFill>
        <a:blip xmlns:r="http://schemas.openxmlformats.org/officeDocument/2006/relationships" r:embed="rId122">
          <a:extLst>
            <a:ext uri="{28A0092B-C50C-407E-A947-70E740481C1C}">
              <a14:useLocalDpi xmlns:a14="http://schemas.microsoft.com/office/drawing/2010/main" val="0"/>
            </a:ext>
          </a:extLst>
        </a:blip>
        <a:srcRect/>
        <a:stretch>
          <a:fillRect/>
        </a:stretch>
      </xdr:blipFill>
      <xdr:spPr bwMode="auto">
        <a:xfrm>
          <a:off x="1828800" y="35109150"/>
          <a:ext cx="342900" cy="33909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0</xdr:col>
      <xdr:colOff>0</xdr:colOff>
      <xdr:row>194</xdr:row>
      <xdr:rowOff>167640</xdr:rowOff>
    </xdr:from>
    <xdr:ext cx="304800" cy="300990"/>
    <xdr:pic>
      <xdr:nvPicPr>
        <xdr:cNvPr id="68" name="Picture 67">
          <a:hlinkClick xmlns:r="http://schemas.openxmlformats.org/officeDocument/2006/relationships" r:id="rId119"/>
          <a:extLst>
            <a:ext uri="{FF2B5EF4-FFF2-40B4-BE49-F238E27FC236}">
              <a16:creationId xmlns:a16="http://schemas.microsoft.com/office/drawing/2014/main" id="{7BCAC9BC-7BAA-42C2-A2EC-93FCEBA7EF9D}"/>
            </a:ext>
          </a:extLst>
        </xdr:cNvPr>
        <xdr:cNvPicPr>
          <a:picLocks noChangeAspect="1" noChangeArrowheads="1"/>
        </xdr:cNvPicPr>
      </xdr:nvPicPr>
      <xdr:blipFill>
        <a:blip xmlns:r="http://schemas.openxmlformats.org/officeDocument/2006/relationships" r:embed="rId120">
          <a:extLst>
            <a:ext uri="{28A0092B-C50C-407E-A947-70E740481C1C}">
              <a14:useLocalDpi xmlns:a14="http://schemas.microsoft.com/office/drawing/2010/main" val="0"/>
            </a:ext>
          </a:extLst>
        </a:blip>
        <a:srcRect/>
        <a:stretch>
          <a:fillRect/>
        </a:stretch>
      </xdr:blipFill>
      <xdr:spPr bwMode="auto">
        <a:xfrm>
          <a:off x="0" y="35280600"/>
          <a:ext cx="304800" cy="30099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10</xdr:col>
      <xdr:colOff>0</xdr:colOff>
      <xdr:row>194</xdr:row>
      <xdr:rowOff>167640</xdr:rowOff>
    </xdr:from>
    <xdr:ext cx="342900" cy="339090"/>
    <xdr:pic>
      <xdr:nvPicPr>
        <xdr:cNvPr id="69" name="Picture 68">
          <a:hlinkClick xmlns:r="http://schemas.openxmlformats.org/officeDocument/2006/relationships" r:id="rId123"/>
          <a:extLst>
            <a:ext uri="{FF2B5EF4-FFF2-40B4-BE49-F238E27FC236}">
              <a16:creationId xmlns:a16="http://schemas.microsoft.com/office/drawing/2014/main" id="{DBCD4C6A-70F4-4434-A290-D01BD55DADD2}"/>
            </a:ext>
          </a:extLst>
        </xdr:cNvPr>
        <xdr:cNvPicPr>
          <a:picLocks noChangeAspect="1" noChangeArrowheads="1"/>
        </xdr:cNvPicPr>
      </xdr:nvPicPr>
      <xdr:blipFill>
        <a:blip xmlns:r="http://schemas.openxmlformats.org/officeDocument/2006/relationships" r:embed="rId124">
          <a:extLst>
            <a:ext uri="{28A0092B-C50C-407E-A947-70E740481C1C}">
              <a14:useLocalDpi xmlns:a14="http://schemas.microsoft.com/office/drawing/2010/main" val="0"/>
            </a:ext>
          </a:extLst>
        </a:blip>
        <a:srcRect/>
        <a:stretch>
          <a:fillRect/>
        </a:stretch>
      </xdr:blipFill>
      <xdr:spPr bwMode="auto">
        <a:xfrm>
          <a:off x="1828800" y="35280600"/>
          <a:ext cx="342900" cy="33909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0</xdr:col>
      <xdr:colOff>0</xdr:colOff>
      <xdr:row>195</xdr:row>
      <xdr:rowOff>876300</xdr:rowOff>
    </xdr:from>
    <xdr:ext cx="304800" cy="314325"/>
    <xdr:pic>
      <xdr:nvPicPr>
        <xdr:cNvPr id="70" name="Picture 69">
          <a:hlinkClick xmlns:r="http://schemas.openxmlformats.org/officeDocument/2006/relationships" r:id="rId119"/>
          <a:extLst>
            <a:ext uri="{FF2B5EF4-FFF2-40B4-BE49-F238E27FC236}">
              <a16:creationId xmlns:a16="http://schemas.microsoft.com/office/drawing/2014/main" id="{B679CBD0-1D31-4AA0-81B1-12DF4D664957}"/>
            </a:ext>
          </a:extLst>
        </xdr:cNvPr>
        <xdr:cNvPicPr>
          <a:picLocks noChangeAspect="1" noChangeArrowheads="1"/>
        </xdr:cNvPicPr>
      </xdr:nvPicPr>
      <xdr:blipFill>
        <a:blip xmlns:r="http://schemas.openxmlformats.org/officeDocument/2006/relationships" r:embed="rId120">
          <a:extLst>
            <a:ext uri="{28A0092B-C50C-407E-A947-70E740481C1C}">
              <a14:useLocalDpi xmlns:a14="http://schemas.microsoft.com/office/drawing/2010/main" val="0"/>
            </a:ext>
          </a:extLst>
        </a:blip>
        <a:srcRect/>
        <a:stretch>
          <a:fillRect/>
        </a:stretch>
      </xdr:blipFill>
      <xdr:spPr bwMode="auto">
        <a:xfrm>
          <a:off x="0" y="35471100"/>
          <a:ext cx="304800" cy="3143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10</xdr:col>
      <xdr:colOff>0</xdr:colOff>
      <xdr:row>195</xdr:row>
      <xdr:rowOff>876300</xdr:rowOff>
    </xdr:from>
    <xdr:ext cx="342900" cy="352425"/>
    <xdr:pic>
      <xdr:nvPicPr>
        <xdr:cNvPr id="71" name="Picture 70">
          <a:hlinkClick xmlns:r="http://schemas.openxmlformats.org/officeDocument/2006/relationships" r:id="rId125"/>
          <a:extLst>
            <a:ext uri="{FF2B5EF4-FFF2-40B4-BE49-F238E27FC236}">
              <a16:creationId xmlns:a16="http://schemas.microsoft.com/office/drawing/2014/main" id="{ACB12B69-0796-4396-AD17-52FE6B773C7F}"/>
            </a:ext>
          </a:extLst>
        </xdr:cNvPr>
        <xdr:cNvPicPr>
          <a:picLocks noChangeAspect="1" noChangeArrowheads="1"/>
        </xdr:cNvPicPr>
      </xdr:nvPicPr>
      <xdr:blipFill>
        <a:blip xmlns:r="http://schemas.openxmlformats.org/officeDocument/2006/relationships" r:embed="rId126">
          <a:extLst>
            <a:ext uri="{28A0092B-C50C-407E-A947-70E740481C1C}">
              <a14:useLocalDpi xmlns:a14="http://schemas.microsoft.com/office/drawing/2010/main" val="0"/>
            </a:ext>
          </a:extLst>
        </a:blip>
        <a:srcRect/>
        <a:stretch>
          <a:fillRect/>
        </a:stretch>
      </xdr:blipFill>
      <xdr:spPr bwMode="auto">
        <a:xfrm>
          <a:off x="1828800" y="35471100"/>
          <a:ext cx="342900" cy="3524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0</xdr:col>
      <xdr:colOff>0</xdr:colOff>
      <xdr:row>197</xdr:row>
      <xdr:rowOff>15240</xdr:rowOff>
    </xdr:from>
    <xdr:ext cx="304800" cy="300990"/>
    <xdr:pic>
      <xdr:nvPicPr>
        <xdr:cNvPr id="72" name="Picture 71">
          <a:hlinkClick xmlns:r="http://schemas.openxmlformats.org/officeDocument/2006/relationships" r:id="rId127"/>
          <a:extLst>
            <a:ext uri="{FF2B5EF4-FFF2-40B4-BE49-F238E27FC236}">
              <a16:creationId xmlns:a16="http://schemas.microsoft.com/office/drawing/2014/main" id="{D5A3BF94-DE20-4CC0-8E6C-58FFDB138B7E}"/>
            </a:ext>
          </a:extLst>
        </xdr:cNvPr>
        <xdr:cNvPicPr>
          <a:picLocks noChangeAspect="1" noChangeArrowheads="1"/>
        </xdr:cNvPicPr>
      </xdr:nvPicPr>
      <xdr:blipFill>
        <a:blip xmlns:r="http://schemas.openxmlformats.org/officeDocument/2006/relationships" r:embed="rId128">
          <a:extLst>
            <a:ext uri="{28A0092B-C50C-407E-A947-70E740481C1C}">
              <a14:useLocalDpi xmlns:a14="http://schemas.microsoft.com/office/drawing/2010/main" val="0"/>
            </a:ext>
          </a:extLst>
        </a:blip>
        <a:srcRect/>
        <a:stretch>
          <a:fillRect/>
        </a:stretch>
      </xdr:blipFill>
      <xdr:spPr bwMode="auto">
        <a:xfrm>
          <a:off x="0" y="35671125"/>
          <a:ext cx="304800" cy="30099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0</xdr:col>
      <xdr:colOff>0</xdr:colOff>
      <xdr:row>198</xdr:row>
      <xdr:rowOff>312420</xdr:rowOff>
    </xdr:from>
    <xdr:ext cx="304800" cy="314325"/>
    <xdr:pic>
      <xdr:nvPicPr>
        <xdr:cNvPr id="73" name="Picture 72">
          <a:hlinkClick xmlns:r="http://schemas.openxmlformats.org/officeDocument/2006/relationships" r:id="rId127"/>
          <a:extLst>
            <a:ext uri="{FF2B5EF4-FFF2-40B4-BE49-F238E27FC236}">
              <a16:creationId xmlns:a16="http://schemas.microsoft.com/office/drawing/2014/main" id="{990EA9AE-059E-494D-B216-926C984AD85B}"/>
            </a:ext>
          </a:extLst>
        </xdr:cNvPr>
        <xdr:cNvPicPr>
          <a:picLocks noChangeAspect="1" noChangeArrowheads="1"/>
        </xdr:cNvPicPr>
      </xdr:nvPicPr>
      <xdr:blipFill>
        <a:blip xmlns:r="http://schemas.openxmlformats.org/officeDocument/2006/relationships" r:embed="rId128">
          <a:extLst>
            <a:ext uri="{28A0092B-C50C-407E-A947-70E740481C1C}">
              <a14:useLocalDpi xmlns:a14="http://schemas.microsoft.com/office/drawing/2010/main" val="0"/>
            </a:ext>
          </a:extLst>
        </a:blip>
        <a:srcRect/>
        <a:stretch>
          <a:fillRect/>
        </a:stretch>
      </xdr:blipFill>
      <xdr:spPr bwMode="auto">
        <a:xfrm>
          <a:off x="0" y="36014025"/>
          <a:ext cx="304800" cy="3143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10</xdr:col>
      <xdr:colOff>0</xdr:colOff>
      <xdr:row>198</xdr:row>
      <xdr:rowOff>312420</xdr:rowOff>
    </xdr:from>
    <xdr:ext cx="342900" cy="352425"/>
    <xdr:pic>
      <xdr:nvPicPr>
        <xdr:cNvPr id="74" name="Picture 73">
          <a:hlinkClick xmlns:r="http://schemas.openxmlformats.org/officeDocument/2006/relationships" r:id="rId129"/>
          <a:extLst>
            <a:ext uri="{FF2B5EF4-FFF2-40B4-BE49-F238E27FC236}">
              <a16:creationId xmlns:a16="http://schemas.microsoft.com/office/drawing/2014/main" id="{E895F823-4708-4812-8883-FA1153975C92}"/>
            </a:ext>
          </a:extLst>
        </xdr:cNvPr>
        <xdr:cNvPicPr>
          <a:picLocks noChangeAspect="1" noChangeArrowheads="1"/>
        </xdr:cNvPicPr>
      </xdr:nvPicPr>
      <xdr:blipFill>
        <a:blip xmlns:r="http://schemas.openxmlformats.org/officeDocument/2006/relationships" r:embed="rId130">
          <a:extLst>
            <a:ext uri="{28A0092B-C50C-407E-A947-70E740481C1C}">
              <a14:useLocalDpi xmlns:a14="http://schemas.microsoft.com/office/drawing/2010/main" val="0"/>
            </a:ext>
          </a:extLst>
        </a:blip>
        <a:srcRect/>
        <a:stretch>
          <a:fillRect/>
        </a:stretch>
      </xdr:blipFill>
      <xdr:spPr bwMode="auto">
        <a:xfrm>
          <a:off x="1828800" y="36014025"/>
          <a:ext cx="342900" cy="3524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0</xdr:col>
      <xdr:colOff>0</xdr:colOff>
      <xdr:row>198</xdr:row>
      <xdr:rowOff>0</xdr:rowOff>
    </xdr:from>
    <xdr:ext cx="304800" cy="304800"/>
    <xdr:pic>
      <xdr:nvPicPr>
        <xdr:cNvPr id="75" name="Picture 74">
          <a:hlinkClick xmlns:r="http://schemas.openxmlformats.org/officeDocument/2006/relationships" r:id="rId131"/>
          <a:extLst>
            <a:ext uri="{FF2B5EF4-FFF2-40B4-BE49-F238E27FC236}">
              <a16:creationId xmlns:a16="http://schemas.microsoft.com/office/drawing/2014/main" id="{CF5B3895-51A0-4482-B35B-18B4706EDBAB}"/>
            </a:ext>
          </a:extLst>
        </xdr:cNvPr>
        <xdr:cNvPicPr>
          <a:picLocks noChangeAspect="1" noChangeArrowheads="1"/>
        </xdr:cNvPicPr>
      </xdr:nvPicPr>
      <xdr:blipFill>
        <a:blip xmlns:r="http://schemas.openxmlformats.org/officeDocument/2006/relationships" r:embed="rId132">
          <a:extLst>
            <a:ext uri="{28A0092B-C50C-407E-A947-70E740481C1C}">
              <a14:useLocalDpi xmlns:a14="http://schemas.microsoft.com/office/drawing/2010/main" val="0"/>
            </a:ext>
          </a:extLst>
        </a:blip>
        <a:srcRect/>
        <a:stretch>
          <a:fillRect/>
        </a:stretch>
      </xdr:blipFill>
      <xdr:spPr bwMode="auto">
        <a:xfrm>
          <a:off x="0" y="35833050"/>
          <a:ext cx="304800" cy="3048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10</xdr:col>
      <xdr:colOff>0</xdr:colOff>
      <xdr:row>198</xdr:row>
      <xdr:rowOff>0</xdr:rowOff>
    </xdr:from>
    <xdr:ext cx="342900" cy="342900"/>
    <xdr:pic>
      <xdr:nvPicPr>
        <xdr:cNvPr id="76" name="Picture 75">
          <a:hlinkClick xmlns:r="http://schemas.openxmlformats.org/officeDocument/2006/relationships" r:id="rId133"/>
          <a:extLst>
            <a:ext uri="{FF2B5EF4-FFF2-40B4-BE49-F238E27FC236}">
              <a16:creationId xmlns:a16="http://schemas.microsoft.com/office/drawing/2014/main" id="{0A379A1D-4371-42E1-A694-EF3F9C18B63D}"/>
            </a:ext>
          </a:extLst>
        </xdr:cNvPr>
        <xdr:cNvPicPr>
          <a:picLocks noChangeAspect="1" noChangeArrowheads="1"/>
        </xdr:cNvPicPr>
      </xdr:nvPicPr>
      <xdr:blipFill>
        <a:blip xmlns:r="http://schemas.openxmlformats.org/officeDocument/2006/relationships" r:embed="rId134">
          <a:extLst>
            <a:ext uri="{28A0092B-C50C-407E-A947-70E740481C1C}">
              <a14:useLocalDpi xmlns:a14="http://schemas.microsoft.com/office/drawing/2010/main" val="0"/>
            </a:ext>
          </a:extLst>
        </a:blip>
        <a:srcRect/>
        <a:stretch>
          <a:fillRect/>
        </a:stretch>
      </xdr:blipFill>
      <xdr:spPr bwMode="auto">
        <a:xfrm>
          <a:off x="1828800" y="35833050"/>
          <a:ext cx="342900" cy="342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0</xdr:col>
      <xdr:colOff>0</xdr:colOff>
      <xdr:row>199</xdr:row>
      <xdr:rowOff>205740</xdr:rowOff>
    </xdr:from>
    <xdr:ext cx="304800" cy="300990"/>
    <xdr:pic>
      <xdr:nvPicPr>
        <xdr:cNvPr id="77" name="Picture 76">
          <a:hlinkClick xmlns:r="http://schemas.openxmlformats.org/officeDocument/2006/relationships" r:id="rId135"/>
          <a:extLst>
            <a:ext uri="{FF2B5EF4-FFF2-40B4-BE49-F238E27FC236}">
              <a16:creationId xmlns:a16="http://schemas.microsoft.com/office/drawing/2014/main" id="{E077602D-5883-47D0-AF5B-BFE51D6877AD}"/>
            </a:ext>
          </a:extLst>
        </xdr:cNvPr>
        <xdr:cNvPicPr>
          <a:picLocks noChangeAspect="1" noChangeArrowheads="1"/>
        </xdr:cNvPicPr>
      </xdr:nvPicPr>
      <xdr:blipFill>
        <a:blip xmlns:r="http://schemas.openxmlformats.org/officeDocument/2006/relationships" r:embed="rId136">
          <a:extLst>
            <a:ext uri="{28A0092B-C50C-407E-A947-70E740481C1C}">
              <a14:useLocalDpi xmlns:a14="http://schemas.microsoft.com/office/drawing/2010/main" val="0"/>
            </a:ext>
          </a:extLst>
        </a:blip>
        <a:srcRect/>
        <a:stretch>
          <a:fillRect/>
        </a:stretch>
      </xdr:blipFill>
      <xdr:spPr bwMode="auto">
        <a:xfrm>
          <a:off x="0" y="36195000"/>
          <a:ext cx="304800" cy="30099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10</xdr:col>
      <xdr:colOff>0</xdr:colOff>
      <xdr:row>199</xdr:row>
      <xdr:rowOff>205740</xdr:rowOff>
    </xdr:from>
    <xdr:ext cx="342900" cy="339090"/>
    <xdr:pic>
      <xdr:nvPicPr>
        <xdr:cNvPr id="78" name="Picture 77">
          <a:hlinkClick xmlns:r="http://schemas.openxmlformats.org/officeDocument/2006/relationships" r:id="rId137"/>
          <a:extLst>
            <a:ext uri="{FF2B5EF4-FFF2-40B4-BE49-F238E27FC236}">
              <a16:creationId xmlns:a16="http://schemas.microsoft.com/office/drawing/2014/main" id="{B92343AB-0066-49CB-8AE2-BAD4791805BD}"/>
            </a:ext>
          </a:extLst>
        </xdr:cNvPr>
        <xdr:cNvPicPr>
          <a:picLocks noChangeAspect="1" noChangeArrowheads="1"/>
        </xdr:cNvPicPr>
      </xdr:nvPicPr>
      <xdr:blipFill>
        <a:blip xmlns:r="http://schemas.openxmlformats.org/officeDocument/2006/relationships" r:embed="rId138">
          <a:extLst>
            <a:ext uri="{28A0092B-C50C-407E-A947-70E740481C1C}">
              <a14:useLocalDpi xmlns:a14="http://schemas.microsoft.com/office/drawing/2010/main" val="0"/>
            </a:ext>
          </a:extLst>
        </a:blip>
        <a:srcRect/>
        <a:stretch>
          <a:fillRect/>
        </a:stretch>
      </xdr:blipFill>
      <xdr:spPr bwMode="auto">
        <a:xfrm>
          <a:off x="1828800" y="36195000"/>
          <a:ext cx="342900" cy="33909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0</xdr:col>
      <xdr:colOff>0</xdr:colOff>
      <xdr:row>200</xdr:row>
      <xdr:rowOff>411480</xdr:rowOff>
    </xdr:from>
    <xdr:ext cx="304800" cy="297180"/>
    <xdr:pic>
      <xdr:nvPicPr>
        <xdr:cNvPr id="79" name="Picture 78">
          <a:hlinkClick xmlns:r="http://schemas.openxmlformats.org/officeDocument/2006/relationships" r:id="rId135"/>
          <a:extLst>
            <a:ext uri="{FF2B5EF4-FFF2-40B4-BE49-F238E27FC236}">
              <a16:creationId xmlns:a16="http://schemas.microsoft.com/office/drawing/2014/main" id="{008E01F5-7BD1-4AF2-80EB-04FEA624B6B5}"/>
            </a:ext>
          </a:extLst>
        </xdr:cNvPr>
        <xdr:cNvPicPr>
          <a:picLocks noChangeAspect="1" noChangeArrowheads="1"/>
        </xdr:cNvPicPr>
      </xdr:nvPicPr>
      <xdr:blipFill>
        <a:blip xmlns:r="http://schemas.openxmlformats.org/officeDocument/2006/relationships" r:embed="rId136">
          <a:extLst>
            <a:ext uri="{28A0092B-C50C-407E-A947-70E740481C1C}">
              <a14:useLocalDpi xmlns:a14="http://schemas.microsoft.com/office/drawing/2010/main" val="0"/>
            </a:ext>
          </a:extLst>
        </a:blip>
        <a:srcRect/>
        <a:stretch>
          <a:fillRect/>
        </a:stretch>
      </xdr:blipFill>
      <xdr:spPr bwMode="auto">
        <a:xfrm>
          <a:off x="0" y="36375975"/>
          <a:ext cx="304800" cy="29718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0</xdr:col>
      <xdr:colOff>0</xdr:colOff>
      <xdr:row>201</xdr:row>
      <xdr:rowOff>579120</xdr:rowOff>
    </xdr:from>
    <xdr:ext cx="304800" cy="314325"/>
    <xdr:pic>
      <xdr:nvPicPr>
        <xdr:cNvPr id="80" name="Picture 79">
          <a:hlinkClick xmlns:r="http://schemas.openxmlformats.org/officeDocument/2006/relationships" r:id="rId135"/>
          <a:extLst>
            <a:ext uri="{FF2B5EF4-FFF2-40B4-BE49-F238E27FC236}">
              <a16:creationId xmlns:a16="http://schemas.microsoft.com/office/drawing/2014/main" id="{12713CA6-25B1-491E-8179-4504E7452A4E}"/>
            </a:ext>
          </a:extLst>
        </xdr:cNvPr>
        <xdr:cNvPicPr>
          <a:picLocks noChangeAspect="1" noChangeArrowheads="1"/>
        </xdr:cNvPicPr>
      </xdr:nvPicPr>
      <xdr:blipFill>
        <a:blip xmlns:r="http://schemas.openxmlformats.org/officeDocument/2006/relationships" r:embed="rId136">
          <a:extLst>
            <a:ext uri="{28A0092B-C50C-407E-A947-70E740481C1C}">
              <a14:useLocalDpi xmlns:a14="http://schemas.microsoft.com/office/drawing/2010/main" val="0"/>
            </a:ext>
          </a:extLst>
        </a:blip>
        <a:srcRect/>
        <a:stretch>
          <a:fillRect/>
        </a:stretch>
      </xdr:blipFill>
      <xdr:spPr bwMode="auto">
        <a:xfrm>
          <a:off x="0" y="36556950"/>
          <a:ext cx="304800" cy="3143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10</xdr:col>
      <xdr:colOff>0</xdr:colOff>
      <xdr:row>201</xdr:row>
      <xdr:rowOff>579120</xdr:rowOff>
    </xdr:from>
    <xdr:ext cx="342900" cy="352425"/>
    <xdr:pic>
      <xdr:nvPicPr>
        <xdr:cNvPr id="81" name="Picture 80">
          <a:hlinkClick xmlns:r="http://schemas.openxmlformats.org/officeDocument/2006/relationships" r:id="rId139"/>
          <a:extLst>
            <a:ext uri="{FF2B5EF4-FFF2-40B4-BE49-F238E27FC236}">
              <a16:creationId xmlns:a16="http://schemas.microsoft.com/office/drawing/2014/main" id="{62BBDBB5-BC4C-4FE2-9591-9E4071DC6BBD}"/>
            </a:ext>
          </a:extLst>
        </xdr:cNvPr>
        <xdr:cNvPicPr>
          <a:picLocks noChangeAspect="1" noChangeArrowheads="1"/>
        </xdr:cNvPicPr>
      </xdr:nvPicPr>
      <xdr:blipFill>
        <a:blip xmlns:r="http://schemas.openxmlformats.org/officeDocument/2006/relationships" r:embed="rId140">
          <a:extLst>
            <a:ext uri="{28A0092B-C50C-407E-A947-70E740481C1C}">
              <a14:useLocalDpi xmlns:a14="http://schemas.microsoft.com/office/drawing/2010/main" val="0"/>
            </a:ext>
          </a:extLst>
        </a:blip>
        <a:srcRect/>
        <a:stretch>
          <a:fillRect/>
        </a:stretch>
      </xdr:blipFill>
      <xdr:spPr bwMode="auto">
        <a:xfrm>
          <a:off x="1828800" y="36556950"/>
          <a:ext cx="342900" cy="3524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0</xdr:col>
      <xdr:colOff>0</xdr:colOff>
      <xdr:row>202</xdr:row>
      <xdr:rowOff>784860</xdr:rowOff>
    </xdr:from>
    <xdr:ext cx="304800" cy="300990"/>
    <xdr:pic>
      <xdr:nvPicPr>
        <xdr:cNvPr id="82" name="Picture 81">
          <a:hlinkClick xmlns:r="http://schemas.openxmlformats.org/officeDocument/2006/relationships" r:id="rId141"/>
          <a:extLst>
            <a:ext uri="{FF2B5EF4-FFF2-40B4-BE49-F238E27FC236}">
              <a16:creationId xmlns:a16="http://schemas.microsoft.com/office/drawing/2014/main" id="{F0552D69-3D47-474A-9036-5D118EBE744B}"/>
            </a:ext>
          </a:extLst>
        </xdr:cNvPr>
        <xdr:cNvPicPr>
          <a:picLocks noChangeAspect="1" noChangeArrowheads="1"/>
        </xdr:cNvPicPr>
      </xdr:nvPicPr>
      <xdr:blipFill>
        <a:blip xmlns:r="http://schemas.openxmlformats.org/officeDocument/2006/relationships" r:embed="rId142">
          <a:extLst>
            <a:ext uri="{28A0092B-C50C-407E-A947-70E740481C1C}">
              <a14:useLocalDpi xmlns:a14="http://schemas.microsoft.com/office/drawing/2010/main" val="0"/>
            </a:ext>
          </a:extLst>
        </a:blip>
        <a:srcRect/>
        <a:stretch>
          <a:fillRect/>
        </a:stretch>
      </xdr:blipFill>
      <xdr:spPr bwMode="auto">
        <a:xfrm>
          <a:off x="0" y="36737925"/>
          <a:ext cx="304800" cy="30099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0</xdr:col>
      <xdr:colOff>0</xdr:colOff>
      <xdr:row>203</xdr:row>
      <xdr:rowOff>952500</xdr:rowOff>
    </xdr:from>
    <xdr:ext cx="304800" cy="304800"/>
    <xdr:pic>
      <xdr:nvPicPr>
        <xdr:cNvPr id="83" name="Picture 82">
          <a:hlinkClick xmlns:r="http://schemas.openxmlformats.org/officeDocument/2006/relationships" r:id="rId141"/>
          <a:extLst>
            <a:ext uri="{FF2B5EF4-FFF2-40B4-BE49-F238E27FC236}">
              <a16:creationId xmlns:a16="http://schemas.microsoft.com/office/drawing/2014/main" id="{14F58867-9009-413B-A0CB-FB2F1A93EC33}"/>
            </a:ext>
          </a:extLst>
        </xdr:cNvPr>
        <xdr:cNvPicPr>
          <a:picLocks noChangeAspect="1" noChangeArrowheads="1"/>
        </xdr:cNvPicPr>
      </xdr:nvPicPr>
      <xdr:blipFill>
        <a:blip xmlns:r="http://schemas.openxmlformats.org/officeDocument/2006/relationships" r:embed="rId142">
          <a:extLst>
            <a:ext uri="{28A0092B-C50C-407E-A947-70E740481C1C}">
              <a14:useLocalDpi xmlns:a14="http://schemas.microsoft.com/office/drawing/2010/main" val="0"/>
            </a:ext>
          </a:extLst>
        </a:blip>
        <a:srcRect/>
        <a:stretch>
          <a:fillRect/>
        </a:stretch>
      </xdr:blipFill>
      <xdr:spPr bwMode="auto">
        <a:xfrm>
          <a:off x="0" y="36918900"/>
          <a:ext cx="304800" cy="3048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10</xdr:col>
      <xdr:colOff>0</xdr:colOff>
      <xdr:row>203</xdr:row>
      <xdr:rowOff>952500</xdr:rowOff>
    </xdr:from>
    <xdr:ext cx="342900" cy="342900"/>
    <xdr:pic>
      <xdr:nvPicPr>
        <xdr:cNvPr id="84" name="Picture 83">
          <a:hlinkClick xmlns:r="http://schemas.openxmlformats.org/officeDocument/2006/relationships" r:id="rId143"/>
          <a:extLst>
            <a:ext uri="{FF2B5EF4-FFF2-40B4-BE49-F238E27FC236}">
              <a16:creationId xmlns:a16="http://schemas.microsoft.com/office/drawing/2014/main" id="{C4D38637-665A-4523-A75F-C6CEDD71C9AC}"/>
            </a:ext>
          </a:extLst>
        </xdr:cNvPr>
        <xdr:cNvPicPr>
          <a:picLocks noChangeAspect="1" noChangeArrowheads="1"/>
        </xdr:cNvPicPr>
      </xdr:nvPicPr>
      <xdr:blipFill>
        <a:blip xmlns:r="http://schemas.openxmlformats.org/officeDocument/2006/relationships" r:embed="rId144">
          <a:extLst>
            <a:ext uri="{28A0092B-C50C-407E-A947-70E740481C1C}">
              <a14:useLocalDpi xmlns:a14="http://schemas.microsoft.com/office/drawing/2010/main" val="0"/>
            </a:ext>
          </a:extLst>
        </a:blip>
        <a:srcRect/>
        <a:stretch>
          <a:fillRect/>
        </a:stretch>
      </xdr:blipFill>
      <xdr:spPr bwMode="auto">
        <a:xfrm>
          <a:off x="1828800" y="36918900"/>
          <a:ext cx="342900" cy="342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0</xdr:col>
      <xdr:colOff>0</xdr:colOff>
      <xdr:row>206</xdr:row>
      <xdr:rowOff>0</xdr:rowOff>
    </xdr:from>
    <xdr:ext cx="304800" cy="304800"/>
    <xdr:pic>
      <xdr:nvPicPr>
        <xdr:cNvPr id="85" name="Picture 84">
          <a:hlinkClick xmlns:r="http://schemas.openxmlformats.org/officeDocument/2006/relationships" r:id="rId141"/>
          <a:extLst>
            <a:ext uri="{FF2B5EF4-FFF2-40B4-BE49-F238E27FC236}">
              <a16:creationId xmlns:a16="http://schemas.microsoft.com/office/drawing/2014/main" id="{7EF11631-6EAF-4550-A7D7-DFB03EA87234}"/>
            </a:ext>
          </a:extLst>
        </xdr:cNvPr>
        <xdr:cNvPicPr>
          <a:picLocks noChangeAspect="1" noChangeArrowheads="1"/>
        </xdr:cNvPicPr>
      </xdr:nvPicPr>
      <xdr:blipFill>
        <a:blip xmlns:r="http://schemas.openxmlformats.org/officeDocument/2006/relationships" r:embed="rId142">
          <a:extLst>
            <a:ext uri="{28A0092B-C50C-407E-A947-70E740481C1C}">
              <a14:useLocalDpi xmlns:a14="http://schemas.microsoft.com/office/drawing/2010/main" val="0"/>
            </a:ext>
          </a:extLst>
        </a:blip>
        <a:srcRect/>
        <a:stretch>
          <a:fillRect/>
        </a:stretch>
      </xdr:blipFill>
      <xdr:spPr bwMode="auto">
        <a:xfrm>
          <a:off x="0" y="37280850"/>
          <a:ext cx="304800" cy="3048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0</xdr:col>
      <xdr:colOff>0</xdr:colOff>
      <xdr:row>207</xdr:row>
      <xdr:rowOff>167640</xdr:rowOff>
    </xdr:from>
    <xdr:ext cx="304800" cy="300990"/>
    <xdr:pic>
      <xdr:nvPicPr>
        <xdr:cNvPr id="86" name="Picture 85">
          <a:hlinkClick xmlns:r="http://schemas.openxmlformats.org/officeDocument/2006/relationships" r:id="rId145"/>
          <a:extLst>
            <a:ext uri="{FF2B5EF4-FFF2-40B4-BE49-F238E27FC236}">
              <a16:creationId xmlns:a16="http://schemas.microsoft.com/office/drawing/2014/main" id="{46C536F5-0D3A-4CC3-8956-58E029DC0417}"/>
            </a:ext>
          </a:extLst>
        </xdr:cNvPr>
        <xdr:cNvPicPr>
          <a:picLocks noChangeAspect="1" noChangeArrowheads="1"/>
        </xdr:cNvPicPr>
      </xdr:nvPicPr>
      <xdr:blipFill>
        <a:blip xmlns:r="http://schemas.openxmlformats.org/officeDocument/2006/relationships" r:embed="rId146">
          <a:extLst>
            <a:ext uri="{28A0092B-C50C-407E-A947-70E740481C1C}">
              <a14:useLocalDpi xmlns:a14="http://schemas.microsoft.com/office/drawing/2010/main" val="0"/>
            </a:ext>
          </a:extLst>
        </a:blip>
        <a:srcRect/>
        <a:stretch>
          <a:fillRect/>
        </a:stretch>
      </xdr:blipFill>
      <xdr:spPr bwMode="auto">
        <a:xfrm>
          <a:off x="0" y="37633275"/>
          <a:ext cx="304800" cy="30099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0</xdr:col>
      <xdr:colOff>0</xdr:colOff>
      <xdr:row>209</xdr:row>
      <xdr:rowOff>144780</xdr:rowOff>
    </xdr:from>
    <xdr:ext cx="304800" cy="297180"/>
    <xdr:pic>
      <xdr:nvPicPr>
        <xdr:cNvPr id="87" name="Picture 86">
          <a:hlinkClick xmlns:r="http://schemas.openxmlformats.org/officeDocument/2006/relationships" r:id="rId145"/>
          <a:extLst>
            <a:ext uri="{FF2B5EF4-FFF2-40B4-BE49-F238E27FC236}">
              <a16:creationId xmlns:a16="http://schemas.microsoft.com/office/drawing/2014/main" id="{216869AD-CA83-4700-986F-4B3A4310528B}"/>
            </a:ext>
          </a:extLst>
        </xdr:cNvPr>
        <xdr:cNvPicPr>
          <a:picLocks noChangeAspect="1" noChangeArrowheads="1"/>
        </xdr:cNvPicPr>
      </xdr:nvPicPr>
      <xdr:blipFill>
        <a:blip xmlns:r="http://schemas.openxmlformats.org/officeDocument/2006/relationships" r:embed="rId146">
          <a:extLst>
            <a:ext uri="{28A0092B-C50C-407E-A947-70E740481C1C}">
              <a14:useLocalDpi xmlns:a14="http://schemas.microsoft.com/office/drawing/2010/main" val="0"/>
            </a:ext>
          </a:extLst>
        </a:blip>
        <a:srcRect/>
        <a:stretch>
          <a:fillRect/>
        </a:stretch>
      </xdr:blipFill>
      <xdr:spPr bwMode="auto">
        <a:xfrm>
          <a:off x="0" y="37966650"/>
          <a:ext cx="304800" cy="29718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0</xdr:col>
      <xdr:colOff>0</xdr:colOff>
      <xdr:row>210</xdr:row>
      <xdr:rowOff>236220</xdr:rowOff>
    </xdr:from>
    <xdr:ext cx="304800" cy="314325"/>
    <xdr:pic>
      <xdr:nvPicPr>
        <xdr:cNvPr id="88" name="Picture 87">
          <a:hlinkClick xmlns:r="http://schemas.openxmlformats.org/officeDocument/2006/relationships" r:id="rId147"/>
          <a:extLst>
            <a:ext uri="{FF2B5EF4-FFF2-40B4-BE49-F238E27FC236}">
              <a16:creationId xmlns:a16="http://schemas.microsoft.com/office/drawing/2014/main" id="{94C83909-8A95-408B-9361-CDA6F3FE4DFD}"/>
            </a:ext>
          </a:extLst>
        </xdr:cNvPr>
        <xdr:cNvPicPr>
          <a:picLocks noChangeAspect="1" noChangeArrowheads="1"/>
        </xdr:cNvPicPr>
      </xdr:nvPicPr>
      <xdr:blipFill>
        <a:blip xmlns:r="http://schemas.openxmlformats.org/officeDocument/2006/relationships" r:embed="rId148">
          <a:extLst>
            <a:ext uri="{28A0092B-C50C-407E-A947-70E740481C1C}">
              <a14:useLocalDpi xmlns:a14="http://schemas.microsoft.com/office/drawing/2010/main" val="0"/>
            </a:ext>
          </a:extLst>
        </a:blip>
        <a:srcRect/>
        <a:stretch>
          <a:fillRect/>
        </a:stretch>
      </xdr:blipFill>
      <xdr:spPr bwMode="auto">
        <a:xfrm>
          <a:off x="0" y="38185725"/>
          <a:ext cx="304800" cy="3143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0</xdr:col>
      <xdr:colOff>0</xdr:colOff>
      <xdr:row>212</xdr:row>
      <xdr:rowOff>137160</xdr:rowOff>
    </xdr:from>
    <xdr:ext cx="304800" cy="300990"/>
    <xdr:pic>
      <xdr:nvPicPr>
        <xdr:cNvPr id="89" name="Picture 88">
          <a:hlinkClick xmlns:r="http://schemas.openxmlformats.org/officeDocument/2006/relationships" r:id="rId149"/>
          <a:extLst>
            <a:ext uri="{FF2B5EF4-FFF2-40B4-BE49-F238E27FC236}">
              <a16:creationId xmlns:a16="http://schemas.microsoft.com/office/drawing/2014/main" id="{4F676575-E8B3-470D-9BD6-ED082F7B3F30}"/>
            </a:ext>
          </a:extLst>
        </xdr:cNvPr>
        <xdr:cNvPicPr>
          <a:picLocks noChangeAspect="1" noChangeArrowheads="1"/>
        </xdr:cNvPicPr>
      </xdr:nvPicPr>
      <xdr:blipFill>
        <a:blip xmlns:r="http://schemas.openxmlformats.org/officeDocument/2006/relationships" r:embed="rId150">
          <a:extLst>
            <a:ext uri="{28A0092B-C50C-407E-A947-70E740481C1C}">
              <a14:useLocalDpi xmlns:a14="http://schemas.microsoft.com/office/drawing/2010/main" val="0"/>
            </a:ext>
          </a:extLst>
        </a:blip>
        <a:srcRect/>
        <a:stretch>
          <a:fillRect/>
        </a:stretch>
      </xdr:blipFill>
      <xdr:spPr bwMode="auto">
        <a:xfrm>
          <a:off x="0" y="38500050"/>
          <a:ext cx="304800" cy="30099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0</xdr:col>
      <xdr:colOff>0</xdr:colOff>
      <xdr:row>213</xdr:row>
      <xdr:rowOff>304800</xdr:rowOff>
    </xdr:from>
    <xdr:ext cx="304800" cy="300990"/>
    <xdr:pic>
      <xdr:nvPicPr>
        <xdr:cNvPr id="90" name="Picture 89">
          <a:hlinkClick xmlns:r="http://schemas.openxmlformats.org/officeDocument/2006/relationships" r:id="rId151"/>
          <a:extLst>
            <a:ext uri="{FF2B5EF4-FFF2-40B4-BE49-F238E27FC236}">
              <a16:creationId xmlns:a16="http://schemas.microsoft.com/office/drawing/2014/main" id="{85229B89-93F2-4231-BA24-CD3E006A4100}"/>
            </a:ext>
          </a:extLst>
        </xdr:cNvPr>
        <xdr:cNvPicPr>
          <a:picLocks noChangeAspect="1" noChangeArrowheads="1"/>
        </xdr:cNvPicPr>
      </xdr:nvPicPr>
      <xdr:blipFill>
        <a:blip xmlns:r="http://schemas.openxmlformats.org/officeDocument/2006/relationships" r:embed="rId152">
          <a:extLst>
            <a:ext uri="{28A0092B-C50C-407E-A947-70E740481C1C}">
              <a14:useLocalDpi xmlns:a14="http://schemas.microsoft.com/office/drawing/2010/main" val="0"/>
            </a:ext>
          </a:extLst>
        </a:blip>
        <a:srcRect/>
        <a:stretch>
          <a:fillRect/>
        </a:stretch>
      </xdr:blipFill>
      <xdr:spPr bwMode="auto">
        <a:xfrm>
          <a:off x="0" y="38728650"/>
          <a:ext cx="304800" cy="30099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0</xdr:col>
      <xdr:colOff>0</xdr:colOff>
      <xdr:row>215</xdr:row>
      <xdr:rowOff>76200</xdr:rowOff>
    </xdr:from>
    <xdr:ext cx="304800" cy="304800"/>
    <xdr:pic>
      <xdr:nvPicPr>
        <xdr:cNvPr id="91" name="Picture 90">
          <a:hlinkClick xmlns:r="http://schemas.openxmlformats.org/officeDocument/2006/relationships" r:id="rId153"/>
          <a:extLst>
            <a:ext uri="{FF2B5EF4-FFF2-40B4-BE49-F238E27FC236}">
              <a16:creationId xmlns:a16="http://schemas.microsoft.com/office/drawing/2014/main" id="{536CFFCD-45E9-42D7-B8A7-0EA0E2558AAA}"/>
            </a:ext>
          </a:extLst>
        </xdr:cNvPr>
        <xdr:cNvPicPr>
          <a:picLocks noChangeAspect="1" noChangeArrowheads="1"/>
        </xdr:cNvPicPr>
      </xdr:nvPicPr>
      <xdr:blipFill>
        <a:blip xmlns:r="http://schemas.openxmlformats.org/officeDocument/2006/relationships" r:embed="rId154">
          <a:extLst>
            <a:ext uri="{28A0092B-C50C-407E-A947-70E740481C1C}">
              <a14:useLocalDpi xmlns:a14="http://schemas.microsoft.com/office/drawing/2010/main" val="0"/>
            </a:ext>
          </a:extLst>
        </a:blip>
        <a:srcRect/>
        <a:stretch>
          <a:fillRect/>
        </a:stretch>
      </xdr:blipFill>
      <xdr:spPr bwMode="auto">
        <a:xfrm>
          <a:off x="0" y="38985825"/>
          <a:ext cx="304800" cy="3048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0</xdr:col>
      <xdr:colOff>0</xdr:colOff>
      <xdr:row>216</xdr:row>
      <xdr:rowOff>243840</xdr:rowOff>
    </xdr:from>
    <xdr:ext cx="304800" cy="300990"/>
    <xdr:pic>
      <xdr:nvPicPr>
        <xdr:cNvPr id="92" name="Picture 91">
          <a:hlinkClick xmlns:r="http://schemas.openxmlformats.org/officeDocument/2006/relationships" r:id="rId155"/>
          <a:extLst>
            <a:ext uri="{FF2B5EF4-FFF2-40B4-BE49-F238E27FC236}">
              <a16:creationId xmlns:a16="http://schemas.microsoft.com/office/drawing/2014/main" id="{9BD81CCF-B95B-4466-B461-84A4A547721B}"/>
            </a:ext>
          </a:extLst>
        </xdr:cNvPr>
        <xdr:cNvPicPr>
          <a:picLocks noChangeAspect="1" noChangeArrowheads="1"/>
        </xdr:cNvPicPr>
      </xdr:nvPicPr>
      <xdr:blipFill>
        <a:blip xmlns:r="http://schemas.openxmlformats.org/officeDocument/2006/relationships" r:embed="rId156">
          <a:extLst>
            <a:ext uri="{28A0092B-C50C-407E-A947-70E740481C1C}">
              <a14:useLocalDpi xmlns:a14="http://schemas.microsoft.com/office/drawing/2010/main" val="0"/>
            </a:ext>
          </a:extLst>
        </a:blip>
        <a:srcRect/>
        <a:stretch>
          <a:fillRect/>
        </a:stretch>
      </xdr:blipFill>
      <xdr:spPr bwMode="auto">
        <a:xfrm>
          <a:off x="0" y="39271575"/>
          <a:ext cx="304800" cy="30099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0</xdr:col>
      <xdr:colOff>0</xdr:colOff>
      <xdr:row>219</xdr:row>
      <xdr:rowOff>7620</xdr:rowOff>
    </xdr:from>
    <xdr:ext cx="304800" cy="300990"/>
    <xdr:pic>
      <xdr:nvPicPr>
        <xdr:cNvPr id="93" name="Picture 92">
          <a:hlinkClick xmlns:r="http://schemas.openxmlformats.org/officeDocument/2006/relationships" r:id="rId157"/>
          <a:extLst>
            <a:ext uri="{FF2B5EF4-FFF2-40B4-BE49-F238E27FC236}">
              <a16:creationId xmlns:a16="http://schemas.microsoft.com/office/drawing/2014/main" id="{CD0EFB66-3B56-43DB-95EB-C6880CA225BD}"/>
            </a:ext>
          </a:extLst>
        </xdr:cNvPr>
        <xdr:cNvPicPr>
          <a:picLocks noChangeAspect="1" noChangeArrowheads="1"/>
        </xdr:cNvPicPr>
      </xdr:nvPicPr>
      <xdr:blipFill>
        <a:blip xmlns:r="http://schemas.openxmlformats.org/officeDocument/2006/relationships" r:embed="rId158">
          <a:extLst>
            <a:ext uri="{28A0092B-C50C-407E-A947-70E740481C1C}">
              <a14:useLocalDpi xmlns:a14="http://schemas.microsoft.com/office/drawing/2010/main" val="0"/>
            </a:ext>
          </a:extLst>
        </a:blip>
        <a:srcRect/>
        <a:stretch>
          <a:fillRect/>
        </a:stretch>
      </xdr:blipFill>
      <xdr:spPr bwMode="auto">
        <a:xfrm>
          <a:off x="0" y="39643050"/>
          <a:ext cx="304800" cy="30099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0</xdr:col>
      <xdr:colOff>0</xdr:colOff>
      <xdr:row>221</xdr:row>
      <xdr:rowOff>76200</xdr:rowOff>
    </xdr:from>
    <xdr:ext cx="304800" cy="300990"/>
    <xdr:pic>
      <xdr:nvPicPr>
        <xdr:cNvPr id="94" name="Picture 93">
          <a:hlinkClick xmlns:r="http://schemas.openxmlformats.org/officeDocument/2006/relationships" r:id="rId159"/>
          <a:extLst>
            <a:ext uri="{FF2B5EF4-FFF2-40B4-BE49-F238E27FC236}">
              <a16:creationId xmlns:a16="http://schemas.microsoft.com/office/drawing/2014/main" id="{7D8B25D0-44B8-4610-B5AB-EFC83E26F2BF}"/>
            </a:ext>
          </a:extLst>
        </xdr:cNvPr>
        <xdr:cNvPicPr>
          <a:picLocks noChangeAspect="1" noChangeArrowheads="1"/>
        </xdr:cNvPicPr>
      </xdr:nvPicPr>
      <xdr:blipFill>
        <a:blip xmlns:r="http://schemas.openxmlformats.org/officeDocument/2006/relationships" r:embed="rId160">
          <a:extLst>
            <a:ext uri="{28A0092B-C50C-407E-A947-70E740481C1C}">
              <a14:useLocalDpi xmlns:a14="http://schemas.microsoft.com/office/drawing/2010/main" val="0"/>
            </a:ext>
          </a:extLst>
        </a:blip>
        <a:srcRect/>
        <a:stretch>
          <a:fillRect/>
        </a:stretch>
      </xdr:blipFill>
      <xdr:spPr bwMode="auto">
        <a:xfrm>
          <a:off x="0" y="40071675"/>
          <a:ext cx="304800" cy="30099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0</xdr:col>
      <xdr:colOff>0</xdr:colOff>
      <xdr:row>223</xdr:row>
      <xdr:rowOff>144780</xdr:rowOff>
    </xdr:from>
    <xdr:ext cx="304800" cy="314325"/>
    <xdr:pic>
      <xdr:nvPicPr>
        <xdr:cNvPr id="95" name="Picture 94">
          <a:hlinkClick xmlns:r="http://schemas.openxmlformats.org/officeDocument/2006/relationships" r:id="rId161"/>
          <a:extLst>
            <a:ext uri="{FF2B5EF4-FFF2-40B4-BE49-F238E27FC236}">
              <a16:creationId xmlns:a16="http://schemas.microsoft.com/office/drawing/2014/main" id="{5758B7B6-EC98-447B-B434-1687997C7CB0}"/>
            </a:ext>
          </a:extLst>
        </xdr:cNvPr>
        <xdr:cNvPicPr>
          <a:picLocks noChangeAspect="1" noChangeArrowheads="1"/>
        </xdr:cNvPicPr>
      </xdr:nvPicPr>
      <xdr:blipFill>
        <a:blip xmlns:r="http://schemas.openxmlformats.org/officeDocument/2006/relationships" r:embed="rId162">
          <a:extLst>
            <a:ext uri="{28A0092B-C50C-407E-A947-70E740481C1C}">
              <a14:useLocalDpi xmlns:a14="http://schemas.microsoft.com/office/drawing/2010/main" val="0"/>
            </a:ext>
          </a:extLst>
        </a:blip>
        <a:srcRect/>
        <a:stretch>
          <a:fillRect/>
        </a:stretch>
      </xdr:blipFill>
      <xdr:spPr bwMode="auto">
        <a:xfrm>
          <a:off x="0" y="40500300"/>
          <a:ext cx="304800" cy="3143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0</xdr:col>
      <xdr:colOff>0</xdr:colOff>
      <xdr:row>226</xdr:row>
      <xdr:rowOff>30480</xdr:rowOff>
    </xdr:from>
    <xdr:ext cx="304800" cy="304800"/>
    <xdr:pic>
      <xdr:nvPicPr>
        <xdr:cNvPr id="96" name="Picture 95">
          <a:hlinkClick xmlns:r="http://schemas.openxmlformats.org/officeDocument/2006/relationships" r:id="rId163"/>
          <a:extLst>
            <a:ext uri="{FF2B5EF4-FFF2-40B4-BE49-F238E27FC236}">
              <a16:creationId xmlns:a16="http://schemas.microsoft.com/office/drawing/2014/main" id="{10A7FA97-0503-414F-B9D7-81E80C4BA7CD}"/>
            </a:ext>
          </a:extLst>
        </xdr:cNvPr>
        <xdr:cNvPicPr>
          <a:picLocks noChangeAspect="1" noChangeArrowheads="1"/>
        </xdr:cNvPicPr>
      </xdr:nvPicPr>
      <xdr:blipFill>
        <a:blip xmlns:r="http://schemas.openxmlformats.org/officeDocument/2006/relationships" r:embed="rId164">
          <a:extLst>
            <a:ext uri="{28A0092B-C50C-407E-A947-70E740481C1C}">
              <a14:useLocalDpi xmlns:a14="http://schemas.microsoft.com/office/drawing/2010/main" val="0"/>
            </a:ext>
          </a:extLst>
        </a:blip>
        <a:srcRect/>
        <a:stretch>
          <a:fillRect/>
        </a:stretch>
      </xdr:blipFill>
      <xdr:spPr bwMode="auto">
        <a:xfrm>
          <a:off x="0" y="40928925"/>
          <a:ext cx="304800" cy="3048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0</xdr:col>
      <xdr:colOff>0</xdr:colOff>
      <xdr:row>228</xdr:row>
      <xdr:rowOff>99060</xdr:rowOff>
    </xdr:from>
    <xdr:ext cx="304800" cy="304800"/>
    <xdr:pic>
      <xdr:nvPicPr>
        <xdr:cNvPr id="97" name="Picture 96">
          <a:hlinkClick xmlns:r="http://schemas.openxmlformats.org/officeDocument/2006/relationships" r:id="rId165"/>
          <a:extLst>
            <a:ext uri="{FF2B5EF4-FFF2-40B4-BE49-F238E27FC236}">
              <a16:creationId xmlns:a16="http://schemas.microsoft.com/office/drawing/2014/main" id="{3AA76575-AB3C-47C2-B984-929E364E324E}"/>
            </a:ext>
          </a:extLst>
        </xdr:cNvPr>
        <xdr:cNvPicPr>
          <a:picLocks noChangeAspect="1" noChangeArrowheads="1"/>
        </xdr:cNvPicPr>
      </xdr:nvPicPr>
      <xdr:blipFill>
        <a:blip xmlns:r="http://schemas.openxmlformats.org/officeDocument/2006/relationships" r:embed="rId166">
          <a:extLst>
            <a:ext uri="{28A0092B-C50C-407E-A947-70E740481C1C}">
              <a14:useLocalDpi xmlns:a14="http://schemas.microsoft.com/office/drawing/2010/main" val="0"/>
            </a:ext>
          </a:extLst>
        </a:blip>
        <a:srcRect/>
        <a:stretch>
          <a:fillRect/>
        </a:stretch>
      </xdr:blipFill>
      <xdr:spPr bwMode="auto">
        <a:xfrm>
          <a:off x="0" y="41357550"/>
          <a:ext cx="304800" cy="3048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wsDr>
</file>

<file path=xl/drawings/drawing2.xml><?xml version="1.0" encoding="utf-8"?>
<xdr:wsDr xmlns:xdr="http://schemas.openxmlformats.org/drawingml/2006/spreadsheetDrawing" xmlns:a="http://schemas.openxmlformats.org/drawingml/2006/main">
  <xdr:twoCellAnchor editAs="oneCell">
    <xdr:from>
      <xdr:col>14</xdr:col>
      <xdr:colOff>0</xdr:colOff>
      <xdr:row>55</xdr:row>
      <xdr:rowOff>0</xdr:rowOff>
    </xdr:from>
    <xdr:to>
      <xdr:col>14</xdr:col>
      <xdr:colOff>266700</xdr:colOff>
      <xdr:row>56</xdr:row>
      <xdr:rowOff>64040</xdr:rowOff>
    </xdr:to>
    <xdr:pic>
      <xdr:nvPicPr>
        <xdr:cNvPr id="2" name="Picture 1">
          <a:hlinkClick xmlns:r="http://schemas.openxmlformats.org/officeDocument/2006/relationships" r:id="rId1" tooltip="Horse Lords"/>
          <a:extLst>
            <a:ext uri="{FF2B5EF4-FFF2-40B4-BE49-F238E27FC236}">
              <a16:creationId xmlns:a16="http://schemas.microsoft.com/office/drawing/2014/main" id="{42B8E4F4-9401-49BD-9C54-D6C093E4CFE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9791700" y="12011025"/>
          <a:ext cx="266700" cy="266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136</xdr:row>
      <xdr:rowOff>0</xdr:rowOff>
    </xdr:from>
    <xdr:to>
      <xdr:col>14</xdr:col>
      <xdr:colOff>228600</xdr:colOff>
      <xdr:row>136</xdr:row>
      <xdr:rowOff>248833</xdr:rowOff>
    </xdr:to>
    <xdr:pic>
      <xdr:nvPicPr>
        <xdr:cNvPr id="3" name="Picture 2">
          <a:extLst>
            <a:ext uri="{FF2B5EF4-FFF2-40B4-BE49-F238E27FC236}">
              <a16:creationId xmlns:a16="http://schemas.microsoft.com/office/drawing/2014/main" id="{7D8361F8-A7FC-4180-BBE4-771E9E378E33}"/>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9791700" y="28451175"/>
          <a:ext cx="228600" cy="228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139</xdr:row>
      <xdr:rowOff>0</xdr:rowOff>
    </xdr:from>
    <xdr:to>
      <xdr:col>14</xdr:col>
      <xdr:colOff>228600</xdr:colOff>
      <xdr:row>139</xdr:row>
      <xdr:rowOff>171366</xdr:rowOff>
    </xdr:to>
    <xdr:pic>
      <xdr:nvPicPr>
        <xdr:cNvPr id="4" name="Picture 3">
          <a:extLst>
            <a:ext uri="{FF2B5EF4-FFF2-40B4-BE49-F238E27FC236}">
              <a16:creationId xmlns:a16="http://schemas.microsoft.com/office/drawing/2014/main" id="{3B58629B-B59B-406D-BB0C-3551D6ED0919}"/>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9791700" y="29203650"/>
          <a:ext cx="228600" cy="228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ax Pirtle" refreshedDate="44353.622128124996" createdVersion="7" refreshedVersion="7" minRefreshableVersion="3" recordCount="12" xr:uid="{7AA73BC7-4E5E-49E5-B9D5-79AAFD560803}">
  <cacheSource type="worksheet">
    <worksheetSource name="Table1"/>
  </cacheSource>
  <cacheFields count="19">
    <cacheField name="world" numFmtId="0">
      <sharedItems count="12">
        <s v="earth"/>
        <s v="luna"/>
        <s v="mercury"/>
        <s v="venus"/>
        <s v="mars"/>
        <s v="ceres"/>
        <s v="titan"/>
        <s v="callisto"/>
        <s v="europa"/>
        <s v="ganymede"/>
        <s v="triton"/>
        <s v="total"/>
      </sharedItems>
    </cacheField>
    <cacheField name="size % of earth" numFmtId="0">
      <sharedItems containsSemiMixedTypes="0" containsString="0" containsNumber="1" containsInteger="1" minValue="7" maxValue="484"/>
    </cacheField>
    <cacheField name="orbiting" numFmtId="0">
      <sharedItems/>
    </cacheField>
    <cacheField name="provinces if 2000" numFmtId="0">
      <sharedItems containsSemiMixedTypes="0" containsString="0" containsNumber="1" containsInteger="1" minValue="29" maxValue="2000"/>
    </cacheField>
    <cacheField name="provinces if 1800" numFmtId="0">
      <sharedItems containsSemiMixedTypes="0" containsString="0" containsNumber="1" containsInteger="1" minValue="26" maxValue="1800"/>
    </cacheField>
    <cacheField name="Empires if 28" numFmtId="0">
      <sharedItems containsSemiMixedTypes="0" containsString="0" containsNumber="1" containsInteger="1" minValue="0" maxValue="28"/>
    </cacheField>
    <cacheField name="biome 1" numFmtId="0">
      <sharedItems containsBlank="1" count="9">
        <s v="balanced"/>
        <s v="arctic"/>
        <s v="desert"/>
        <s v="jungle"/>
        <s v="hills"/>
        <s v="forest"/>
        <s v="farmland"/>
        <s v="steppe"/>
        <m/>
      </sharedItems>
    </cacheField>
    <cacheField name="biome 2" numFmtId="0">
      <sharedItems containsBlank="1"/>
    </cacheField>
    <cacheField name="climate" numFmtId="0">
      <sharedItems containsBlank="1" count="7">
        <s v="balanced"/>
        <s v="polar"/>
        <s v="hot"/>
        <s v="warm"/>
        <s v="cold"/>
        <s v="temperate"/>
        <m/>
      </sharedItems>
    </cacheField>
    <cacheField name="religion 1" numFmtId="0">
      <sharedItems containsBlank="1"/>
    </cacheField>
    <cacheField name="religion 1 % of planet" numFmtId="0">
      <sharedItems containsString="0" containsBlank="1" containsNumber="1" minValue="31.2" maxValue="31.2"/>
    </cacheField>
    <cacheField name="religion 2" numFmtId="0">
      <sharedItems containsBlank="1"/>
    </cacheField>
    <cacheField name="religion 2 % of planet" numFmtId="0">
      <sharedItems containsString="0" containsBlank="1" containsNumber="1" minValue="24.1" maxValue="24.1"/>
    </cacheField>
    <cacheField name="religion 3" numFmtId="0">
      <sharedItems containsBlank="1"/>
    </cacheField>
    <cacheField name="religion 3 % of planet" numFmtId="0">
      <sharedItems containsString="0" containsBlank="1" containsNumber="1" containsInteger="1" minValue="16" maxValue="16"/>
    </cacheField>
    <cacheField name="religion 3 " numFmtId="0">
      <sharedItems containsBlank="1"/>
    </cacheField>
    <cacheField name="religion 3 % of planet2" numFmtId="0">
      <sharedItems containsString="0" containsBlank="1" containsNumber="1" minValue="15.1" maxValue="15.1"/>
    </cacheField>
    <cacheField name="religion 42" numFmtId="0">
      <sharedItems containsBlank="1"/>
    </cacheField>
    <cacheField name="religion 4 % of planet" numFmtId="0">
      <sharedItems containsString="0" containsBlank="1" containsNumber="1" minValue="6.9" maxValue="6.9"/>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2">
  <r>
    <x v="0"/>
    <n v="100"/>
    <s v="sun"/>
    <n v="413"/>
    <n v="372"/>
    <n v="6"/>
    <x v="0"/>
    <s v="balanced"/>
    <x v="0"/>
    <s v="christian"/>
    <n v="31.2"/>
    <s v="islam"/>
    <n v="24.1"/>
    <s v="no religion (% of cynical rulers)"/>
    <n v="16"/>
    <s v="hindu"/>
    <n v="15.1"/>
    <s v="buddhist"/>
    <n v="6.9"/>
  </r>
  <r>
    <x v="1"/>
    <n v="26"/>
    <s v="earth"/>
    <n v="107"/>
    <n v="97"/>
    <n v="2"/>
    <x v="1"/>
    <s v="forest"/>
    <x v="1"/>
    <m/>
    <m/>
    <m/>
    <m/>
    <m/>
    <m/>
    <m/>
    <m/>
    <m/>
    <m/>
  </r>
  <r>
    <x v="2"/>
    <n v="38"/>
    <s v="sun"/>
    <n v="157"/>
    <n v="141"/>
    <n v="2"/>
    <x v="2"/>
    <s v="jungle"/>
    <x v="2"/>
    <s v="S"/>
    <m/>
    <m/>
    <m/>
    <m/>
    <m/>
    <m/>
    <m/>
    <m/>
    <m/>
  </r>
  <r>
    <x v="3"/>
    <n v="95"/>
    <s v="sun"/>
    <n v="393"/>
    <n v="353"/>
    <n v="5"/>
    <x v="3"/>
    <s v="plains"/>
    <x v="2"/>
    <m/>
    <m/>
    <m/>
    <m/>
    <m/>
    <m/>
    <m/>
    <m/>
    <m/>
    <m/>
  </r>
  <r>
    <x v="4"/>
    <n v="53"/>
    <s v="sun"/>
    <n v="219"/>
    <n v="197"/>
    <n v="3"/>
    <x v="0"/>
    <s v="balanced"/>
    <x v="3"/>
    <m/>
    <m/>
    <m/>
    <m/>
    <m/>
    <m/>
    <m/>
    <m/>
    <m/>
    <m/>
  </r>
  <r>
    <x v="5"/>
    <n v="7"/>
    <s v="sun"/>
    <n v="29"/>
    <n v="26"/>
    <n v="0"/>
    <x v="1"/>
    <s v="forest"/>
    <x v="1"/>
    <m/>
    <m/>
    <m/>
    <m/>
    <m/>
    <m/>
    <m/>
    <m/>
    <m/>
    <m/>
  </r>
  <r>
    <x v="6"/>
    <n v="40"/>
    <s v="saturn"/>
    <n v="165"/>
    <n v="149"/>
    <n v="2"/>
    <x v="0"/>
    <s v="steppe"/>
    <x v="4"/>
    <m/>
    <m/>
    <m/>
    <m/>
    <m/>
    <m/>
    <m/>
    <m/>
    <m/>
    <m/>
  </r>
  <r>
    <x v="7"/>
    <n v="38"/>
    <s v="jupiter"/>
    <n v="157"/>
    <n v="141"/>
    <n v="2"/>
    <x v="4"/>
    <s v="forest"/>
    <x v="5"/>
    <m/>
    <m/>
    <m/>
    <m/>
    <m/>
    <m/>
    <m/>
    <m/>
    <m/>
    <m/>
  </r>
  <r>
    <x v="8"/>
    <n v="25"/>
    <s v="jupiter"/>
    <n v="103"/>
    <n v="93"/>
    <n v="1"/>
    <x v="5"/>
    <s v="plains"/>
    <x v="5"/>
    <m/>
    <m/>
    <m/>
    <m/>
    <m/>
    <m/>
    <m/>
    <m/>
    <m/>
    <m/>
  </r>
  <r>
    <x v="9"/>
    <n v="41"/>
    <s v="jupiter"/>
    <n v="169"/>
    <n v="152"/>
    <n v="2"/>
    <x v="6"/>
    <s v="coastal desert"/>
    <x v="3"/>
    <m/>
    <m/>
    <m/>
    <m/>
    <m/>
    <m/>
    <m/>
    <m/>
    <m/>
    <m/>
  </r>
  <r>
    <x v="10"/>
    <n v="21"/>
    <s v="neptune"/>
    <n v="87"/>
    <n v="78"/>
    <n v="1"/>
    <x v="7"/>
    <s v="mountains"/>
    <x v="4"/>
    <m/>
    <m/>
    <m/>
    <m/>
    <m/>
    <m/>
    <m/>
    <m/>
    <m/>
    <m/>
  </r>
  <r>
    <x v="11"/>
    <n v="484"/>
    <s v="sun"/>
    <n v="2000"/>
    <n v="1800"/>
    <n v="28"/>
    <x v="8"/>
    <m/>
    <x v="6"/>
    <m/>
    <m/>
    <m/>
    <m/>
    <m/>
    <m/>
    <m/>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E1682678-45E7-48F3-8536-B6FCE7041D0D}" name="PivotTable1" cacheId="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location ref="A3:B22" firstHeaderRow="1" firstDataRow="1" firstDataCol="1"/>
  <pivotFields count="19">
    <pivotField dataField="1" showAll="0">
      <items count="13">
        <item x="7"/>
        <item x="5"/>
        <item x="0"/>
        <item x="8"/>
        <item x="9"/>
        <item x="1"/>
        <item x="4"/>
        <item x="2"/>
        <item x="6"/>
        <item x="11"/>
        <item x="10"/>
        <item x="3"/>
        <item t="default"/>
      </items>
    </pivotField>
    <pivotField showAll="0"/>
    <pivotField showAll="0"/>
    <pivotField showAll="0"/>
    <pivotField showAll="0"/>
    <pivotField showAll="0"/>
    <pivotField axis="axisRow" showAll="0">
      <items count="10">
        <item x="1"/>
        <item x="0"/>
        <item x="2"/>
        <item x="6"/>
        <item x="5"/>
        <item x="4"/>
        <item x="3"/>
        <item x="7"/>
        <item x="8"/>
        <item t="default"/>
      </items>
    </pivotField>
    <pivotField showAll="0"/>
    <pivotField axis="axisRow" showAll="0">
      <items count="8">
        <item x="0"/>
        <item x="4"/>
        <item x="2"/>
        <item x="1"/>
        <item x="5"/>
        <item x="3"/>
        <item x="6"/>
        <item t="default"/>
      </items>
    </pivotField>
    <pivotField showAll="0"/>
    <pivotField showAll="0"/>
    <pivotField showAll="0"/>
    <pivotField showAll="0"/>
    <pivotField showAll="0"/>
    <pivotField showAll="0"/>
    <pivotField showAll="0"/>
    <pivotField showAll="0"/>
    <pivotField showAll="0"/>
    <pivotField showAll="0"/>
  </pivotFields>
  <rowFields count="2">
    <field x="8"/>
    <field x="6"/>
  </rowFields>
  <rowItems count="19">
    <i>
      <x/>
    </i>
    <i r="1">
      <x v="1"/>
    </i>
    <i>
      <x v="1"/>
    </i>
    <i r="1">
      <x v="1"/>
    </i>
    <i r="1">
      <x v="7"/>
    </i>
    <i>
      <x v="2"/>
    </i>
    <i r="1">
      <x v="2"/>
    </i>
    <i r="1">
      <x v="6"/>
    </i>
    <i>
      <x v="3"/>
    </i>
    <i r="1">
      <x/>
    </i>
    <i>
      <x v="4"/>
    </i>
    <i r="1">
      <x v="4"/>
    </i>
    <i r="1">
      <x v="5"/>
    </i>
    <i>
      <x v="5"/>
    </i>
    <i r="1">
      <x v="1"/>
    </i>
    <i r="1">
      <x v="3"/>
    </i>
    <i>
      <x v="6"/>
    </i>
    <i r="1">
      <x v="8"/>
    </i>
    <i t="grand">
      <x/>
    </i>
  </rowItems>
  <colItems count="1">
    <i/>
  </colItems>
  <dataFields count="1">
    <dataField name="Count of worl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1AF75E4-C7DA-40F0-9FFD-87D168D59740}" name="Table1" displayName="Table1" ref="A1:U13" totalsRowShown="0" headerRowDxfId="33" headerRowBorderDxfId="32" tableBorderDxfId="31" totalsRowBorderDxfId="30">
  <tableColumns count="21">
    <tableColumn id="1" xr3:uid="{1AC4CD5E-0603-4C3F-B462-049C8F1F1106}" name="world" dataDxfId="29"/>
    <tableColumn id="2" xr3:uid="{8E0FC89C-D37E-47F5-90B4-60ED56E0162F}" name="size % of earth" dataDxfId="28"/>
    <tableColumn id="3" xr3:uid="{25240667-E5E1-4053-98B1-85E8A4A5BC02}" name="orbiting" dataDxfId="27"/>
    <tableColumn id="21" xr3:uid="{F85D8E8E-5D6C-4411-9772-1C30C9FD6784}" name="Cultures if 107" dataDxfId="26">
      <calculatedColumnFormula>ROUND(($B2/$B$13)*107,0)</calculatedColumnFormula>
    </tableColumn>
    <tableColumn id="20" xr3:uid="{17A5445A-8C14-4AA4-B6CF-BCB98690DA42}" name="provinces if 2500" dataDxfId="25">
      <calculatedColumnFormula>ROUND(($B2/$B$13)*2500,0)</calculatedColumnFormula>
    </tableColumn>
    <tableColumn id="4" xr3:uid="{C1485F0F-08C4-45C1-A1FB-5875C926AEAB}" name="provinces if 2000" dataDxfId="24">
      <calculatedColumnFormula>ROUND(($B2/$B$13)*2000,0)</calculatedColumnFormula>
    </tableColumn>
    <tableColumn id="5" xr3:uid="{55507947-9B69-4E80-8B88-A07FFBB2DD18}" name="provinces if 1800" dataDxfId="23">
      <calculatedColumnFormula>ROUND(($B2/$B$13)*1800,0)</calculatedColumnFormula>
    </tableColumn>
    <tableColumn id="6" xr3:uid="{66312A1D-0055-4A99-A3C1-319EC06C94EB}" name="Empires if 28" dataDxfId="22">
      <calculatedColumnFormula>ROUND(($B2/$B$13)*28,0)</calculatedColumnFormula>
    </tableColumn>
    <tableColumn id="9" xr3:uid="{A8A90965-673C-42EF-B26D-CCCB7BA563A9}" name="biome 1" dataDxfId="21"/>
    <tableColumn id="19" xr3:uid="{0D53B7BA-BDAF-4119-A521-B4132A4CB01F}" name="biome 2" dataDxfId="20"/>
    <tableColumn id="14" xr3:uid="{DCA1B70B-F9FD-49D5-A9F8-61AB1BDE879D}" name="climate" dataDxfId="19"/>
    <tableColumn id="7" xr3:uid="{89183329-D8D3-44B9-8ACA-CE6E0BD46A7F}" name="religion 1" dataDxfId="18"/>
    <tableColumn id="12" xr3:uid="{06A12575-7E75-4FA6-949B-68B274A77C71}" name="%" dataDxfId="17"/>
    <tableColumn id="10" xr3:uid="{245232F1-C437-4359-802C-84258E9435DC}" name="religion 2" dataDxfId="16"/>
    <tableColumn id="18" xr3:uid="{67101D4A-1AD6-49C2-BD95-3F6D33741E22}" name="%2" dataDxfId="15"/>
    <tableColumn id="17" xr3:uid="{AB661841-4B34-4BBD-8C0F-BDB0E92433AB}" name="religion 3" dataDxfId="14"/>
    <tableColumn id="16" xr3:uid="{8FFA1B24-4F21-4344-B64B-6F455D5233EC}" name="%3" dataDxfId="13"/>
    <tableColumn id="13" xr3:uid="{072B6765-1CBB-440D-BF1F-687E252D8FD3}" name="religion 4" dataDxfId="12"/>
    <tableColumn id="8" xr3:uid="{EEE2B6A5-23C2-4C57-841F-655433DDC281}" name="%4" dataDxfId="11"/>
    <tableColumn id="15" xr3:uid="{029CF2C6-2AD9-4EB9-857C-96739619FCFD}" name="religion 5" dataDxfId="10"/>
    <tableColumn id="11" xr3:uid="{EDBDC304-C0F0-42AB-91FE-252C4714D6E6}" name="%5" dataDxfId="9"/>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5.xml.rels><?xml version="1.0" encoding="UTF-8" standalone="yes"?>
<Relationships xmlns="http://schemas.openxmlformats.org/package/2006/relationships"><Relationship Id="rId26" Type="http://schemas.openxmlformats.org/officeDocument/2006/relationships/hyperlink" Target="https://ck2.paradoxwikis.com/Pagans" TargetMode="External"/><Relationship Id="rId21" Type="http://schemas.openxmlformats.org/officeDocument/2006/relationships/hyperlink" Target="https://ck2.paradoxwikis.com/Eastern_religions" TargetMode="External"/><Relationship Id="rId42" Type="http://schemas.openxmlformats.org/officeDocument/2006/relationships/hyperlink" Target="https://ck2.paradoxwikis.com/File:D_west_african_pagan_reformed.png" TargetMode="External"/><Relationship Id="rId47" Type="http://schemas.openxmlformats.org/officeDocument/2006/relationships/hyperlink" Target="https://ck2.paradoxwikis.com/Pagans" TargetMode="External"/><Relationship Id="rId63" Type="http://schemas.openxmlformats.org/officeDocument/2006/relationships/hyperlink" Target="https://ck2.paradoxwikis.com/Casus_Belli" TargetMode="External"/><Relationship Id="rId68" Type="http://schemas.openxmlformats.org/officeDocument/2006/relationships/hyperlink" Target="https://ck2.paradoxwikis.com/Casus_Belli" TargetMode="External"/><Relationship Id="rId84" Type="http://schemas.openxmlformats.org/officeDocument/2006/relationships/hyperlink" Target="https://ck2.paradoxwikis.com/Eastern_religions" TargetMode="External"/><Relationship Id="rId89" Type="http://schemas.openxmlformats.org/officeDocument/2006/relationships/drawing" Target="../drawings/drawing1.xml"/><Relationship Id="rId16" Type="http://schemas.openxmlformats.org/officeDocument/2006/relationships/hyperlink" Target="https://ck2.paradoxwikis.com/File:D_jewish.png" TargetMode="External"/><Relationship Id="rId11" Type="http://schemas.openxmlformats.org/officeDocument/2006/relationships/hyperlink" Target="https://ck2.paradoxwikis.com/Muslims" TargetMode="External"/><Relationship Id="rId32" Type="http://schemas.openxmlformats.org/officeDocument/2006/relationships/hyperlink" Target="https://ck2.paradoxwikis.com/Pagans" TargetMode="External"/><Relationship Id="rId37" Type="http://schemas.openxmlformats.org/officeDocument/2006/relationships/hyperlink" Target="https://ck2.paradoxwikis.com/Pagans" TargetMode="External"/><Relationship Id="rId53" Type="http://schemas.openxmlformats.org/officeDocument/2006/relationships/hyperlink" Target="https://ck2.paradoxwikis.com/Pagans" TargetMode="External"/><Relationship Id="rId58" Type="http://schemas.openxmlformats.org/officeDocument/2006/relationships/hyperlink" Target="https://ck2.paradoxwikis.com/Concubinage" TargetMode="External"/><Relationship Id="rId74" Type="http://schemas.openxmlformats.org/officeDocument/2006/relationships/hyperlink" Target="https://ck2.paradoxwikis.com/File:D_kharijite.png" TargetMode="External"/><Relationship Id="rId79" Type="http://schemas.openxmlformats.org/officeDocument/2006/relationships/hyperlink" Target="https://ck2.paradoxwikis.com/Holy_orders" TargetMode="External"/><Relationship Id="rId5" Type="http://schemas.openxmlformats.org/officeDocument/2006/relationships/hyperlink" Target="https://ck2.paradoxwikis.com/Christianity" TargetMode="External"/><Relationship Id="rId14" Type="http://schemas.openxmlformats.org/officeDocument/2006/relationships/hyperlink" Target="https://ck2.paradoxwikis.com/File:D_ibadi.png" TargetMode="External"/><Relationship Id="rId22" Type="http://schemas.openxmlformats.org/officeDocument/2006/relationships/hyperlink" Target="https://ck2.paradoxwikis.com/Demesne" TargetMode="External"/><Relationship Id="rId27" Type="http://schemas.openxmlformats.org/officeDocument/2006/relationships/hyperlink" Target="https://ck2.paradoxwikis.com/File:D_norse_pagan_reformed.png" TargetMode="External"/><Relationship Id="rId30" Type="http://schemas.openxmlformats.org/officeDocument/2006/relationships/hyperlink" Target="https://ck2.paradoxwikis.com/File:D_slavic_pagan_reformed.png" TargetMode="External"/><Relationship Id="rId35" Type="http://schemas.openxmlformats.org/officeDocument/2006/relationships/hyperlink" Target="https://ck2.paradoxwikis.com/Pagans" TargetMode="External"/><Relationship Id="rId43" Type="http://schemas.openxmlformats.org/officeDocument/2006/relationships/hyperlink" Target="https://ck2.paradoxwikis.com/Pagans" TargetMode="External"/><Relationship Id="rId48" Type="http://schemas.openxmlformats.org/officeDocument/2006/relationships/hyperlink" Target="https://ck2.paradoxwikis.com/File:D_zun_pagan_reformed.png" TargetMode="External"/><Relationship Id="rId56" Type="http://schemas.openxmlformats.org/officeDocument/2006/relationships/hyperlink" Target="https://ck2.paradoxwikis.com/Concubinage" TargetMode="External"/><Relationship Id="rId64" Type="http://schemas.openxmlformats.org/officeDocument/2006/relationships/hyperlink" Target="https://ck2.paradoxwikis.com/File:D_fraticelli.png" TargetMode="External"/><Relationship Id="rId69" Type="http://schemas.openxmlformats.org/officeDocument/2006/relationships/hyperlink" Target="https://ck2.paradoxwikis.com/Casus_Belli" TargetMode="External"/><Relationship Id="rId77" Type="http://schemas.openxmlformats.org/officeDocument/2006/relationships/hyperlink" Target="https://ck2.paradoxwikis.com/Casus_Belli" TargetMode="External"/><Relationship Id="rId8" Type="http://schemas.openxmlformats.org/officeDocument/2006/relationships/hyperlink" Target="https://ck2.paradoxwikis.com/File:D_nestorian.png" TargetMode="External"/><Relationship Id="rId51" Type="http://schemas.openxmlformats.org/officeDocument/2006/relationships/hyperlink" Target="https://ck2.paradoxwikis.com/File:D_bon_reformed.png" TargetMode="External"/><Relationship Id="rId72" Type="http://schemas.openxmlformats.org/officeDocument/2006/relationships/hyperlink" Target="https://ck2.paradoxwikis.com/File:D_paulician.png" TargetMode="External"/><Relationship Id="rId80" Type="http://schemas.openxmlformats.org/officeDocument/2006/relationships/hyperlink" Target="https://ck2.paradoxwikis.com/Casus_Belli" TargetMode="External"/><Relationship Id="rId85" Type="http://schemas.openxmlformats.org/officeDocument/2006/relationships/hyperlink" Target="https://ck2.paradoxwikis.com/Eastern_religions" TargetMode="External"/><Relationship Id="rId3" Type="http://schemas.openxmlformats.org/officeDocument/2006/relationships/hyperlink" Target="https://ck2.paradoxwikis.com/Christianity" TargetMode="External"/><Relationship Id="rId12" Type="http://schemas.openxmlformats.org/officeDocument/2006/relationships/hyperlink" Target="https://ck2.paradoxwikis.com/File:D_shiite.png" TargetMode="External"/><Relationship Id="rId17" Type="http://schemas.openxmlformats.org/officeDocument/2006/relationships/hyperlink" Target="https://ck2.paradoxwikis.com/Zoroastrian" TargetMode="External"/><Relationship Id="rId25" Type="http://schemas.openxmlformats.org/officeDocument/2006/relationships/hyperlink" Target="https://ck2.paradoxwikis.com/Pagans" TargetMode="External"/><Relationship Id="rId33" Type="http://schemas.openxmlformats.org/officeDocument/2006/relationships/hyperlink" Target="https://ck2.paradoxwikis.com/File:D_tengri_pagan_reformed.png" TargetMode="External"/><Relationship Id="rId38" Type="http://schemas.openxmlformats.org/officeDocument/2006/relationships/hyperlink" Target="https://ck2.paradoxwikis.com/Pagans" TargetMode="External"/><Relationship Id="rId46" Type="http://schemas.openxmlformats.org/officeDocument/2006/relationships/hyperlink" Target="https://ck2.paradoxwikis.com/Pagans" TargetMode="External"/><Relationship Id="rId59" Type="http://schemas.openxmlformats.org/officeDocument/2006/relationships/hyperlink" Target="https://ck2.paradoxwikis.com/Casus_Belli" TargetMode="External"/><Relationship Id="rId67" Type="http://schemas.openxmlformats.org/officeDocument/2006/relationships/hyperlink" Target="https://ck2.paradoxwikis.com/File:D_monophysite.png" TargetMode="External"/><Relationship Id="rId20" Type="http://schemas.openxmlformats.org/officeDocument/2006/relationships/hyperlink" Target="https://ck2.paradoxwikis.com/Eastern_religions" TargetMode="External"/><Relationship Id="rId41" Type="http://schemas.openxmlformats.org/officeDocument/2006/relationships/hyperlink" Target="https://ck2.paradoxwikis.com/Pagans" TargetMode="External"/><Relationship Id="rId54" Type="http://schemas.openxmlformats.org/officeDocument/2006/relationships/hyperlink" Target="https://ck2.paradoxwikis.com/File:K_hellenic_pagan.png" TargetMode="External"/><Relationship Id="rId62" Type="http://schemas.openxmlformats.org/officeDocument/2006/relationships/hyperlink" Target="https://ck2.paradoxwikis.com/Christianity" TargetMode="External"/><Relationship Id="rId70" Type="http://schemas.openxmlformats.org/officeDocument/2006/relationships/hyperlink" Target="https://ck2.paradoxwikis.com/File:D_monothelite.png" TargetMode="External"/><Relationship Id="rId75" Type="http://schemas.openxmlformats.org/officeDocument/2006/relationships/hyperlink" Target="https://ck2.paradoxwikis.com/File:D_qarmatian.png" TargetMode="External"/><Relationship Id="rId83" Type="http://schemas.openxmlformats.org/officeDocument/2006/relationships/hyperlink" Target="https://ck2.paradoxwikis.com/Zoroastrian" TargetMode="External"/><Relationship Id="rId88" Type="http://schemas.openxmlformats.org/officeDocument/2006/relationships/printerSettings" Target="../printerSettings/printerSettings2.bin"/><Relationship Id="rId1" Type="http://schemas.openxmlformats.org/officeDocument/2006/relationships/hyperlink" Target="https://ck2.paradoxwikis.com/Christianity" TargetMode="External"/><Relationship Id="rId6" Type="http://schemas.openxmlformats.org/officeDocument/2006/relationships/hyperlink" Target="https://ck2.paradoxwikis.com/File:D_miaphysite.png" TargetMode="External"/><Relationship Id="rId15" Type="http://schemas.openxmlformats.org/officeDocument/2006/relationships/hyperlink" Target="https://ck2.paradoxwikis.com/Judaism" TargetMode="External"/><Relationship Id="rId23" Type="http://schemas.openxmlformats.org/officeDocument/2006/relationships/hyperlink" Target="https://ck2.paradoxwikis.com/Piety" TargetMode="External"/><Relationship Id="rId28" Type="http://schemas.openxmlformats.org/officeDocument/2006/relationships/hyperlink" Target="https://ck2.paradoxwikis.com/Pagans" TargetMode="External"/><Relationship Id="rId36" Type="http://schemas.openxmlformats.org/officeDocument/2006/relationships/hyperlink" Target="https://ck2.paradoxwikis.com/File:D_baltic_pagan_reformed.png" TargetMode="External"/><Relationship Id="rId49" Type="http://schemas.openxmlformats.org/officeDocument/2006/relationships/hyperlink" Target="https://ck2.paradoxwikis.com/Pagans" TargetMode="External"/><Relationship Id="rId57" Type="http://schemas.openxmlformats.org/officeDocument/2006/relationships/hyperlink" Target="https://ck2.paradoxwikis.com/Concubinage" TargetMode="External"/><Relationship Id="rId10" Type="http://schemas.openxmlformats.org/officeDocument/2006/relationships/hyperlink" Target="https://ck2.paradoxwikis.com/File:D_sunni.png" TargetMode="External"/><Relationship Id="rId31" Type="http://schemas.openxmlformats.org/officeDocument/2006/relationships/hyperlink" Target="https://ck2.paradoxwikis.com/Pagans" TargetMode="External"/><Relationship Id="rId44" Type="http://schemas.openxmlformats.org/officeDocument/2006/relationships/hyperlink" Target="https://ck2.paradoxwikis.com/Pagans" TargetMode="External"/><Relationship Id="rId52" Type="http://schemas.openxmlformats.org/officeDocument/2006/relationships/hyperlink" Target="https://ck2.paradoxwikis.com/Pagans" TargetMode="External"/><Relationship Id="rId60" Type="http://schemas.openxmlformats.org/officeDocument/2006/relationships/hyperlink" Target="https://ck2.paradoxwikis.com/Concubinage" TargetMode="External"/><Relationship Id="rId65" Type="http://schemas.openxmlformats.org/officeDocument/2006/relationships/hyperlink" Target="https://ck2.paradoxwikis.com/Casus_Belli" TargetMode="External"/><Relationship Id="rId73" Type="http://schemas.openxmlformats.org/officeDocument/2006/relationships/hyperlink" Target="https://ck2.paradoxwikis.com/File:D_yazidi.png" TargetMode="External"/><Relationship Id="rId78" Type="http://schemas.openxmlformats.org/officeDocument/2006/relationships/hyperlink" Target="https://ck2.paradoxwikis.com/File:D_army_light.png" TargetMode="External"/><Relationship Id="rId81" Type="http://schemas.openxmlformats.org/officeDocument/2006/relationships/hyperlink" Target="https://ck2.paradoxwikis.com/Casus_Belli" TargetMode="External"/><Relationship Id="rId86" Type="http://schemas.openxmlformats.org/officeDocument/2006/relationships/hyperlink" Target="https://ck2.paradoxwikis.com/Eastern_religions" TargetMode="External"/><Relationship Id="rId4" Type="http://schemas.openxmlformats.org/officeDocument/2006/relationships/hyperlink" Target="https://ck2.paradoxwikis.com/File:K_orthodox.png" TargetMode="External"/><Relationship Id="rId9" Type="http://schemas.openxmlformats.org/officeDocument/2006/relationships/hyperlink" Target="https://ck2.paradoxwikis.com/Muslims" TargetMode="External"/><Relationship Id="rId13" Type="http://schemas.openxmlformats.org/officeDocument/2006/relationships/hyperlink" Target="https://ck2.paradoxwikis.com/Muslims" TargetMode="External"/><Relationship Id="rId18" Type="http://schemas.openxmlformats.org/officeDocument/2006/relationships/hyperlink" Target="https://ck2.paradoxwikis.com/File:D_zoroastrian.png" TargetMode="External"/><Relationship Id="rId39" Type="http://schemas.openxmlformats.org/officeDocument/2006/relationships/hyperlink" Target="https://ck2.paradoxwikis.com/File:D_finnish_pagan_reformed.png" TargetMode="External"/><Relationship Id="rId34" Type="http://schemas.openxmlformats.org/officeDocument/2006/relationships/hyperlink" Target="https://ck2.paradoxwikis.com/Pagans" TargetMode="External"/><Relationship Id="rId50" Type="http://schemas.openxmlformats.org/officeDocument/2006/relationships/hyperlink" Target="https://ck2.paradoxwikis.com/Pagans" TargetMode="External"/><Relationship Id="rId55" Type="http://schemas.openxmlformats.org/officeDocument/2006/relationships/hyperlink" Target="https://ck2.paradoxwikis.com/Pagans" TargetMode="External"/><Relationship Id="rId76" Type="http://schemas.openxmlformats.org/officeDocument/2006/relationships/hyperlink" Target="https://ck2.paradoxwikis.com/File:D_hurufi.png" TargetMode="External"/><Relationship Id="rId7" Type="http://schemas.openxmlformats.org/officeDocument/2006/relationships/hyperlink" Target="https://ck2.paradoxwikis.com/Christianity" TargetMode="External"/><Relationship Id="rId71" Type="http://schemas.openxmlformats.org/officeDocument/2006/relationships/hyperlink" Target="https://ck2.paradoxwikis.com/File:D_iconoclast.png" TargetMode="External"/><Relationship Id="rId2" Type="http://schemas.openxmlformats.org/officeDocument/2006/relationships/hyperlink" Target="https://ck2.paradoxwikis.com/File:K_papal_state.png" TargetMode="External"/><Relationship Id="rId29" Type="http://schemas.openxmlformats.org/officeDocument/2006/relationships/hyperlink" Target="https://ck2.paradoxwikis.com/Pagans" TargetMode="External"/><Relationship Id="rId24" Type="http://schemas.openxmlformats.org/officeDocument/2006/relationships/hyperlink" Target="https://ck2.paradoxwikis.com/Eastern_religions" TargetMode="External"/><Relationship Id="rId40" Type="http://schemas.openxmlformats.org/officeDocument/2006/relationships/hyperlink" Target="https://ck2.paradoxwikis.com/Pagans" TargetMode="External"/><Relationship Id="rId45" Type="http://schemas.openxmlformats.org/officeDocument/2006/relationships/hyperlink" Target="https://ck2.paradoxwikis.com/File:D_aztec_reformed.png" TargetMode="External"/><Relationship Id="rId66" Type="http://schemas.openxmlformats.org/officeDocument/2006/relationships/hyperlink" Target="https://ck2.paradoxwikis.com/Casus_Belli" TargetMode="External"/><Relationship Id="rId87" Type="http://schemas.openxmlformats.org/officeDocument/2006/relationships/hyperlink" Target="https://ck2.paradoxwikis.com/Eastern_religions" TargetMode="External"/><Relationship Id="rId61" Type="http://schemas.openxmlformats.org/officeDocument/2006/relationships/hyperlink" Target="https://ck2.paradoxwikis.com/Concubinage" TargetMode="External"/><Relationship Id="rId82" Type="http://schemas.openxmlformats.org/officeDocument/2006/relationships/hyperlink" Target="https://ck2.paradoxwikis.com/Casus_Belli" TargetMode="External"/><Relationship Id="rId19" Type="http://schemas.openxmlformats.org/officeDocument/2006/relationships/hyperlink" Target="https://ck2.paradoxwikis.com/Eastern_religions" TargetMode="External"/></Relationships>
</file>

<file path=xl/worksheets/_rels/sheet10.xml.rels><?xml version="1.0" encoding="UTF-8" standalone="yes"?>
<Relationships xmlns="http://schemas.openxmlformats.org/package/2006/relationships"><Relationship Id="rId8" Type="http://schemas.openxmlformats.org/officeDocument/2006/relationships/hyperlink" Target="https://ck2.paradoxwikis.com/Imprisonment" TargetMode="External"/><Relationship Id="rId3" Type="http://schemas.openxmlformats.org/officeDocument/2006/relationships/hyperlink" Target="https://ck2.paradoxwikis.com/Tanistry" TargetMode="External"/><Relationship Id="rId7" Type="http://schemas.openxmlformats.org/officeDocument/2006/relationships/hyperlink" Target="https://ck2.paradoxwikis.com/Game_rules" TargetMode="External"/><Relationship Id="rId12" Type="http://schemas.openxmlformats.org/officeDocument/2006/relationships/drawing" Target="../drawings/drawing2.xml"/><Relationship Id="rId2" Type="http://schemas.openxmlformats.org/officeDocument/2006/relationships/hyperlink" Target="https://ck2.paradoxwikis.com/Absolute_cognatic" TargetMode="External"/><Relationship Id="rId1" Type="http://schemas.openxmlformats.org/officeDocument/2006/relationships/hyperlink" Target="https://ck2.paradoxwikis.com/Decisions" TargetMode="External"/><Relationship Id="rId6" Type="http://schemas.openxmlformats.org/officeDocument/2006/relationships/hyperlink" Target="https://ck2.paradoxwikis.com/Absolute_cognatic" TargetMode="External"/><Relationship Id="rId11" Type="http://schemas.openxmlformats.org/officeDocument/2006/relationships/printerSettings" Target="../printerSettings/printerSettings3.bin"/><Relationship Id="rId5" Type="http://schemas.openxmlformats.org/officeDocument/2006/relationships/hyperlink" Target="https://ck2.paradoxwikis.com/Tribal_Invasion" TargetMode="External"/><Relationship Id="rId10" Type="http://schemas.openxmlformats.org/officeDocument/2006/relationships/hyperlink" Target="https://ck2.paradoxwikis.com/Imprisonment" TargetMode="External"/><Relationship Id="rId4" Type="http://schemas.openxmlformats.org/officeDocument/2006/relationships/hyperlink" Target="https://ck2.paradoxwikis.com/Horse_Lords" TargetMode="External"/><Relationship Id="rId9" Type="http://schemas.openxmlformats.org/officeDocument/2006/relationships/hyperlink" Target="https://ck2.paradoxwikis.com/Duel" TargetMode="External"/></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20.xml.rels><?xml version="1.0" encoding="UTF-8" standalone="yes"?>
<Relationships xmlns="http://schemas.openxmlformats.org/package/2006/relationships"><Relationship Id="rId8" Type="http://schemas.openxmlformats.org/officeDocument/2006/relationships/hyperlink" Target="https://ck2.paradoxwikis.com/Map_modding" TargetMode="External"/><Relationship Id="rId3" Type="http://schemas.openxmlformats.org/officeDocument/2006/relationships/hyperlink" Target="https://ck2.paradoxwikis.com/Kingdoms" TargetMode="External"/><Relationship Id="rId7" Type="http://schemas.openxmlformats.org/officeDocument/2006/relationships/hyperlink" Target="https://ck2.paradoxwikis.com/Holding" TargetMode="External"/><Relationship Id="rId2" Type="http://schemas.openxmlformats.org/officeDocument/2006/relationships/hyperlink" Target="https://ck2.paradoxwikis.com/Duchies" TargetMode="External"/><Relationship Id="rId1" Type="http://schemas.openxmlformats.org/officeDocument/2006/relationships/hyperlink" Target="https://ck2.paradoxwikis.com/Map_modding" TargetMode="External"/><Relationship Id="rId6" Type="http://schemas.openxmlformats.org/officeDocument/2006/relationships/hyperlink" Target="https://ck2.paradoxwikis.com/Religion" TargetMode="External"/><Relationship Id="rId5" Type="http://schemas.openxmlformats.org/officeDocument/2006/relationships/hyperlink" Target="https://ck2.paradoxwikis.com/Culture" TargetMode="External"/><Relationship Id="rId4" Type="http://schemas.openxmlformats.org/officeDocument/2006/relationships/hyperlink" Target="https://ck2.paradoxwikis.com/Empires" TargetMode="External"/><Relationship Id="rId9"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A14B6C-DF6B-4D0C-AC3F-A37CAF212EF7}">
  <sheetPr codeName="Sheet1"/>
  <dimension ref="A1:U18"/>
  <sheetViews>
    <sheetView workbookViewId="0">
      <selection activeCell="D18" sqref="D18"/>
    </sheetView>
  </sheetViews>
  <sheetFormatPr defaultRowHeight="14.35" x14ac:dyDescent="0.5"/>
  <cols>
    <col min="1" max="1" width="10.3515625" bestFit="1" customWidth="1"/>
    <col min="2" max="2" width="6.64453125" customWidth="1"/>
    <col min="3" max="3" width="10.1171875" customWidth="1"/>
    <col min="4" max="4" width="13.64453125" bestFit="1" customWidth="1"/>
    <col min="5" max="5" width="15.87890625" customWidth="1"/>
    <col min="6" max="7" width="15.52734375" customWidth="1"/>
    <col min="8" max="8" width="12.1171875" customWidth="1"/>
    <col min="9" max="11" width="14.52734375" customWidth="1"/>
    <col min="12" max="12" width="17.52734375" bestFit="1" customWidth="1"/>
    <col min="13" max="13" width="2.64453125" customWidth="1"/>
    <col min="14" max="14" width="9" customWidth="1"/>
    <col min="15" max="15" width="3.52734375" customWidth="1"/>
    <col min="16" max="16" width="10.41015625" customWidth="1"/>
    <col min="17" max="17" width="3.1171875" customWidth="1"/>
    <col min="18" max="18" width="11.3515625" customWidth="1"/>
    <col min="19" max="19" width="3.3515625" customWidth="1"/>
    <col min="20" max="20" width="11.52734375" customWidth="1"/>
    <col min="21" max="21" width="3.41015625" customWidth="1"/>
  </cols>
  <sheetData>
    <row r="1" spans="1:21" x14ac:dyDescent="0.5">
      <c r="A1" s="7" t="s">
        <v>0</v>
      </c>
      <c r="B1" s="8" t="s">
        <v>29</v>
      </c>
      <c r="C1" s="8" t="s">
        <v>1</v>
      </c>
      <c r="D1" s="8" t="s">
        <v>6785</v>
      </c>
      <c r="E1" s="8" t="s">
        <v>78</v>
      </c>
      <c r="F1" s="8" t="s">
        <v>2</v>
      </c>
      <c r="G1" s="8" t="s">
        <v>3</v>
      </c>
      <c r="H1" s="9" t="s">
        <v>14</v>
      </c>
      <c r="I1" s="9" t="s">
        <v>37</v>
      </c>
      <c r="J1" s="9" t="s">
        <v>38</v>
      </c>
      <c r="K1" s="9" t="s">
        <v>31</v>
      </c>
      <c r="L1" s="8" t="s">
        <v>25</v>
      </c>
      <c r="M1" s="8" t="s">
        <v>79</v>
      </c>
      <c r="N1" s="8" t="s">
        <v>21</v>
      </c>
      <c r="O1" s="8" t="s">
        <v>80</v>
      </c>
      <c r="P1" s="8" t="s">
        <v>24</v>
      </c>
      <c r="Q1" s="17" t="s">
        <v>81</v>
      </c>
      <c r="R1" s="8" t="s">
        <v>84</v>
      </c>
      <c r="S1" s="8" t="s">
        <v>82</v>
      </c>
      <c r="T1" s="8" t="s">
        <v>85</v>
      </c>
      <c r="U1" s="8" t="s">
        <v>83</v>
      </c>
    </row>
    <row r="2" spans="1:21" x14ac:dyDescent="0.5">
      <c r="A2" s="2" t="s">
        <v>4</v>
      </c>
      <c r="B2" s="1">
        <v>100</v>
      </c>
      <c r="C2" s="1" t="s">
        <v>16</v>
      </c>
      <c r="D2" s="1">
        <f t="shared" ref="D2:D13" si="0">ROUND(($B2/$B$13)*107,0)</f>
        <v>22</v>
      </c>
      <c r="E2" s="1">
        <f t="shared" ref="E2:E13" si="1">ROUND(($B2/$B$13)*2500,0)</f>
        <v>517</v>
      </c>
      <c r="F2" s="1">
        <f>ROUND(($B2/$B$13)*2000,0)</f>
        <v>413</v>
      </c>
      <c r="G2" s="1">
        <f>ROUND(($B2/$B$13)*1800,0)</f>
        <v>372</v>
      </c>
      <c r="H2" s="3">
        <f>ROUND(($B2/$B$13)*28,0)</f>
        <v>6</v>
      </c>
      <c r="I2" s="12" t="s">
        <v>30</v>
      </c>
      <c r="J2" s="12" t="s">
        <v>30</v>
      </c>
      <c r="K2" s="12" t="s">
        <v>30</v>
      </c>
      <c r="L2" s="10" t="s">
        <v>26</v>
      </c>
      <c r="M2" s="10">
        <v>31.2</v>
      </c>
      <c r="N2" s="10" t="s">
        <v>27</v>
      </c>
      <c r="O2" s="10">
        <v>24.1</v>
      </c>
      <c r="P2" s="10" t="s">
        <v>28</v>
      </c>
      <c r="Q2" s="10">
        <v>16</v>
      </c>
      <c r="R2" s="10" t="s">
        <v>23</v>
      </c>
      <c r="S2" s="10">
        <v>15.1</v>
      </c>
      <c r="T2" s="10" t="s">
        <v>22</v>
      </c>
      <c r="U2" s="10">
        <v>6.9</v>
      </c>
    </row>
    <row r="3" spans="1:21" x14ac:dyDescent="0.5">
      <c r="A3" s="2" t="s">
        <v>5</v>
      </c>
      <c r="B3" s="1">
        <v>26</v>
      </c>
      <c r="C3" s="1" t="s">
        <v>4</v>
      </c>
      <c r="D3" s="1">
        <f t="shared" si="0"/>
        <v>6</v>
      </c>
      <c r="E3" s="1">
        <f t="shared" si="1"/>
        <v>134</v>
      </c>
      <c r="F3" s="1">
        <f t="shared" ref="F3:F13" si="2">ROUND(($B3/$B$13)*2000,0)</f>
        <v>107</v>
      </c>
      <c r="G3" s="1">
        <f t="shared" ref="G3:G13" si="3">ROUND(($B3/$B$13)*1800,0)</f>
        <v>97</v>
      </c>
      <c r="H3" s="3">
        <f t="shared" ref="H3:H13" si="4">ROUND(($B3/$B$13)*28,0)</f>
        <v>2</v>
      </c>
      <c r="I3" s="3" t="s">
        <v>41</v>
      </c>
      <c r="J3" s="3" t="s">
        <v>42</v>
      </c>
      <c r="K3" s="3" t="s">
        <v>32</v>
      </c>
      <c r="L3" s="1"/>
      <c r="M3" s="1"/>
      <c r="N3" s="1"/>
      <c r="O3" s="1"/>
      <c r="P3" s="1"/>
      <c r="Q3" s="1"/>
      <c r="R3" s="1"/>
      <c r="S3" s="1"/>
      <c r="T3" s="1"/>
      <c r="U3" s="1"/>
    </row>
    <row r="4" spans="1:21" x14ac:dyDescent="0.5">
      <c r="A4" s="2" t="s">
        <v>6</v>
      </c>
      <c r="B4" s="1">
        <v>38</v>
      </c>
      <c r="C4" s="1" t="s">
        <v>16</v>
      </c>
      <c r="D4" s="1">
        <f t="shared" si="0"/>
        <v>8</v>
      </c>
      <c r="E4" s="1">
        <f t="shared" si="1"/>
        <v>196</v>
      </c>
      <c r="F4" s="1">
        <f t="shared" si="2"/>
        <v>157</v>
      </c>
      <c r="G4" s="1">
        <f t="shared" si="3"/>
        <v>141</v>
      </c>
      <c r="H4" s="3">
        <f t="shared" si="4"/>
        <v>2</v>
      </c>
      <c r="I4" s="3" t="s">
        <v>39</v>
      </c>
      <c r="J4" s="3" t="s">
        <v>36</v>
      </c>
      <c r="K4" s="3" t="s">
        <v>33</v>
      </c>
      <c r="L4" s="1"/>
      <c r="M4" s="1"/>
      <c r="N4" s="1"/>
      <c r="O4" s="1"/>
      <c r="P4" s="1"/>
      <c r="Q4" s="1"/>
      <c r="R4" s="1"/>
      <c r="S4" s="1"/>
      <c r="T4" s="1"/>
      <c r="U4" s="1"/>
    </row>
    <row r="5" spans="1:21" x14ac:dyDescent="0.5">
      <c r="A5" s="2" t="s">
        <v>15</v>
      </c>
      <c r="B5" s="1">
        <v>95</v>
      </c>
      <c r="C5" s="1" t="s">
        <v>16</v>
      </c>
      <c r="D5" s="1">
        <f t="shared" si="0"/>
        <v>21</v>
      </c>
      <c r="E5" s="1">
        <f t="shared" si="1"/>
        <v>491</v>
      </c>
      <c r="F5" s="1">
        <f t="shared" si="2"/>
        <v>393</v>
      </c>
      <c r="G5" s="1">
        <f t="shared" si="3"/>
        <v>353</v>
      </c>
      <c r="H5" s="3">
        <f t="shared" si="4"/>
        <v>5</v>
      </c>
      <c r="I5" s="3" t="s">
        <v>36</v>
      </c>
      <c r="J5" s="3" t="s">
        <v>40</v>
      </c>
      <c r="K5" s="3" t="s">
        <v>33</v>
      </c>
      <c r="L5" s="1"/>
      <c r="M5" s="1"/>
      <c r="N5" s="1"/>
      <c r="O5" s="1"/>
      <c r="P5" s="1"/>
      <c r="Q5" s="1"/>
      <c r="R5" s="1"/>
      <c r="S5" s="1"/>
      <c r="T5" s="1"/>
      <c r="U5" s="1"/>
    </row>
    <row r="6" spans="1:21" x14ac:dyDescent="0.5">
      <c r="A6" s="2" t="s">
        <v>7</v>
      </c>
      <c r="B6" s="1">
        <v>53</v>
      </c>
      <c r="C6" s="1" t="s">
        <v>16</v>
      </c>
      <c r="D6" s="1">
        <f t="shared" si="0"/>
        <v>12</v>
      </c>
      <c r="E6" s="1">
        <f t="shared" si="1"/>
        <v>274</v>
      </c>
      <c r="F6" s="1">
        <f t="shared" si="2"/>
        <v>219</v>
      </c>
      <c r="G6" s="1">
        <f t="shared" si="3"/>
        <v>197</v>
      </c>
      <c r="H6" s="3">
        <f t="shared" si="4"/>
        <v>3</v>
      </c>
      <c r="I6" s="3" t="s">
        <v>30</v>
      </c>
      <c r="J6" s="3" t="s">
        <v>30</v>
      </c>
      <c r="K6" s="3" t="s">
        <v>34</v>
      </c>
      <c r="L6" s="1"/>
      <c r="M6" s="1"/>
      <c r="N6" s="1"/>
      <c r="O6" s="1"/>
      <c r="P6" s="1"/>
      <c r="Q6" s="1"/>
      <c r="R6" s="1"/>
      <c r="S6" s="1"/>
      <c r="T6" s="1"/>
      <c r="U6" s="1"/>
    </row>
    <row r="7" spans="1:21" x14ac:dyDescent="0.5">
      <c r="A7" s="2" t="s">
        <v>8</v>
      </c>
      <c r="B7" s="1">
        <v>7</v>
      </c>
      <c r="C7" s="1" t="s">
        <v>16</v>
      </c>
      <c r="D7" s="1">
        <f t="shared" si="0"/>
        <v>2</v>
      </c>
      <c r="E7" s="1">
        <f t="shared" si="1"/>
        <v>36</v>
      </c>
      <c r="F7" s="1">
        <f t="shared" si="2"/>
        <v>29</v>
      </c>
      <c r="G7" s="1">
        <f t="shared" si="3"/>
        <v>26</v>
      </c>
      <c r="H7" s="3">
        <f t="shared" si="4"/>
        <v>0</v>
      </c>
      <c r="I7" s="3" t="s">
        <v>41</v>
      </c>
      <c r="J7" s="3" t="s">
        <v>42</v>
      </c>
      <c r="K7" s="3" t="s">
        <v>32</v>
      </c>
      <c r="L7" s="1"/>
      <c r="M7" s="1"/>
      <c r="N7" s="1"/>
      <c r="O7" s="1"/>
      <c r="P7" s="1"/>
      <c r="Q7" s="1"/>
      <c r="R7" s="1"/>
      <c r="S7" s="1"/>
      <c r="T7" s="1"/>
      <c r="U7" s="1"/>
    </row>
    <row r="8" spans="1:21" x14ac:dyDescent="0.5">
      <c r="A8" s="2" t="s">
        <v>9</v>
      </c>
      <c r="B8" s="1">
        <v>40</v>
      </c>
      <c r="C8" s="1" t="s">
        <v>17</v>
      </c>
      <c r="D8" s="1">
        <f t="shared" si="0"/>
        <v>9</v>
      </c>
      <c r="E8" s="1">
        <f t="shared" si="1"/>
        <v>207</v>
      </c>
      <c r="F8" s="1">
        <f t="shared" si="2"/>
        <v>165</v>
      </c>
      <c r="G8" s="1">
        <f t="shared" si="3"/>
        <v>149</v>
      </c>
      <c r="H8" s="3">
        <f t="shared" si="4"/>
        <v>2</v>
      </c>
      <c r="I8" s="3" t="s">
        <v>30</v>
      </c>
      <c r="J8" s="3" t="s">
        <v>44</v>
      </c>
      <c r="K8" s="3" t="s">
        <v>46</v>
      </c>
      <c r="L8" s="1"/>
      <c r="M8" s="1"/>
      <c r="N8" s="1"/>
      <c r="O8" s="1"/>
      <c r="P8" s="1"/>
      <c r="Q8" s="1"/>
      <c r="R8" s="1"/>
      <c r="S8" s="1"/>
      <c r="T8" s="1"/>
      <c r="U8" s="1"/>
    </row>
    <row r="9" spans="1:21" x14ac:dyDescent="0.5">
      <c r="A9" s="2" t="s">
        <v>10</v>
      </c>
      <c r="B9" s="1">
        <v>38</v>
      </c>
      <c r="C9" s="1" t="s">
        <v>18</v>
      </c>
      <c r="D9" s="1">
        <f t="shared" si="0"/>
        <v>8</v>
      </c>
      <c r="E9" s="1">
        <f t="shared" si="1"/>
        <v>196</v>
      </c>
      <c r="F9" s="1">
        <f t="shared" si="2"/>
        <v>157</v>
      </c>
      <c r="G9" s="1">
        <f t="shared" si="3"/>
        <v>141</v>
      </c>
      <c r="H9" s="3">
        <f t="shared" si="4"/>
        <v>2</v>
      </c>
      <c r="I9" s="3" t="s">
        <v>48</v>
      </c>
      <c r="J9" s="3" t="s">
        <v>42</v>
      </c>
      <c r="K9" s="3" t="s">
        <v>35</v>
      </c>
      <c r="L9" s="1"/>
      <c r="M9" s="1"/>
      <c r="N9" s="1"/>
      <c r="O9" s="1"/>
      <c r="P9" s="1"/>
      <c r="Q9" s="1"/>
      <c r="R9" s="1"/>
      <c r="S9" s="1"/>
      <c r="T9" s="1"/>
      <c r="U9" s="1"/>
    </row>
    <row r="10" spans="1:21" x14ac:dyDescent="0.5">
      <c r="A10" s="2" t="s">
        <v>11</v>
      </c>
      <c r="B10" s="1">
        <v>25</v>
      </c>
      <c r="C10" s="1" t="s">
        <v>18</v>
      </c>
      <c r="D10" s="1">
        <f t="shared" si="0"/>
        <v>6</v>
      </c>
      <c r="E10" s="1">
        <f t="shared" si="1"/>
        <v>129</v>
      </c>
      <c r="F10" s="1">
        <f t="shared" si="2"/>
        <v>103</v>
      </c>
      <c r="G10" s="1">
        <f t="shared" si="3"/>
        <v>93</v>
      </c>
      <c r="H10" s="3">
        <f t="shared" si="4"/>
        <v>1</v>
      </c>
      <c r="I10" s="3" t="s">
        <v>42</v>
      </c>
      <c r="J10" s="3" t="s">
        <v>40</v>
      </c>
      <c r="K10" s="3" t="s">
        <v>35</v>
      </c>
      <c r="L10" s="1" t="s">
        <v>86</v>
      </c>
      <c r="M10" s="1"/>
      <c r="N10" s="1"/>
      <c r="O10" s="1"/>
      <c r="P10" s="1"/>
      <c r="Q10" s="1"/>
      <c r="R10" s="1"/>
      <c r="S10" s="1"/>
      <c r="T10" s="1"/>
      <c r="U10" s="1"/>
    </row>
    <row r="11" spans="1:21" x14ac:dyDescent="0.5">
      <c r="A11" s="2" t="s">
        <v>20</v>
      </c>
      <c r="B11" s="1">
        <v>41</v>
      </c>
      <c r="C11" s="1" t="s">
        <v>18</v>
      </c>
      <c r="D11" s="1">
        <f t="shared" si="0"/>
        <v>9</v>
      </c>
      <c r="E11" s="1">
        <f t="shared" si="1"/>
        <v>212</v>
      </c>
      <c r="F11" s="1">
        <f t="shared" si="2"/>
        <v>169</v>
      </c>
      <c r="G11" s="1">
        <f t="shared" si="3"/>
        <v>152</v>
      </c>
      <c r="H11" s="3">
        <f t="shared" si="4"/>
        <v>2</v>
      </c>
      <c r="I11" s="3" t="s">
        <v>43</v>
      </c>
      <c r="J11" s="3" t="s">
        <v>47</v>
      </c>
      <c r="K11" s="3" t="s">
        <v>34</v>
      </c>
      <c r="L11" s="1"/>
      <c r="M11" s="1"/>
      <c r="N11" s="1"/>
      <c r="O11" s="1"/>
      <c r="P11" s="1"/>
      <c r="Q11" s="1"/>
      <c r="R11" s="1"/>
      <c r="S11" s="1"/>
      <c r="T11" s="1"/>
      <c r="U11" s="1"/>
    </row>
    <row r="12" spans="1:21" x14ac:dyDescent="0.5">
      <c r="A12" s="2" t="s">
        <v>12</v>
      </c>
      <c r="B12" s="1">
        <v>21</v>
      </c>
      <c r="C12" s="1" t="s">
        <v>19</v>
      </c>
      <c r="D12" s="1">
        <f t="shared" si="0"/>
        <v>5</v>
      </c>
      <c r="E12" s="1">
        <f t="shared" si="1"/>
        <v>108</v>
      </c>
      <c r="F12" s="1">
        <f t="shared" si="2"/>
        <v>87</v>
      </c>
      <c r="G12" s="1">
        <f t="shared" si="3"/>
        <v>78</v>
      </c>
      <c r="H12" s="3">
        <f t="shared" si="4"/>
        <v>1</v>
      </c>
      <c r="I12" s="3" t="s">
        <v>44</v>
      </c>
      <c r="J12" s="3" t="s">
        <v>45</v>
      </c>
      <c r="K12" s="3" t="s">
        <v>46</v>
      </c>
      <c r="L12" s="1"/>
      <c r="M12" s="1"/>
      <c r="N12" s="1"/>
      <c r="O12" s="1"/>
      <c r="P12" s="1"/>
      <c r="Q12" s="1"/>
      <c r="R12" s="1"/>
      <c r="S12" s="1"/>
      <c r="T12" s="1"/>
      <c r="U12" s="1"/>
    </row>
    <row r="13" spans="1:21" x14ac:dyDescent="0.5">
      <c r="A13" s="4" t="s">
        <v>13</v>
      </c>
      <c r="B13" s="5">
        <f>SUM(B2:B12)</f>
        <v>484</v>
      </c>
      <c r="C13" s="5" t="s">
        <v>16</v>
      </c>
      <c r="D13" s="5">
        <f t="shared" si="0"/>
        <v>107</v>
      </c>
      <c r="E13" s="5">
        <f t="shared" si="1"/>
        <v>2500</v>
      </c>
      <c r="F13" s="5">
        <f t="shared" si="2"/>
        <v>2000</v>
      </c>
      <c r="G13" s="5">
        <f t="shared" si="3"/>
        <v>1800</v>
      </c>
      <c r="H13" s="6">
        <f t="shared" si="4"/>
        <v>28</v>
      </c>
      <c r="I13" s="6"/>
      <c r="J13" s="6"/>
      <c r="K13" s="6"/>
      <c r="L13" s="11"/>
      <c r="M13" s="11"/>
      <c r="N13" s="11"/>
      <c r="O13" s="11"/>
      <c r="P13" s="11"/>
      <c r="Q13" s="11"/>
      <c r="R13" s="11"/>
      <c r="S13" s="11"/>
      <c r="T13" s="11"/>
      <c r="U13" s="11"/>
    </row>
    <row r="18" spans="1:4" x14ac:dyDescent="0.5">
      <c r="A18" t="s">
        <v>6786</v>
      </c>
      <c r="D18" s="199"/>
    </row>
  </sheetData>
  <phoneticPr fontId="1" type="noConversion"/>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4EB2E0-926A-4E5B-9A6D-5074F61A698A}">
  <sheetPr codeName="Sheet2" filterMode="1"/>
  <dimension ref="A1:S20"/>
  <sheetViews>
    <sheetView workbookViewId="0">
      <selection activeCell="D31" sqref="A30:D31"/>
    </sheetView>
  </sheetViews>
  <sheetFormatPr defaultRowHeight="14.35" x14ac:dyDescent="0.5"/>
  <cols>
    <col min="2" max="2" width="18" bestFit="1" customWidth="1"/>
  </cols>
  <sheetData>
    <row r="1" spans="1:19" x14ac:dyDescent="0.5">
      <c r="A1" t="s">
        <v>117</v>
      </c>
      <c r="B1" t="s">
        <v>132</v>
      </c>
      <c r="C1" t="s">
        <v>133</v>
      </c>
      <c r="D1" s="18" t="s">
        <v>79</v>
      </c>
      <c r="E1">
        <v>1</v>
      </c>
      <c r="F1" t="s">
        <v>79</v>
      </c>
      <c r="G1">
        <v>2</v>
      </c>
      <c r="H1" t="s">
        <v>79</v>
      </c>
      <c r="I1">
        <v>3</v>
      </c>
      <c r="J1" t="s">
        <v>79</v>
      </c>
      <c r="K1">
        <v>4</v>
      </c>
      <c r="L1" t="s">
        <v>79</v>
      </c>
      <c r="M1">
        <v>5</v>
      </c>
      <c r="N1" t="s">
        <v>79</v>
      </c>
      <c r="O1">
        <v>6</v>
      </c>
      <c r="P1" t="s">
        <v>79</v>
      </c>
      <c r="Q1">
        <v>7</v>
      </c>
      <c r="R1" t="s">
        <v>79</v>
      </c>
      <c r="S1">
        <v>8</v>
      </c>
    </row>
    <row r="2" spans="1:19" ht="15.35" x14ac:dyDescent="0.5">
      <c r="B2" s="20" t="s">
        <v>128</v>
      </c>
      <c r="C2" s="21" t="s">
        <v>87</v>
      </c>
      <c r="D2" s="18">
        <v>0.6</v>
      </c>
      <c r="E2" t="s">
        <v>88</v>
      </c>
      <c r="F2" s="18">
        <v>0.2</v>
      </c>
      <c r="G2" t="s">
        <v>22</v>
      </c>
      <c r="H2" s="18">
        <v>0.09</v>
      </c>
      <c r="I2" t="s">
        <v>89</v>
      </c>
      <c r="J2" s="18">
        <v>0.06</v>
      </c>
      <c r="K2" t="s">
        <v>90</v>
      </c>
    </row>
    <row r="3" spans="1:19" ht="15.35" x14ac:dyDescent="0.5">
      <c r="B3" s="20" t="s">
        <v>128</v>
      </c>
      <c r="C3" s="21" t="s">
        <v>91</v>
      </c>
      <c r="D3" s="18">
        <v>1</v>
      </c>
      <c r="E3" t="s">
        <v>92</v>
      </c>
    </row>
    <row r="4" spans="1:19" ht="15.35" x14ac:dyDescent="0.5">
      <c r="B4" s="20" t="s">
        <v>128</v>
      </c>
      <c r="C4" s="21" t="s">
        <v>93</v>
      </c>
      <c r="D4" s="18">
        <v>1</v>
      </c>
      <c r="E4" t="s">
        <v>92</v>
      </c>
    </row>
    <row r="5" spans="1:19" ht="15.35" x14ac:dyDescent="0.5">
      <c r="B5" s="20" t="s">
        <v>128</v>
      </c>
      <c r="C5" s="21" t="s">
        <v>94</v>
      </c>
      <c r="D5" s="18">
        <v>1</v>
      </c>
      <c r="E5" t="s">
        <v>22</v>
      </c>
    </row>
    <row r="6" spans="1:19" ht="15.35" x14ac:dyDescent="0.5">
      <c r="B6" s="20" t="s">
        <v>128</v>
      </c>
      <c r="C6" s="21" t="s">
        <v>95</v>
      </c>
      <c r="D6" s="18">
        <v>0.14000000000000001</v>
      </c>
      <c r="E6" t="s">
        <v>96</v>
      </c>
      <c r="F6" s="18">
        <v>0.73</v>
      </c>
      <c r="G6" t="s">
        <v>22</v>
      </c>
      <c r="H6" s="19">
        <v>7.4999999999999997E-2</v>
      </c>
      <c r="I6" t="s">
        <v>49</v>
      </c>
    </row>
    <row r="7" spans="1:19" ht="15.35" x14ac:dyDescent="0.5">
      <c r="B7" s="20" t="s">
        <v>128</v>
      </c>
      <c r="C7" s="21" t="s">
        <v>97</v>
      </c>
      <c r="D7" s="18">
        <v>0.5</v>
      </c>
      <c r="E7" t="s">
        <v>22</v>
      </c>
      <c r="F7" s="18">
        <v>0.5</v>
      </c>
      <c r="G7" t="s">
        <v>98</v>
      </c>
      <c r="H7" t="s">
        <v>99</v>
      </c>
      <c r="I7" t="s">
        <v>100</v>
      </c>
    </row>
    <row r="8" spans="1:19" ht="15.35" hidden="1" x14ac:dyDescent="0.5">
      <c r="B8" s="20" t="s">
        <v>128</v>
      </c>
      <c r="C8" s="21" t="s">
        <v>101</v>
      </c>
      <c r="D8" s="18">
        <v>0.5</v>
      </c>
      <c r="E8" t="s">
        <v>90</v>
      </c>
      <c r="F8" s="18">
        <v>0.5</v>
      </c>
      <c r="G8" t="s">
        <v>102</v>
      </c>
    </row>
    <row r="9" spans="1:19" x14ac:dyDescent="0.5">
      <c r="B9" s="22" t="s">
        <v>129</v>
      </c>
      <c r="C9" s="22" t="s">
        <v>103</v>
      </c>
      <c r="D9" s="18">
        <v>0.85</v>
      </c>
      <c r="E9" t="s">
        <v>88</v>
      </c>
      <c r="F9" s="19">
        <v>7.5999999999999998E-2</v>
      </c>
      <c r="G9" t="s">
        <v>104</v>
      </c>
      <c r="H9" s="18">
        <v>0.03</v>
      </c>
      <c r="I9" t="s">
        <v>105</v>
      </c>
    </row>
    <row r="10" spans="1:19" x14ac:dyDescent="0.5">
      <c r="A10" t="s">
        <v>117</v>
      </c>
      <c r="B10" s="22" t="s">
        <v>129</v>
      </c>
      <c r="C10" s="22" t="s">
        <v>106</v>
      </c>
      <c r="D10" s="18">
        <v>0.8</v>
      </c>
      <c r="E10" t="s">
        <v>105</v>
      </c>
      <c r="F10" s="18">
        <v>0.09</v>
      </c>
      <c r="G10" t="s">
        <v>135</v>
      </c>
    </row>
    <row r="11" spans="1:19" x14ac:dyDescent="0.5">
      <c r="B11" s="22" t="s">
        <v>129</v>
      </c>
      <c r="C11" s="22" t="s">
        <v>118</v>
      </c>
      <c r="D11" s="18">
        <v>1</v>
      </c>
      <c r="E11" t="s">
        <v>49</v>
      </c>
    </row>
    <row r="12" spans="1:19" x14ac:dyDescent="0.5">
      <c r="B12" s="22" t="s">
        <v>129</v>
      </c>
      <c r="C12" s="22" t="s">
        <v>119</v>
      </c>
      <c r="D12" s="18">
        <v>0.18</v>
      </c>
      <c r="E12" t="s">
        <v>105</v>
      </c>
      <c r="F12" s="18">
        <v>0.13</v>
      </c>
      <c r="G12" t="s">
        <v>120</v>
      </c>
      <c r="H12" s="18">
        <v>0.1</v>
      </c>
      <c r="I12" t="s">
        <v>121</v>
      </c>
      <c r="J12" s="18">
        <v>0.1</v>
      </c>
      <c r="K12" t="s">
        <v>123</v>
      </c>
      <c r="L12" s="18">
        <v>0.06</v>
      </c>
      <c r="M12" t="s">
        <v>122</v>
      </c>
      <c r="N12" s="18">
        <v>0.03</v>
      </c>
      <c r="O12" t="s">
        <v>124</v>
      </c>
      <c r="P12" s="18">
        <v>0.03</v>
      </c>
      <c r="Q12" t="s">
        <v>130</v>
      </c>
      <c r="R12" s="18">
        <v>0.03</v>
      </c>
      <c r="S12" t="s">
        <v>131</v>
      </c>
    </row>
    <row r="13" spans="1:19" x14ac:dyDescent="0.5">
      <c r="B13" s="22" t="s">
        <v>129</v>
      </c>
      <c r="C13" s="22" t="s">
        <v>108</v>
      </c>
      <c r="D13" s="18">
        <v>0.23</v>
      </c>
      <c r="E13" t="s">
        <v>105</v>
      </c>
      <c r="F13" s="18">
        <v>0.23</v>
      </c>
      <c r="G13" t="s">
        <v>61</v>
      </c>
      <c r="H13" s="18">
        <v>0.3</v>
      </c>
      <c r="I13" t="s">
        <v>110</v>
      </c>
      <c r="J13" s="18">
        <v>0.24</v>
      </c>
      <c r="K13" t="s">
        <v>98</v>
      </c>
    </row>
    <row r="14" spans="1:19" x14ac:dyDescent="0.5">
      <c r="B14" s="22" t="s">
        <v>129</v>
      </c>
      <c r="C14" s="22" t="s">
        <v>109</v>
      </c>
      <c r="D14" s="18">
        <v>0.13</v>
      </c>
      <c r="E14" t="s">
        <v>49</v>
      </c>
      <c r="F14" s="18">
        <v>0.37</v>
      </c>
      <c r="G14" t="s">
        <v>134</v>
      </c>
      <c r="H14" s="18">
        <v>0.31</v>
      </c>
      <c r="I14" t="s">
        <v>110</v>
      </c>
    </row>
    <row r="15" spans="1:19" x14ac:dyDescent="0.5">
      <c r="B15" s="22" t="s">
        <v>129</v>
      </c>
      <c r="C15" s="22" t="s">
        <v>125</v>
      </c>
      <c r="D15" s="18">
        <v>0.33</v>
      </c>
      <c r="E15" t="s">
        <v>76</v>
      </c>
      <c r="F15" s="18">
        <v>0.33</v>
      </c>
      <c r="G15" t="s">
        <v>49</v>
      </c>
      <c r="H15" s="18">
        <v>0.33</v>
      </c>
      <c r="I15" t="s">
        <v>126</v>
      </c>
    </row>
    <row r="16" spans="1:19" x14ac:dyDescent="0.5">
      <c r="B16" s="23" t="s">
        <v>111</v>
      </c>
      <c r="C16" s="23" t="s">
        <v>127</v>
      </c>
      <c r="D16" s="18">
        <v>1</v>
      </c>
      <c r="E16" t="s">
        <v>115</v>
      </c>
    </row>
    <row r="17" spans="2:13" x14ac:dyDescent="0.5">
      <c r="B17" s="23" t="s">
        <v>111</v>
      </c>
      <c r="C17" s="23" t="s">
        <v>112</v>
      </c>
      <c r="D17">
        <v>35</v>
      </c>
      <c r="E17" t="s">
        <v>22</v>
      </c>
      <c r="F17" s="18">
        <v>0.33</v>
      </c>
      <c r="G17" t="s">
        <v>73</v>
      </c>
      <c r="H17" s="18">
        <v>0.2</v>
      </c>
      <c r="I17" t="s">
        <v>110</v>
      </c>
      <c r="J17" s="19">
        <v>9.5000000000000001E-2</v>
      </c>
      <c r="K17" t="s">
        <v>96</v>
      </c>
      <c r="L17" s="18">
        <v>0.04</v>
      </c>
      <c r="M17" t="s">
        <v>89</v>
      </c>
    </row>
    <row r="18" spans="2:13" x14ac:dyDescent="0.5">
      <c r="B18" s="23" t="s">
        <v>111</v>
      </c>
      <c r="C18" s="23" t="s">
        <v>113</v>
      </c>
      <c r="D18" s="18">
        <v>0.08</v>
      </c>
      <c r="E18" t="s">
        <v>88</v>
      </c>
      <c r="F18" s="18">
        <v>0.39</v>
      </c>
      <c r="G18" t="s">
        <v>104</v>
      </c>
      <c r="H18" s="18">
        <v>0.05</v>
      </c>
      <c r="I18" t="s">
        <v>49</v>
      </c>
    </row>
    <row r="19" spans="2:13" x14ac:dyDescent="0.5">
      <c r="B19" s="23" t="s">
        <v>111</v>
      </c>
      <c r="C19" s="23" t="s">
        <v>114</v>
      </c>
      <c r="D19" s="18">
        <v>0.5</v>
      </c>
      <c r="E19" t="s">
        <v>115</v>
      </c>
      <c r="F19" s="18">
        <v>0.5</v>
      </c>
      <c r="G19" t="s">
        <v>92</v>
      </c>
    </row>
    <row r="20" spans="2:13" x14ac:dyDescent="0.5">
      <c r="B20" s="23" t="s">
        <v>111</v>
      </c>
      <c r="C20" s="23" t="s">
        <v>116</v>
      </c>
      <c r="D20" s="18">
        <v>1</v>
      </c>
      <c r="E20" t="s">
        <v>115</v>
      </c>
    </row>
  </sheetData>
  <autoFilter ref="A1:S20" xr:uid="{884EB2E0-926A-4E5B-9A6D-5074F61A698A}">
    <filterColumn colId="2">
      <filters>
        <filter val="Australia"/>
        <filter val="Burma"/>
        <filter val="Cambodian"/>
        <filter val="Guangdong"/>
        <filter val="Guangxi"/>
        <filter val="Hainan"/>
        <filter val="Indonesia"/>
        <filter val="Laos"/>
        <filter val="Malaysia"/>
        <filter val="NZ"/>
        <filter val="Pacific Islands"/>
        <filter val="Papua New Guinea"/>
        <filter val="Philippines"/>
        <filter val="South China"/>
        <filter val="Taiwan"/>
        <filter val="Thailand"/>
        <filter val="Timor-lest"/>
        <filter val="Vietnam"/>
      </filters>
    </filterColumn>
  </autoFilter>
  <pageMargins left="0.7" right="0.7" top="0.75" bottom="0.75" header="0.3" footer="0.3"/>
  <pageSetup orientation="portrait" horizontalDpi="0"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5C2A2B-6E1A-488F-97FC-E52817C17F17}">
  <sheetPr codeName="Sheet3"/>
  <dimension ref="A3:B22"/>
  <sheetViews>
    <sheetView workbookViewId="0">
      <selection activeCell="H11" sqref="H11"/>
    </sheetView>
  </sheetViews>
  <sheetFormatPr defaultRowHeight="14.35" x14ac:dyDescent="0.5"/>
  <cols>
    <col min="1" max="1" width="13.1171875" bestFit="1" customWidth="1"/>
    <col min="2" max="2" width="14.3515625" bestFit="1" customWidth="1"/>
    <col min="3" max="4" width="5.64453125" bestFit="1" customWidth="1"/>
    <col min="5" max="5" width="7.3515625" bestFit="1" customWidth="1"/>
    <col min="6" max="6" width="10.3515625" bestFit="1" customWidth="1"/>
    <col min="7" max="7" width="4.87890625" bestFit="1" customWidth="1"/>
    <col min="8" max="8" width="5.3515625" bestFit="1" customWidth="1"/>
    <col min="9" max="9" width="8.3515625" bestFit="1" customWidth="1"/>
    <col min="10" max="11" width="5.1171875" bestFit="1" customWidth="1"/>
    <col min="12" max="12" width="6" bestFit="1" customWidth="1"/>
    <col min="13" max="13" width="6.3515625" bestFit="1" customWidth="1"/>
    <col min="14" max="14" width="11.3515625" bestFit="1" customWidth="1"/>
    <col min="15" max="15" width="7.3515625" bestFit="1" customWidth="1"/>
    <col min="16" max="16" width="9.52734375" bestFit="1" customWidth="1"/>
    <col min="17" max="17" width="8.41015625" bestFit="1" customWidth="1"/>
    <col min="18" max="18" width="11.41015625" bestFit="1" customWidth="1"/>
    <col min="19" max="19" width="9" bestFit="1" customWidth="1"/>
    <col min="20" max="20" width="12" bestFit="1" customWidth="1"/>
    <col min="22" max="22" width="12.1171875" bestFit="1" customWidth="1"/>
    <col min="23" max="23" width="11.3515625" bestFit="1" customWidth="1"/>
  </cols>
  <sheetData>
    <row r="3" spans="1:2" x14ac:dyDescent="0.5">
      <c r="A3" s="13" t="s">
        <v>57</v>
      </c>
      <c r="B3" t="s">
        <v>60</v>
      </c>
    </row>
    <row r="4" spans="1:2" x14ac:dyDescent="0.5">
      <c r="A4" s="14" t="s">
        <v>30</v>
      </c>
      <c r="B4" s="15">
        <v>1</v>
      </c>
    </row>
    <row r="5" spans="1:2" x14ac:dyDescent="0.5">
      <c r="A5" s="16" t="s">
        <v>30</v>
      </c>
      <c r="B5" s="15">
        <v>1</v>
      </c>
    </row>
    <row r="6" spans="1:2" x14ac:dyDescent="0.5">
      <c r="A6" s="14" t="s">
        <v>46</v>
      </c>
      <c r="B6" s="15">
        <v>2</v>
      </c>
    </row>
    <row r="7" spans="1:2" x14ac:dyDescent="0.5">
      <c r="A7" s="16" t="s">
        <v>30</v>
      </c>
      <c r="B7" s="15">
        <v>1</v>
      </c>
    </row>
    <row r="8" spans="1:2" x14ac:dyDescent="0.5">
      <c r="A8" s="16" t="s">
        <v>44</v>
      </c>
      <c r="B8" s="15">
        <v>1</v>
      </c>
    </row>
    <row r="9" spans="1:2" x14ac:dyDescent="0.5">
      <c r="A9" s="14" t="s">
        <v>33</v>
      </c>
      <c r="B9" s="15">
        <v>2</v>
      </c>
    </row>
    <row r="10" spans="1:2" x14ac:dyDescent="0.5">
      <c r="A10" s="16" t="s">
        <v>39</v>
      </c>
      <c r="B10" s="15">
        <v>1</v>
      </c>
    </row>
    <row r="11" spans="1:2" x14ac:dyDescent="0.5">
      <c r="A11" s="16" t="s">
        <v>36</v>
      </c>
      <c r="B11" s="15">
        <v>1</v>
      </c>
    </row>
    <row r="12" spans="1:2" x14ac:dyDescent="0.5">
      <c r="A12" s="14" t="s">
        <v>32</v>
      </c>
      <c r="B12" s="15">
        <v>2</v>
      </c>
    </row>
    <row r="13" spans="1:2" x14ac:dyDescent="0.5">
      <c r="A13" s="16" t="s">
        <v>41</v>
      </c>
      <c r="B13" s="15">
        <v>2</v>
      </c>
    </row>
    <row r="14" spans="1:2" x14ac:dyDescent="0.5">
      <c r="A14" s="14" t="s">
        <v>35</v>
      </c>
      <c r="B14" s="15">
        <v>2</v>
      </c>
    </row>
    <row r="15" spans="1:2" x14ac:dyDescent="0.5">
      <c r="A15" s="16" t="s">
        <v>42</v>
      </c>
      <c r="B15" s="15">
        <v>1</v>
      </c>
    </row>
    <row r="16" spans="1:2" x14ac:dyDescent="0.5">
      <c r="A16" s="16" t="s">
        <v>48</v>
      </c>
      <c r="B16" s="15">
        <v>1</v>
      </c>
    </row>
    <row r="17" spans="1:2" x14ac:dyDescent="0.5">
      <c r="A17" s="14" t="s">
        <v>34</v>
      </c>
      <c r="B17" s="15">
        <v>2</v>
      </c>
    </row>
    <row r="18" spans="1:2" x14ac:dyDescent="0.5">
      <c r="A18" s="16" t="s">
        <v>30</v>
      </c>
      <c r="B18" s="15">
        <v>1</v>
      </c>
    </row>
    <row r="19" spans="1:2" x14ac:dyDescent="0.5">
      <c r="A19" s="16" t="s">
        <v>43</v>
      </c>
      <c r="B19" s="15">
        <v>1</v>
      </c>
    </row>
    <row r="20" spans="1:2" x14ac:dyDescent="0.5">
      <c r="A20" s="14" t="s">
        <v>59</v>
      </c>
      <c r="B20" s="15">
        <v>1</v>
      </c>
    </row>
    <row r="21" spans="1:2" x14ac:dyDescent="0.5">
      <c r="A21" s="16" t="s">
        <v>59</v>
      </c>
      <c r="B21" s="15">
        <v>1</v>
      </c>
    </row>
    <row r="22" spans="1:2" x14ac:dyDescent="0.5">
      <c r="A22" s="14" t="s">
        <v>58</v>
      </c>
      <c r="B22" s="15">
        <v>12</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19CDC8-21D2-4466-9528-866EBF085F0E}">
  <sheetPr codeName="Sheet4"/>
  <dimension ref="A1:T19"/>
  <sheetViews>
    <sheetView workbookViewId="0">
      <selection activeCell="AB12" sqref="AB12"/>
    </sheetView>
  </sheetViews>
  <sheetFormatPr defaultRowHeight="14.35" x14ac:dyDescent="0.5"/>
  <cols>
    <col min="1" max="1" width="13" bestFit="1" customWidth="1"/>
    <col min="2" max="2" width="18.87890625" bestFit="1" customWidth="1"/>
    <col min="4" max="16" width="0" hidden="1" customWidth="1"/>
  </cols>
  <sheetData>
    <row r="1" spans="1:20" x14ac:dyDescent="0.5">
      <c r="A1" t="s">
        <v>7030</v>
      </c>
      <c r="B1" t="s">
        <v>7020</v>
      </c>
      <c r="C1" t="s">
        <v>50</v>
      </c>
      <c r="D1" t="s">
        <v>53</v>
      </c>
      <c r="E1" t="s">
        <v>6</v>
      </c>
      <c r="F1" t="s">
        <v>15</v>
      </c>
      <c r="G1" t="s">
        <v>4</v>
      </c>
      <c r="H1" t="s">
        <v>5</v>
      </c>
      <c r="I1" t="s">
        <v>7</v>
      </c>
      <c r="J1" t="s">
        <v>51</v>
      </c>
      <c r="K1" t="s">
        <v>8</v>
      </c>
      <c r="L1" t="s">
        <v>20</v>
      </c>
      <c r="M1" t="s">
        <v>10</v>
      </c>
      <c r="N1" t="s">
        <v>11</v>
      </c>
      <c r="O1" t="s">
        <v>9</v>
      </c>
      <c r="P1" t="s">
        <v>52</v>
      </c>
      <c r="Q1" t="s">
        <v>54</v>
      </c>
      <c r="R1" t="s">
        <v>55</v>
      </c>
      <c r="S1" t="s">
        <v>56</v>
      </c>
      <c r="T1" t="s">
        <v>6750</v>
      </c>
    </row>
    <row r="2" spans="1:20" x14ac:dyDescent="0.5">
      <c r="A2" t="s">
        <v>49</v>
      </c>
      <c r="B2" t="s">
        <v>49</v>
      </c>
      <c r="C2" t="s">
        <v>26</v>
      </c>
      <c r="Q2">
        <v>179</v>
      </c>
      <c r="R2">
        <v>0</v>
      </c>
      <c r="S2">
        <v>0</v>
      </c>
      <c r="T2" t="s">
        <v>6754</v>
      </c>
    </row>
    <row r="3" spans="1:20" x14ac:dyDescent="0.5">
      <c r="A3" t="s">
        <v>61</v>
      </c>
      <c r="B3" t="s">
        <v>61</v>
      </c>
      <c r="C3" t="s">
        <v>26</v>
      </c>
      <c r="Q3">
        <v>153</v>
      </c>
      <c r="R3">
        <v>0</v>
      </c>
      <c r="S3">
        <v>0</v>
      </c>
      <c r="T3" t="s">
        <v>6791</v>
      </c>
    </row>
    <row r="4" spans="1:20" x14ac:dyDescent="0.5">
      <c r="A4" t="s">
        <v>6827</v>
      </c>
      <c r="B4" t="s">
        <v>62</v>
      </c>
      <c r="C4" t="s">
        <v>62</v>
      </c>
      <c r="Q4">
        <v>150</v>
      </c>
      <c r="R4">
        <v>200</v>
      </c>
      <c r="S4">
        <v>0</v>
      </c>
      <c r="T4" t="s">
        <v>7004</v>
      </c>
    </row>
    <row r="5" spans="1:20" x14ac:dyDescent="0.5">
      <c r="A5" t="s">
        <v>63</v>
      </c>
      <c r="B5" t="s">
        <v>63</v>
      </c>
      <c r="C5" t="s">
        <v>27</v>
      </c>
      <c r="Q5">
        <v>250</v>
      </c>
      <c r="R5">
        <v>200</v>
      </c>
      <c r="S5">
        <v>100</v>
      </c>
      <c r="T5" t="s">
        <v>7005</v>
      </c>
    </row>
    <row r="6" spans="1:20" x14ac:dyDescent="0.5">
      <c r="A6" t="s">
        <v>7031</v>
      </c>
      <c r="B6" t="s">
        <v>64</v>
      </c>
      <c r="C6" t="s">
        <v>27</v>
      </c>
      <c r="Q6">
        <v>200</v>
      </c>
      <c r="R6">
        <v>200</v>
      </c>
      <c r="S6">
        <v>100</v>
      </c>
      <c r="T6" t="s">
        <v>7006</v>
      </c>
    </row>
    <row r="7" spans="1:20" x14ac:dyDescent="0.5">
      <c r="A7" t="s">
        <v>3259</v>
      </c>
      <c r="B7" t="s">
        <v>65</v>
      </c>
      <c r="C7" t="s">
        <v>76</v>
      </c>
      <c r="Q7">
        <v>250</v>
      </c>
      <c r="R7">
        <v>250</v>
      </c>
      <c r="S7">
        <v>250</v>
      </c>
      <c r="T7" t="s">
        <v>7007</v>
      </c>
    </row>
    <row r="8" spans="1:20" x14ac:dyDescent="0.5">
      <c r="A8" t="s">
        <v>7021</v>
      </c>
      <c r="B8" t="s">
        <v>66</v>
      </c>
      <c r="C8" t="s">
        <v>76</v>
      </c>
      <c r="Q8">
        <v>0</v>
      </c>
      <c r="R8">
        <v>64</v>
      </c>
      <c r="S8">
        <v>91</v>
      </c>
      <c r="T8" t="s">
        <v>7008</v>
      </c>
    </row>
    <row r="9" spans="1:20" x14ac:dyDescent="0.5">
      <c r="A9" t="s">
        <v>7022</v>
      </c>
      <c r="B9" t="s">
        <v>67</v>
      </c>
      <c r="C9" t="s">
        <v>76</v>
      </c>
      <c r="Q9">
        <v>150</v>
      </c>
      <c r="R9">
        <v>150</v>
      </c>
      <c r="S9">
        <v>150</v>
      </c>
      <c r="T9" t="s">
        <v>7009</v>
      </c>
    </row>
    <row r="10" spans="1:20" x14ac:dyDescent="0.5">
      <c r="A10" t="s">
        <v>1003</v>
      </c>
      <c r="B10" t="s">
        <v>68</v>
      </c>
      <c r="C10" t="s">
        <v>76</v>
      </c>
      <c r="Q10">
        <v>45</v>
      </c>
      <c r="R10">
        <v>65</v>
      </c>
      <c r="S10">
        <v>65</v>
      </c>
      <c r="T10" t="s">
        <v>7010</v>
      </c>
    </row>
    <row r="11" spans="1:20" x14ac:dyDescent="0.5">
      <c r="A11" t="s">
        <v>7023</v>
      </c>
      <c r="B11" t="s">
        <v>69</v>
      </c>
      <c r="C11" t="s">
        <v>76</v>
      </c>
      <c r="Q11">
        <v>43</v>
      </c>
      <c r="R11">
        <v>0</v>
      </c>
      <c r="S11">
        <v>0</v>
      </c>
      <c r="T11" t="s">
        <v>7011</v>
      </c>
    </row>
    <row r="12" spans="1:20" x14ac:dyDescent="0.5">
      <c r="A12" t="s">
        <v>7024</v>
      </c>
      <c r="B12" t="s">
        <v>70</v>
      </c>
      <c r="C12" t="s">
        <v>76</v>
      </c>
      <c r="Q12">
        <v>252</v>
      </c>
      <c r="R12">
        <v>255</v>
      </c>
      <c r="S12">
        <v>0</v>
      </c>
      <c r="T12" t="s">
        <v>7012</v>
      </c>
    </row>
    <row r="13" spans="1:20" x14ac:dyDescent="0.5">
      <c r="A13" t="s">
        <v>71</v>
      </c>
      <c r="B13" t="s">
        <v>71</v>
      </c>
      <c r="C13" t="s">
        <v>7025</v>
      </c>
      <c r="Q13">
        <v>184</v>
      </c>
      <c r="R13">
        <v>104</v>
      </c>
      <c r="S13">
        <v>126</v>
      </c>
      <c r="T13" t="s">
        <v>7013</v>
      </c>
    </row>
    <row r="14" spans="1:20" x14ac:dyDescent="0.5">
      <c r="A14" t="s">
        <v>7026</v>
      </c>
      <c r="B14" t="s">
        <v>72</v>
      </c>
      <c r="C14" t="s">
        <v>76</v>
      </c>
      <c r="Q14">
        <v>180</v>
      </c>
      <c r="R14">
        <v>130</v>
      </c>
      <c r="S14">
        <v>0</v>
      </c>
      <c r="T14" t="s">
        <v>7014</v>
      </c>
    </row>
    <row r="15" spans="1:20" x14ac:dyDescent="0.5">
      <c r="A15" t="s">
        <v>73</v>
      </c>
      <c r="B15" t="s">
        <v>73</v>
      </c>
      <c r="C15" t="s">
        <v>77</v>
      </c>
      <c r="Q15">
        <v>250</v>
      </c>
      <c r="R15">
        <v>200</v>
      </c>
      <c r="S15">
        <v>200</v>
      </c>
      <c r="T15" t="s">
        <v>7015</v>
      </c>
    </row>
    <row r="16" spans="1:20" x14ac:dyDescent="0.5">
      <c r="A16" t="s">
        <v>7028</v>
      </c>
      <c r="B16" t="s">
        <v>74</v>
      </c>
      <c r="C16" t="s">
        <v>77</v>
      </c>
      <c r="Q16">
        <v>200</v>
      </c>
      <c r="R16">
        <v>100</v>
      </c>
      <c r="S16">
        <v>200</v>
      </c>
      <c r="T16" t="s">
        <v>7016</v>
      </c>
    </row>
    <row r="17" spans="1:20" x14ac:dyDescent="0.5">
      <c r="A17" t="s">
        <v>7027</v>
      </c>
      <c r="B17" t="s">
        <v>23</v>
      </c>
      <c r="C17" t="s">
        <v>77</v>
      </c>
      <c r="Q17">
        <v>150</v>
      </c>
      <c r="R17">
        <v>0</v>
      </c>
      <c r="S17">
        <v>150</v>
      </c>
      <c r="T17" t="s">
        <v>7017</v>
      </c>
    </row>
    <row r="18" spans="1:20" x14ac:dyDescent="0.5">
      <c r="A18" t="s">
        <v>7029</v>
      </c>
      <c r="B18" t="s">
        <v>22</v>
      </c>
      <c r="C18" t="s">
        <v>77</v>
      </c>
      <c r="Q18">
        <v>200</v>
      </c>
      <c r="R18">
        <v>200</v>
      </c>
      <c r="S18">
        <v>200</v>
      </c>
      <c r="T18" t="s">
        <v>7018</v>
      </c>
    </row>
    <row r="19" spans="1:20" x14ac:dyDescent="0.5">
      <c r="A19" t="s">
        <v>75</v>
      </c>
      <c r="B19" t="s">
        <v>75</v>
      </c>
      <c r="C19" t="s">
        <v>76</v>
      </c>
      <c r="Q19">
        <v>250</v>
      </c>
      <c r="R19">
        <v>250</v>
      </c>
      <c r="S19">
        <v>150</v>
      </c>
      <c r="T19" t="s">
        <v>7019</v>
      </c>
    </row>
  </sheetData>
  <autoFilter ref="A1:T19" xr:uid="{8A19CDC8-21D2-4466-9528-866EBF085F0E}"/>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2CEF5F-807D-4BF8-927F-47B9D681B0A0}">
  <sheetPr codeName="Sheet12" filterMode="1"/>
  <dimension ref="A1:X219"/>
  <sheetViews>
    <sheetView workbookViewId="0">
      <pane ySplit="1" topLeftCell="A2" activePane="bottomLeft" state="frozen"/>
      <selection pane="bottomLeft" activeCell="A37" sqref="A37:A41"/>
    </sheetView>
  </sheetViews>
  <sheetFormatPr defaultRowHeight="14.35" x14ac:dyDescent="0.5"/>
  <cols>
    <col min="4" max="5" width="8.87890625" style="231"/>
    <col min="6" max="6" width="10.87890625" style="231" bestFit="1" customWidth="1"/>
    <col min="7" max="8" width="8.87890625" style="231"/>
    <col min="9" max="9" width="14" style="231" bestFit="1" customWidth="1"/>
    <col min="10" max="10" width="11.76171875" style="231" bestFit="1" customWidth="1"/>
    <col min="11" max="15" width="8.87890625" customWidth="1"/>
    <col min="18" max="18" width="0" hidden="1" customWidth="1"/>
    <col min="19" max="20" width="8.87890625" hidden="1" customWidth="1"/>
    <col min="21" max="21" width="27.1171875" customWidth="1"/>
    <col min="22" max="22" width="29.76171875" customWidth="1"/>
    <col min="23" max="23" width="27.41015625" bestFit="1" customWidth="1"/>
  </cols>
  <sheetData>
    <row r="1" spans="1:24" ht="41.35" thickBot="1" x14ac:dyDescent="0.55000000000000004">
      <c r="A1" s="221" t="s">
        <v>6989</v>
      </c>
      <c r="B1" s="221" t="s">
        <v>251</v>
      </c>
      <c r="C1" s="221" t="s">
        <v>6988</v>
      </c>
      <c r="D1" s="200" t="s">
        <v>6773</v>
      </c>
      <c r="E1" s="200" t="s">
        <v>4569</v>
      </c>
      <c r="F1" s="200" t="s">
        <v>6789</v>
      </c>
      <c r="G1" s="200" t="s">
        <v>6790</v>
      </c>
      <c r="H1" s="200" t="s">
        <v>6793</v>
      </c>
      <c r="I1" s="200" t="s">
        <v>6794</v>
      </c>
      <c r="J1" s="232" t="s">
        <v>6750</v>
      </c>
      <c r="K1" s="221" t="s">
        <v>6987</v>
      </c>
      <c r="L1" s="221" t="s">
        <v>6986</v>
      </c>
      <c r="M1" s="221" t="s">
        <v>6985</v>
      </c>
      <c r="N1" s="221" t="s">
        <v>6984</v>
      </c>
      <c r="O1" s="220" t="s">
        <v>6983</v>
      </c>
      <c r="P1" s="222" t="s">
        <v>6982</v>
      </c>
      <c r="Q1" s="35" t="s">
        <v>6509</v>
      </c>
      <c r="R1" s="201" t="s">
        <v>7438</v>
      </c>
      <c r="S1" s="201" t="s">
        <v>6787</v>
      </c>
      <c r="T1" s="201" t="s">
        <v>6792</v>
      </c>
      <c r="U1" s="201" t="s">
        <v>7050</v>
      </c>
      <c r="V1" s="201" t="s">
        <v>7488</v>
      </c>
      <c r="W1" s="201" t="s">
        <v>7489</v>
      </c>
      <c r="X1" s="201" t="s">
        <v>7503</v>
      </c>
    </row>
    <row r="2" spans="1:24" ht="15.6" customHeight="1" thickBot="1" x14ac:dyDescent="0.55000000000000004">
      <c r="A2" s="297"/>
      <c r="B2" s="307" t="s">
        <v>105</v>
      </c>
      <c r="C2" s="303" t="s">
        <v>89</v>
      </c>
      <c r="D2" s="223"/>
      <c r="E2" s="223"/>
      <c r="F2" s="223" t="s">
        <v>105</v>
      </c>
      <c r="G2" s="223" t="s">
        <v>89</v>
      </c>
      <c r="H2" s="223" t="s">
        <v>6995</v>
      </c>
      <c r="I2" s="223" t="s">
        <v>6996</v>
      </c>
      <c r="J2" s="223" t="s">
        <v>7173</v>
      </c>
      <c r="K2" s="303" t="s">
        <v>6981</v>
      </c>
      <c r="L2" s="217" t="s">
        <v>1157</v>
      </c>
      <c r="M2" s="297" t="s">
        <v>6980</v>
      </c>
      <c r="N2" s="297" t="s">
        <v>6979</v>
      </c>
      <c r="O2" s="294"/>
      <c r="P2" t="s">
        <v>6882</v>
      </c>
      <c r="Q2" t="s">
        <v>49</v>
      </c>
      <c r="R2" t="s">
        <v>26</v>
      </c>
      <c r="T2" t="s">
        <v>7003</v>
      </c>
      <c r="U2" t="str">
        <f>Q2&amp;";"&amp;J2</f>
        <v>catholic;179;0;0</v>
      </c>
      <c r="V2" t="str">
        <f>Q2&amp;";"&amp;F2&amp;";;;;;;;;;;;;;x"</f>
        <v>catholic;Catholic;;;;;;;;;;;;;x</v>
      </c>
      <c r="W2" t="str">
        <f>R2&amp;";"&amp;G2&amp;";;;;;;;;;;;;;x"</f>
        <v>christian;Christian;;;;;;;;;;;;;x</v>
      </c>
      <c r="X2" t="s">
        <v>117</v>
      </c>
    </row>
    <row r="3" spans="1:24" ht="14.7" hidden="1" thickBot="1" x14ac:dyDescent="0.55000000000000004">
      <c r="A3" s="298"/>
      <c r="B3" s="301"/>
      <c r="C3" s="304"/>
      <c r="D3" s="224"/>
      <c r="E3" s="224"/>
      <c r="F3" s="224"/>
      <c r="G3" s="224"/>
      <c r="H3" s="224"/>
      <c r="I3" s="224"/>
      <c r="J3" s="223" t="e">
        <v>#N/A</v>
      </c>
      <c r="K3" s="304"/>
      <c r="L3" s="216" t="s">
        <v>701</v>
      </c>
      <c r="M3" s="298"/>
      <c r="N3" s="298"/>
      <c r="O3" s="295"/>
      <c r="P3" t="s">
        <v>6882</v>
      </c>
      <c r="Q3" t="e">
        <v>#N/A</v>
      </c>
      <c r="U3" t="e">
        <f t="shared" ref="U3:U66" si="0">Q3&amp;";"&amp;J3</f>
        <v>#N/A</v>
      </c>
    </row>
    <row r="4" spans="1:24" ht="14.7" hidden="1" thickBot="1" x14ac:dyDescent="0.55000000000000004">
      <c r="A4" s="298"/>
      <c r="B4" s="301"/>
      <c r="C4" s="304"/>
      <c r="D4" s="224"/>
      <c r="E4" s="224"/>
      <c r="F4" s="224"/>
      <c r="G4" s="224"/>
      <c r="H4" s="224"/>
      <c r="I4" s="224"/>
      <c r="J4" s="223" t="e">
        <v>#N/A</v>
      </c>
      <c r="K4" s="304"/>
      <c r="L4" s="216" t="s">
        <v>529</v>
      </c>
      <c r="M4" s="298"/>
      <c r="N4" s="298"/>
      <c r="O4" s="295"/>
      <c r="P4" t="s">
        <v>6882</v>
      </c>
      <c r="Q4" t="e">
        <v>#N/A</v>
      </c>
      <c r="U4" t="e">
        <f t="shared" si="0"/>
        <v>#N/A</v>
      </c>
    </row>
    <row r="5" spans="1:24" ht="14.7" hidden="1" thickBot="1" x14ac:dyDescent="0.55000000000000004">
      <c r="A5" s="298"/>
      <c r="B5" s="301"/>
      <c r="C5" s="304"/>
      <c r="D5" s="224"/>
      <c r="E5" s="224"/>
      <c r="F5" s="224"/>
      <c r="G5" s="224"/>
      <c r="H5" s="224"/>
      <c r="I5" s="224"/>
      <c r="J5" s="223" t="e">
        <v>#N/A</v>
      </c>
      <c r="K5" s="304"/>
      <c r="L5" s="216" t="s">
        <v>2212</v>
      </c>
      <c r="M5" s="298"/>
      <c r="N5" s="298"/>
      <c r="O5" s="295"/>
      <c r="P5" t="s">
        <v>6882</v>
      </c>
      <c r="Q5" t="e">
        <v>#N/A</v>
      </c>
      <c r="U5" t="e">
        <f t="shared" si="0"/>
        <v>#N/A</v>
      </c>
    </row>
    <row r="6" spans="1:24" ht="14.7" hidden="1" thickBot="1" x14ac:dyDescent="0.55000000000000004">
      <c r="A6" s="299"/>
      <c r="B6" s="302"/>
      <c r="C6" s="305"/>
      <c r="D6" s="225"/>
      <c r="E6" s="225"/>
      <c r="F6" s="225"/>
      <c r="G6" s="225"/>
      <c r="H6" s="225"/>
      <c r="I6" s="225"/>
      <c r="J6" s="223" t="e">
        <v>#N/A</v>
      </c>
      <c r="K6" s="305"/>
      <c r="L6" s="214" t="s">
        <v>345</v>
      </c>
      <c r="M6" s="299"/>
      <c r="N6" s="299"/>
      <c r="O6" s="296"/>
      <c r="P6" t="s">
        <v>6882</v>
      </c>
      <c r="Q6" t="e">
        <v>#N/A</v>
      </c>
      <c r="U6" t="e">
        <f t="shared" si="0"/>
        <v>#N/A</v>
      </c>
    </row>
    <row r="7" spans="1:24" ht="20.45" customHeight="1" thickBot="1" x14ac:dyDescent="0.55000000000000004">
      <c r="A7" s="297"/>
      <c r="B7" s="308" t="s">
        <v>1165</v>
      </c>
      <c r="C7" s="303" t="s">
        <v>89</v>
      </c>
      <c r="D7" s="223"/>
      <c r="E7" s="223"/>
      <c r="F7" s="223" t="s">
        <v>104</v>
      </c>
      <c r="G7" s="223" t="s">
        <v>89</v>
      </c>
      <c r="H7" s="223"/>
      <c r="I7" s="223"/>
      <c r="J7" s="223" t="s">
        <v>7154</v>
      </c>
      <c r="K7" s="303" t="s">
        <v>6978</v>
      </c>
      <c r="L7" s="217" t="s">
        <v>1651</v>
      </c>
      <c r="M7" s="297" t="s">
        <v>6977</v>
      </c>
      <c r="N7" s="297" t="s">
        <v>6835</v>
      </c>
      <c r="O7" s="294"/>
      <c r="P7" t="s">
        <v>6882</v>
      </c>
      <c r="Q7" t="s">
        <v>61</v>
      </c>
      <c r="R7" t="s">
        <v>26</v>
      </c>
      <c r="T7" t="s">
        <v>117</v>
      </c>
      <c r="U7" t="str">
        <f t="shared" si="0"/>
        <v>orthodox;153;0;0</v>
      </c>
      <c r="V7" t="str">
        <f>Q7&amp;";"&amp;F7&amp;";;;;;;;;;;;;;x"</f>
        <v>orthodox;Protestant;;;;;;;;;;;;;x</v>
      </c>
      <c r="W7" t="str">
        <f>R7&amp;";"&amp;G7&amp;";;;;;;;;;;;;;x"</f>
        <v>christian;Christian;;;;;;;;;;;;;x</v>
      </c>
      <c r="X7" t="s">
        <v>117</v>
      </c>
    </row>
    <row r="8" spans="1:24" ht="14.7" hidden="1" thickBot="1" x14ac:dyDescent="0.55000000000000004">
      <c r="A8" s="298"/>
      <c r="B8" s="301"/>
      <c r="C8" s="304"/>
      <c r="D8" s="224"/>
      <c r="E8" s="224"/>
      <c r="F8" s="224"/>
      <c r="G8" s="224"/>
      <c r="H8" s="224"/>
      <c r="I8" s="224"/>
      <c r="J8" s="223" t="e">
        <v>#N/A</v>
      </c>
      <c r="K8" s="304"/>
      <c r="L8" s="216" t="s">
        <v>2212</v>
      </c>
      <c r="M8" s="298"/>
      <c r="N8" s="298"/>
      <c r="O8" s="295"/>
      <c r="P8" t="s">
        <v>6882</v>
      </c>
      <c r="Q8" t="e">
        <v>#N/A</v>
      </c>
      <c r="U8" t="e">
        <f t="shared" si="0"/>
        <v>#N/A</v>
      </c>
    </row>
    <row r="9" spans="1:24" ht="14.7" hidden="1" thickBot="1" x14ac:dyDescent="0.55000000000000004">
      <c r="A9" s="298"/>
      <c r="B9" s="301"/>
      <c r="C9" s="304"/>
      <c r="D9" s="224"/>
      <c r="E9" s="224"/>
      <c r="F9" s="224"/>
      <c r="G9" s="224"/>
      <c r="H9" s="224"/>
      <c r="I9" s="224"/>
      <c r="J9" s="223" t="e">
        <v>#N/A</v>
      </c>
      <c r="K9" s="304"/>
      <c r="L9" s="216" t="s">
        <v>2328</v>
      </c>
      <c r="M9" s="298"/>
      <c r="N9" s="298"/>
      <c r="O9" s="295"/>
      <c r="P9" t="s">
        <v>6882</v>
      </c>
      <c r="Q9" t="e">
        <v>#N/A</v>
      </c>
      <c r="U9" t="e">
        <f t="shared" si="0"/>
        <v>#N/A</v>
      </c>
    </row>
    <row r="10" spans="1:24" ht="14.7" hidden="1" thickBot="1" x14ac:dyDescent="0.55000000000000004">
      <c r="A10" s="298"/>
      <c r="B10" s="301"/>
      <c r="C10" s="304"/>
      <c r="D10" s="224"/>
      <c r="E10" s="224"/>
      <c r="F10" s="224"/>
      <c r="G10" s="224"/>
      <c r="H10" s="224"/>
      <c r="I10" s="224"/>
      <c r="J10" s="223" t="e">
        <v>#N/A</v>
      </c>
      <c r="K10" s="304"/>
      <c r="L10" s="216" t="s">
        <v>1635</v>
      </c>
      <c r="M10" s="298"/>
      <c r="N10" s="298"/>
      <c r="O10" s="295"/>
      <c r="P10" t="s">
        <v>6882</v>
      </c>
      <c r="Q10" t="e">
        <v>#N/A</v>
      </c>
      <c r="U10" t="e">
        <f t="shared" si="0"/>
        <v>#N/A</v>
      </c>
    </row>
    <row r="11" spans="1:24" ht="14.7" hidden="1" thickBot="1" x14ac:dyDescent="0.55000000000000004">
      <c r="A11" s="299"/>
      <c r="B11" s="302"/>
      <c r="C11" s="305"/>
      <c r="D11" s="225"/>
      <c r="E11" s="225"/>
      <c r="F11" s="225"/>
      <c r="G11" s="225"/>
      <c r="H11" s="225"/>
      <c r="I11" s="225"/>
      <c r="J11" s="223" t="e">
        <v>#N/A</v>
      </c>
      <c r="K11" s="305"/>
      <c r="L11" s="214" t="s">
        <v>2274</v>
      </c>
      <c r="M11" s="299"/>
      <c r="N11" s="299"/>
      <c r="O11" s="296"/>
      <c r="P11" t="s">
        <v>6882</v>
      </c>
      <c r="Q11" t="e">
        <v>#N/A</v>
      </c>
      <c r="U11" t="e">
        <f t="shared" si="0"/>
        <v>#N/A</v>
      </c>
    </row>
    <row r="12" spans="1:24" ht="14.45" customHeight="1" thickBot="1" x14ac:dyDescent="0.55000000000000004">
      <c r="A12" s="297"/>
      <c r="B12" s="300" t="s">
        <v>2077</v>
      </c>
      <c r="C12" s="303" t="s">
        <v>89</v>
      </c>
      <c r="D12" s="223"/>
      <c r="E12" s="223"/>
      <c r="F12" s="223" t="s">
        <v>8466</v>
      </c>
      <c r="G12" s="223" t="s">
        <v>89</v>
      </c>
      <c r="H12" s="223"/>
      <c r="I12" s="223"/>
      <c r="J12" s="223" t="s">
        <v>8467</v>
      </c>
      <c r="K12" s="303" t="s">
        <v>6976</v>
      </c>
      <c r="L12" s="217" t="s">
        <v>2418</v>
      </c>
      <c r="M12" s="297" t="s">
        <v>6975</v>
      </c>
      <c r="N12" s="297" t="s">
        <v>6835</v>
      </c>
      <c r="O12" s="294"/>
      <c r="P12" t="s">
        <v>6882</v>
      </c>
      <c r="Q12" t="e">
        <v>#N/A</v>
      </c>
      <c r="U12" t="e">
        <f t="shared" si="0"/>
        <v>#N/A</v>
      </c>
      <c r="X12" t="s">
        <v>117</v>
      </c>
    </row>
    <row r="13" spans="1:24" ht="14.7" hidden="1" thickBot="1" x14ac:dyDescent="0.55000000000000004">
      <c r="A13" s="298"/>
      <c r="B13" s="301"/>
      <c r="C13" s="304"/>
      <c r="D13" s="224"/>
      <c r="E13" s="224"/>
      <c r="F13" s="224"/>
      <c r="G13" s="224"/>
      <c r="H13" s="224"/>
      <c r="I13" s="224"/>
      <c r="J13" s="223" t="e">
        <v>#N/A</v>
      </c>
      <c r="K13" s="304"/>
      <c r="L13" s="216" t="s">
        <v>2593</v>
      </c>
      <c r="M13" s="298"/>
      <c r="N13" s="298"/>
      <c r="O13" s="295"/>
      <c r="P13" t="s">
        <v>6882</v>
      </c>
      <c r="Q13" t="e">
        <v>#N/A</v>
      </c>
      <c r="U13" t="e">
        <f t="shared" si="0"/>
        <v>#N/A</v>
      </c>
    </row>
    <row r="14" spans="1:24" ht="14.7" hidden="1" thickBot="1" x14ac:dyDescent="0.55000000000000004">
      <c r="A14" s="298"/>
      <c r="B14" s="301"/>
      <c r="C14" s="304"/>
      <c r="D14" s="224"/>
      <c r="E14" s="224"/>
      <c r="F14" s="224"/>
      <c r="G14" s="224"/>
      <c r="H14" s="224"/>
      <c r="I14" s="224"/>
      <c r="J14" s="223" t="e">
        <v>#N/A</v>
      </c>
      <c r="K14" s="304"/>
      <c r="L14" s="216" t="s">
        <v>2328</v>
      </c>
      <c r="M14" s="298"/>
      <c r="N14" s="298"/>
      <c r="O14" s="295"/>
      <c r="P14" t="s">
        <v>6882</v>
      </c>
      <c r="Q14" t="e">
        <v>#N/A</v>
      </c>
      <c r="U14" t="e">
        <f t="shared" si="0"/>
        <v>#N/A</v>
      </c>
    </row>
    <row r="15" spans="1:24" ht="14.7" hidden="1" thickBot="1" x14ac:dyDescent="0.55000000000000004">
      <c r="A15" s="298"/>
      <c r="B15" s="301"/>
      <c r="C15" s="304"/>
      <c r="D15" s="224"/>
      <c r="E15" s="224"/>
      <c r="F15" s="224"/>
      <c r="G15" s="224"/>
      <c r="H15" s="224"/>
      <c r="I15" s="224"/>
      <c r="J15" s="223" t="e">
        <v>#N/A</v>
      </c>
      <c r="K15" s="304"/>
      <c r="L15" s="216" t="s">
        <v>2212</v>
      </c>
      <c r="M15" s="298"/>
      <c r="N15" s="298"/>
      <c r="O15" s="295"/>
      <c r="P15" t="s">
        <v>6882</v>
      </c>
      <c r="Q15" t="e">
        <v>#N/A</v>
      </c>
      <c r="U15" t="e">
        <f t="shared" si="0"/>
        <v>#N/A</v>
      </c>
    </row>
    <row r="16" spans="1:24" ht="14.7" hidden="1" thickBot="1" x14ac:dyDescent="0.55000000000000004">
      <c r="A16" s="299"/>
      <c r="B16" s="302"/>
      <c r="C16" s="305"/>
      <c r="D16" s="225"/>
      <c r="E16" s="225"/>
      <c r="F16" s="225"/>
      <c r="G16" s="225"/>
      <c r="H16" s="225"/>
      <c r="I16" s="225"/>
      <c r="J16" s="223" t="e">
        <v>#N/A</v>
      </c>
      <c r="K16" s="305"/>
      <c r="L16" s="214" t="s">
        <v>2084</v>
      </c>
      <c r="M16" s="299"/>
      <c r="N16" s="299"/>
      <c r="O16" s="296"/>
      <c r="P16" t="s">
        <v>6882</v>
      </c>
      <c r="Q16" t="e">
        <v>#N/A</v>
      </c>
      <c r="U16" t="e">
        <f t="shared" si="0"/>
        <v>#N/A</v>
      </c>
    </row>
    <row r="17" spans="1:24" ht="14.45" hidden="1" customHeight="1" thickBot="1" x14ac:dyDescent="0.55000000000000004">
      <c r="A17" s="297"/>
      <c r="B17" s="300" t="s">
        <v>2031</v>
      </c>
      <c r="C17" s="303" t="s">
        <v>89</v>
      </c>
      <c r="D17" s="223"/>
      <c r="E17" s="223"/>
      <c r="F17" s="223"/>
      <c r="G17" s="223"/>
      <c r="H17" s="223"/>
      <c r="I17" s="223"/>
      <c r="J17" s="293" t="e">
        <v>#N/A</v>
      </c>
      <c r="K17" s="303" t="s">
        <v>6974</v>
      </c>
      <c r="L17" s="217" t="s">
        <v>2153</v>
      </c>
      <c r="M17" s="297" t="s">
        <v>6973</v>
      </c>
      <c r="N17" s="297" t="s">
        <v>6835</v>
      </c>
      <c r="O17" s="294"/>
      <c r="P17" t="s">
        <v>6882</v>
      </c>
      <c r="Q17" t="e">
        <v>#N/A</v>
      </c>
      <c r="U17" t="e">
        <f t="shared" si="0"/>
        <v>#N/A</v>
      </c>
      <c r="X17" t="s">
        <v>117</v>
      </c>
    </row>
    <row r="18" spans="1:24" ht="14.7" hidden="1" thickBot="1" x14ac:dyDescent="0.55000000000000004">
      <c r="A18" s="298"/>
      <c r="B18" s="301"/>
      <c r="C18" s="304"/>
      <c r="D18" s="224"/>
      <c r="E18" s="224"/>
      <c r="F18" s="224"/>
      <c r="G18" s="224"/>
      <c r="H18" s="224"/>
      <c r="I18" s="224"/>
      <c r="J18" s="223" t="e">
        <v>#N/A</v>
      </c>
      <c r="K18" s="304"/>
      <c r="L18" s="216" t="s">
        <v>2129</v>
      </c>
      <c r="M18" s="298"/>
      <c r="N18" s="298"/>
      <c r="O18" s="295"/>
      <c r="P18" t="s">
        <v>6882</v>
      </c>
      <c r="Q18" t="e">
        <v>#N/A</v>
      </c>
      <c r="U18" t="e">
        <f t="shared" si="0"/>
        <v>#N/A</v>
      </c>
    </row>
    <row r="19" spans="1:24" ht="14.7" hidden="1" thickBot="1" x14ac:dyDescent="0.55000000000000004">
      <c r="A19" s="298"/>
      <c r="B19" s="301"/>
      <c r="C19" s="304"/>
      <c r="D19" s="224"/>
      <c r="E19" s="224"/>
      <c r="F19" s="224"/>
      <c r="G19" s="224"/>
      <c r="H19" s="224"/>
      <c r="I19" s="224"/>
      <c r="J19" s="223" t="e">
        <v>#N/A</v>
      </c>
      <c r="K19" s="304"/>
      <c r="L19" s="216" t="s">
        <v>1983</v>
      </c>
      <c r="M19" s="298"/>
      <c r="N19" s="298"/>
      <c r="O19" s="295"/>
      <c r="P19" t="s">
        <v>6882</v>
      </c>
      <c r="Q19" t="e">
        <v>#N/A</v>
      </c>
      <c r="U19" t="e">
        <f t="shared" si="0"/>
        <v>#N/A</v>
      </c>
    </row>
    <row r="20" spans="1:24" ht="14.7" hidden="1" thickBot="1" x14ac:dyDescent="0.55000000000000004">
      <c r="A20" s="298"/>
      <c r="B20" s="301"/>
      <c r="C20" s="304"/>
      <c r="D20" s="224"/>
      <c r="E20" s="224"/>
      <c r="F20" s="224"/>
      <c r="G20" s="224"/>
      <c r="H20" s="224"/>
      <c r="I20" s="224"/>
      <c r="J20" s="223" t="e">
        <v>#N/A</v>
      </c>
      <c r="K20" s="304"/>
      <c r="L20" s="216" t="s">
        <v>2212</v>
      </c>
      <c r="M20" s="298"/>
      <c r="N20" s="298"/>
      <c r="O20" s="295"/>
      <c r="P20" t="s">
        <v>6882</v>
      </c>
      <c r="Q20" t="e">
        <v>#N/A</v>
      </c>
      <c r="U20" t="e">
        <f t="shared" si="0"/>
        <v>#N/A</v>
      </c>
    </row>
    <row r="21" spans="1:24" ht="21" hidden="1" thickBot="1" x14ac:dyDescent="0.55000000000000004">
      <c r="A21" s="299"/>
      <c r="B21" s="302"/>
      <c r="C21" s="305"/>
      <c r="D21" s="225"/>
      <c r="E21" s="225"/>
      <c r="F21" s="225"/>
      <c r="G21" s="225"/>
      <c r="H21" s="225"/>
      <c r="I21" s="225"/>
      <c r="J21" s="223" t="e">
        <v>#N/A</v>
      </c>
      <c r="K21" s="305"/>
      <c r="L21" s="214" t="s">
        <v>2735</v>
      </c>
      <c r="M21" s="299"/>
      <c r="N21" s="299"/>
      <c r="O21" s="296"/>
      <c r="P21" t="s">
        <v>6882</v>
      </c>
      <c r="Q21" t="e">
        <v>#N/A</v>
      </c>
      <c r="U21" t="e">
        <f t="shared" si="0"/>
        <v>#N/A</v>
      </c>
    </row>
    <row r="22" spans="1:24" ht="66" customHeight="1" thickBot="1" x14ac:dyDescent="0.55000000000000004">
      <c r="A22" s="297"/>
      <c r="B22" s="306" t="s">
        <v>88</v>
      </c>
      <c r="C22" s="303" t="s">
        <v>6968</v>
      </c>
      <c r="D22" s="223"/>
      <c r="E22" s="223"/>
      <c r="F22" s="223" t="s">
        <v>88</v>
      </c>
      <c r="G22" s="223" t="s">
        <v>6968</v>
      </c>
      <c r="H22" s="223" t="s">
        <v>6997</v>
      </c>
      <c r="I22" s="223" t="s">
        <v>6998</v>
      </c>
      <c r="J22" s="223" t="s">
        <v>7174</v>
      </c>
      <c r="K22" s="303" t="s">
        <v>6972</v>
      </c>
      <c r="L22" s="217" t="s">
        <v>2202</v>
      </c>
      <c r="M22" s="297" t="s">
        <v>6966</v>
      </c>
      <c r="N22" s="297" t="s">
        <v>6971</v>
      </c>
      <c r="O22" s="294"/>
      <c r="P22" t="s">
        <v>6882</v>
      </c>
      <c r="Q22" t="s">
        <v>63</v>
      </c>
      <c r="R22" t="s">
        <v>26</v>
      </c>
      <c r="T22" t="s">
        <v>117</v>
      </c>
      <c r="U22" t="str">
        <f>Q22&amp;";"&amp;J22</f>
        <v>sunni;250;200;100</v>
      </c>
      <c r="V22" t="str">
        <f>Q22&amp;";"&amp;F22&amp;";;;;;;;;;;;;;x"</f>
        <v>sunni;Sunni;;;;;;;;;;;;;x</v>
      </c>
      <c r="W22" t="str">
        <f>R22&amp;";"&amp;G22&amp;";;;;;;;;;;;;;x"</f>
        <v>christian;Muslim;;;;;;;;;;;;;x</v>
      </c>
      <c r="X22" t="s">
        <v>117</v>
      </c>
    </row>
    <row r="23" spans="1:24" ht="14.7" hidden="1" thickBot="1" x14ac:dyDescent="0.55000000000000004">
      <c r="A23" s="298"/>
      <c r="B23" s="301"/>
      <c r="C23" s="304"/>
      <c r="D23" s="224"/>
      <c r="E23" s="224"/>
      <c r="F23" s="224"/>
      <c r="G23" s="224"/>
      <c r="H23" s="224"/>
      <c r="I23" s="224"/>
      <c r="J23" s="223" t="e">
        <v>#N/A</v>
      </c>
      <c r="K23" s="304"/>
      <c r="L23" s="216" t="s">
        <v>2200</v>
      </c>
      <c r="M23" s="298"/>
      <c r="N23" s="298"/>
      <c r="O23" s="295"/>
      <c r="P23" t="s">
        <v>6882</v>
      </c>
      <c r="Q23" t="e">
        <v>#N/A</v>
      </c>
      <c r="U23" t="e">
        <f t="shared" si="0"/>
        <v>#N/A</v>
      </c>
    </row>
    <row r="24" spans="1:24" ht="14.7" hidden="1" thickBot="1" x14ac:dyDescent="0.55000000000000004">
      <c r="A24" s="298"/>
      <c r="B24" s="301"/>
      <c r="C24" s="304"/>
      <c r="D24" s="224"/>
      <c r="E24" s="224"/>
      <c r="F24" s="224"/>
      <c r="G24" s="224"/>
      <c r="H24" s="224"/>
      <c r="I24" s="224"/>
      <c r="J24" s="223" t="e">
        <v>#N/A</v>
      </c>
      <c r="K24" s="304"/>
      <c r="L24" s="216" t="s">
        <v>2212</v>
      </c>
      <c r="M24" s="298"/>
      <c r="N24" s="298"/>
      <c r="O24" s="295"/>
      <c r="P24" t="s">
        <v>6882</v>
      </c>
      <c r="Q24" t="e">
        <v>#N/A</v>
      </c>
      <c r="U24" t="e">
        <f t="shared" si="0"/>
        <v>#N/A</v>
      </c>
    </row>
    <row r="25" spans="1:24" ht="14.7" hidden="1" thickBot="1" x14ac:dyDescent="0.55000000000000004">
      <c r="A25" s="298"/>
      <c r="B25" s="301"/>
      <c r="C25" s="304"/>
      <c r="D25" s="224"/>
      <c r="E25" s="224"/>
      <c r="F25" s="224"/>
      <c r="G25" s="224"/>
      <c r="H25" s="224"/>
      <c r="I25" s="224"/>
      <c r="J25" s="223" t="e">
        <v>#N/A</v>
      </c>
      <c r="K25" s="304"/>
      <c r="L25" s="216" t="s">
        <v>2129</v>
      </c>
      <c r="M25" s="298"/>
      <c r="N25" s="298"/>
      <c r="O25" s="295"/>
      <c r="P25" t="s">
        <v>6882</v>
      </c>
      <c r="Q25" t="e">
        <v>#N/A</v>
      </c>
      <c r="U25" t="e">
        <f t="shared" si="0"/>
        <v>#N/A</v>
      </c>
    </row>
    <row r="26" spans="1:24" ht="14.7" hidden="1" thickBot="1" x14ac:dyDescent="0.55000000000000004">
      <c r="A26" s="299"/>
      <c r="B26" s="302"/>
      <c r="C26" s="305"/>
      <c r="D26" s="225"/>
      <c r="E26" s="225"/>
      <c r="F26" s="225"/>
      <c r="G26" s="225"/>
      <c r="H26" s="225"/>
      <c r="I26" s="225"/>
      <c r="J26" s="223" t="e">
        <v>#N/A</v>
      </c>
      <c r="K26" s="305"/>
      <c r="L26" s="214" t="s">
        <v>771</v>
      </c>
      <c r="M26" s="299"/>
      <c r="N26" s="299"/>
      <c r="O26" s="296"/>
      <c r="P26" t="s">
        <v>6882</v>
      </c>
      <c r="Q26" t="e">
        <v>#N/A</v>
      </c>
      <c r="U26" t="e">
        <f t="shared" si="0"/>
        <v>#N/A</v>
      </c>
    </row>
    <row r="27" spans="1:24" ht="66" customHeight="1" thickBot="1" x14ac:dyDescent="0.55000000000000004">
      <c r="A27" s="297"/>
      <c r="B27" s="309" t="s">
        <v>2032</v>
      </c>
      <c r="C27" s="303" t="s">
        <v>6968</v>
      </c>
      <c r="D27" s="223"/>
      <c r="E27" s="223"/>
      <c r="F27" s="223"/>
      <c r="G27" s="223"/>
      <c r="H27" s="223" t="s">
        <v>6999</v>
      </c>
      <c r="I27" s="223" t="s">
        <v>7000</v>
      </c>
      <c r="J27" s="223" t="s">
        <v>7175</v>
      </c>
      <c r="K27" s="303" t="s">
        <v>6970</v>
      </c>
      <c r="L27" s="217" t="s">
        <v>2202</v>
      </c>
      <c r="M27" s="297" t="s">
        <v>6966</v>
      </c>
      <c r="N27" s="297" t="s">
        <v>6969</v>
      </c>
      <c r="O27" s="294"/>
      <c r="P27" t="s">
        <v>6882</v>
      </c>
      <c r="Q27" t="s">
        <v>64</v>
      </c>
      <c r="U27" t="str">
        <f t="shared" si="0"/>
        <v>shiite;200;200;100</v>
      </c>
      <c r="X27" t="s">
        <v>117</v>
      </c>
    </row>
    <row r="28" spans="1:24" ht="14.7" hidden="1" thickBot="1" x14ac:dyDescent="0.55000000000000004">
      <c r="A28" s="298"/>
      <c r="B28" s="301"/>
      <c r="C28" s="304"/>
      <c r="D28" s="224"/>
      <c r="E28" s="224"/>
      <c r="F28" s="224"/>
      <c r="G28" s="224"/>
      <c r="H28" s="224"/>
      <c r="I28" s="224"/>
      <c r="J28" s="223" t="e">
        <v>#N/A</v>
      </c>
      <c r="K28" s="304"/>
      <c r="L28" s="216" t="s">
        <v>2200</v>
      </c>
      <c r="M28" s="298"/>
      <c r="N28" s="298"/>
      <c r="O28" s="295"/>
      <c r="P28" t="s">
        <v>6882</v>
      </c>
      <c r="Q28" t="e">
        <v>#N/A</v>
      </c>
      <c r="U28" t="e">
        <f t="shared" si="0"/>
        <v>#N/A</v>
      </c>
    </row>
    <row r="29" spans="1:24" ht="14.7" hidden="1" thickBot="1" x14ac:dyDescent="0.55000000000000004">
      <c r="A29" s="298"/>
      <c r="B29" s="301"/>
      <c r="C29" s="304"/>
      <c r="D29" s="224"/>
      <c r="E29" s="224"/>
      <c r="F29" s="224"/>
      <c r="G29" s="224"/>
      <c r="H29" s="224"/>
      <c r="I29" s="224"/>
      <c r="J29" s="223" t="e">
        <v>#N/A</v>
      </c>
      <c r="K29" s="304"/>
      <c r="L29" s="216" t="s">
        <v>2212</v>
      </c>
      <c r="M29" s="298"/>
      <c r="N29" s="298"/>
      <c r="O29" s="295"/>
      <c r="P29" t="s">
        <v>6882</v>
      </c>
      <c r="Q29" t="e">
        <v>#N/A</v>
      </c>
      <c r="U29" t="e">
        <f t="shared" si="0"/>
        <v>#N/A</v>
      </c>
    </row>
    <row r="30" spans="1:24" ht="14.7" hidden="1" thickBot="1" x14ac:dyDescent="0.55000000000000004">
      <c r="A30" s="298"/>
      <c r="B30" s="301"/>
      <c r="C30" s="304"/>
      <c r="D30" s="224"/>
      <c r="E30" s="224"/>
      <c r="F30" s="224"/>
      <c r="G30" s="224"/>
      <c r="H30" s="224"/>
      <c r="I30" s="224"/>
      <c r="J30" s="223" t="e">
        <v>#N/A</v>
      </c>
      <c r="K30" s="304"/>
      <c r="L30" s="216" t="s">
        <v>2138</v>
      </c>
      <c r="M30" s="298"/>
      <c r="N30" s="298"/>
      <c r="O30" s="295"/>
      <c r="P30" t="s">
        <v>6882</v>
      </c>
      <c r="Q30" t="e">
        <v>#N/A</v>
      </c>
      <c r="U30" t="e">
        <f t="shared" si="0"/>
        <v>#N/A</v>
      </c>
    </row>
    <row r="31" spans="1:24" ht="14.7" hidden="1" thickBot="1" x14ac:dyDescent="0.55000000000000004">
      <c r="A31" s="299"/>
      <c r="B31" s="302"/>
      <c r="C31" s="305"/>
      <c r="D31" s="225"/>
      <c r="E31" s="225"/>
      <c r="F31" s="225"/>
      <c r="G31" s="225"/>
      <c r="H31" s="225"/>
      <c r="I31" s="225"/>
      <c r="J31" s="223" t="e">
        <v>#N/A</v>
      </c>
      <c r="K31" s="305"/>
      <c r="L31" s="214" t="s">
        <v>2191</v>
      </c>
      <c r="M31" s="299"/>
      <c r="N31" s="299"/>
      <c r="O31" s="296"/>
      <c r="P31" t="s">
        <v>6882</v>
      </c>
      <c r="Q31" t="e">
        <v>#N/A</v>
      </c>
      <c r="U31" t="e">
        <f t="shared" si="0"/>
        <v>#N/A</v>
      </c>
    </row>
    <row r="32" spans="1:24" ht="66" hidden="1" customHeight="1" thickBot="1" x14ac:dyDescent="0.55000000000000004">
      <c r="A32" s="297"/>
      <c r="B32" s="300" t="s">
        <v>2452</v>
      </c>
      <c r="C32" s="303" t="s">
        <v>6968</v>
      </c>
      <c r="D32" s="223"/>
      <c r="E32" s="223"/>
      <c r="F32" s="223"/>
      <c r="G32" s="223"/>
      <c r="H32" s="223"/>
      <c r="I32" s="223"/>
      <c r="J32" s="293" t="e">
        <v>#N/A</v>
      </c>
      <c r="K32" s="303" t="s">
        <v>6967</v>
      </c>
      <c r="L32" s="217" t="s">
        <v>2202</v>
      </c>
      <c r="M32" s="297" t="s">
        <v>6966</v>
      </c>
      <c r="N32" s="297" t="s">
        <v>6965</v>
      </c>
      <c r="O32" s="294"/>
      <c r="P32" t="s">
        <v>6882</v>
      </c>
      <c r="Q32" t="e">
        <v>#N/A</v>
      </c>
      <c r="U32" t="e">
        <f t="shared" si="0"/>
        <v>#N/A</v>
      </c>
      <c r="X32" t="s">
        <v>117</v>
      </c>
    </row>
    <row r="33" spans="1:24" ht="14.7" hidden="1" thickBot="1" x14ac:dyDescent="0.55000000000000004">
      <c r="A33" s="298"/>
      <c r="B33" s="301"/>
      <c r="C33" s="304"/>
      <c r="D33" s="224"/>
      <c r="E33" s="224"/>
      <c r="F33" s="224"/>
      <c r="G33" s="224"/>
      <c r="H33" s="224"/>
      <c r="I33" s="224"/>
      <c r="J33" s="223" t="e">
        <v>#N/A</v>
      </c>
      <c r="K33" s="304"/>
      <c r="L33" s="216" t="s">
        <v>2200</v>
      </c>
      <c r="M33" s="298"/>
      <c r="N33" s="298"/>
      <c r="O33" s="295"/>
      <c r="P33" t="s">
        <v>6882</v>
      </c>
      <c r="Q33" t="e">
        <v>#N/A</v>
      </c>
      <c r="U33" t="e">
        <f t="shared" si="0"/>
        <v>#N/A</v>
      </c>
    </row>
    <row r="34" spans="1:24" ht="14.7" hidden="1" thickBot="1" x14ac:dyDescent="0.55000000000000004">
      <c r="A34" s="298"/>
      <c r="B34" s="301"/>
      <c r="C34" s="304"/>
      <c r="D34" s="224"/>
      <c r="E34" s="224"/>
      <c r="F34" s="224"/>
      <c r="G34" s="224"/>
      <c r="H34" s="224"/>
      <c r="I34" s="224"/>
      <c r="J34" s="223" t="e">
        <v>#N/A</v>
      </c>
      <c r="K34" s="304"/>
      <c r="L34" s="216" t="s">
        <v>2212</v>
      </c>
      <c r="M34" s="298"/>
      <c r="N34" s="298"/>
      <c r="O34" s="295"/>
      <c r="P34" t="s">
        <v>6882</v>
      </c>
      <c r="Q34" t="e">
        <v>#N/A</v>
      </c>
      <c r="U34" t="e">
        <f t="shared" si="0"/>
        <v>#N/A</v>
      </c>
    </row>
    <row r="35" spans="1:24" ht="14.7" hidden="1" thickBot="1" x14ac:dyDescent="0.55000000000000004">
      <c r="A35" s="298"/>
      <c r="B35" s="301"/>
      <c r="C35" s="304"/>
      <c r="D35" s="224"/>
      <c r="E35" s="224"/>
      <c r="F35" s="224"/>
      <c r="G35" s="224"/>
      <c r="H35" s="224"/>
      <c r="I35" s="224"/>
      <c r="J35" s="223" t="e">
        <v>#N/A</v>
      </c>
      <c r="K35" s="304"/>
      <c r="L35" s="216" t="s">
        <v>2498</v>
      </c>
      <c r="M35" s="298"/>
      <c r="N35" s="298"/>
      <c r="O35" s="295"/>
      <c r="P35" t="s">
        <v>6882</v>
      </c>
      <c r="Q35" t="e">
        <v>#N/A</v>
      </c>
      <c r="U35" t="e">
        <f t="shared" si="0"/>
        <v>#N/A</v>
      </c>
    </row>
    <row r="36" spans="1:24" ht="14.7" hidden="1" thickBot="1" x14ac:dyDescent="0.55000000000000004">
      <c r="A36" s="299"/>
      <c r="B36" s="302"/>
      <c r="C36" s="305"/>
      <c r="D36" s="225"/>
      <c r="E36" s="225"/>
      <c r="F36" s="225"/>
      <c r="G36" s="225"/>
      <c r="H36" s="225"/>
      <c r="I36" s="225"/>
      <c r="J36" s="223" t="e">
        <v>#N/A</v>
      </c>
      <c r="K36" s="305"/>
      <c r="L36" s="214" t="s">
        <v>2578</v>
      </c>
      <c r="M36" s="299"/>
      <c r="N36" s="299"/>
      <c r="O36" s="296"/>
      <c r="P36" t="s">
        <v>6882</v>
      </c>
      <c r="Q36" t="e">
        <v>#N/A</v>
      </c>
      <c r="U36" t="e">
        <f t="shared" si="0"/>
        <v>#N/A</v>
      </c>
    </row>
    <row r="37" spans="1:24" ht="48" customHeight="1" thickBot="1" x14ac:dyDescent="0.55000000000000004">
      <c r="A37" s="297"/>
      <c r="B37" s="310" t="s">
        <v>6827</v>
      </c>
      <c r="C37" s="303" t="s">
        <v>6659</v>
      </c>
      <c r="D37" s="223"/>
      <c r="E37" s="223"/>
      <c r="F37" s="223" t="s">
        <v>6827</v>
      </c>
      <c r="G37" s="223" t="s">
        <v>6659</v>
      </c>
      <c r="H37" s="223"/>
      <c r="I37" s="223"/>
      <c r="J37" s="223" t="s">
        <v>7176</v>
      </c>
      <c r="K37" s="303" t="s">
        <v>6964</v>
      </c>
      <c r="L37" s="217" t="s">
        <v>2212</v>
      </c>
      <c r="M37" s="294"/>
      <c r="N37" s="297" t="s">
        <v>6961</v>
      </c>
      <c r="O37" s="294"/>
      <c r="P37" t="s">
        <v>6882</v>
      </c>
      <c r="Q37" t="s">
        <v>62</v>
      </c>
      <c r="T37" t="s">
        <v>117</v>
      </c>
      <c r="U37" t="str">
        <f t="shared" si="0"/>
        <v>jewish;150;200;0</v>
      </c>
      <c r="X37" t="s">
        <v>117</v>
      </c>
    </row>
    <row r="38" spans="1:24" ht="14.7" hidden="1" thickBot="1" x14ac:dyDescent="0.55000000000000004">
      <c r="A38" s="298"/>
      <c r="B38" s="301"/>
      <c r="C38" s="304"/>
      <c r="D38" s="224"/>
      <c r="E38" s="224"/>
      <c r="F38" s="224"/>
      <c r="G38" s="224"/>
      <c r="H38" s="224"/>
      <c r="I38" s="224"/>
      <c r="J38" s="223" t="e">
        <v>#N/A</v>
      </c>
      <c r="K38" s="304"/>
      <c r="L38" s="216" t="s">
        <v>2191</v>
      </c>
      <c r="M38" s="295"/>
      <c r="N38" s="298"/>
      <c r="O38" s="295"/>
      <c r="P38" t="s">
        <v>6882</v>
      </c>
      <c r="Q38" t="e">
        <v>#N/A</v>
      </c>
      <c r="U38" t="e">
        <f t="shared" si="0"/>
        <v>#N/A</v>
      </c>
    </row>
    <row r="39" spans="1:24" ht="14.7" hidden="1" thickBot="1" x14ac:dyDescent="0.55000000000000004">
      <c r="A39" s="298"/>
      <c r="B39" s="301"/>
      <c r="C39" s="304"/>
      <c r="D39" s="224"/>
      <c r="E39" s="224"/>
      <c r="F39" s="224"/>
      <c r="G39" s="224"/>
      <c r="H39" s="224"/>
      <c r="I39" s="224"/>
      <c r="J39" s="223" t="e">
        <v>#N/A</v>
      </c>
      <c r="K39" s="304"/>
      <c r="L39" s="216" t="s">
        <v>2382</v>
      </c>
      <c r="M39" s="295"/>
      <c r="N39" s="298"/>
      <c r="O39" s="295"/>
      <c r="P39" t="s">
        <v>6882</v>
      </c>
      <c r="Q39" t="e">
        <v>#N/A</v>
      </c>
      <c r="U39" t="e">
        <f t="shared" si="0"/>
        <v>#N/A</v>
      </c>
    </row>
    <row r="40" spans="1:24" ht="14.7" hidden="1" thickBot="1" x14ac:dyDescent="0.55000000000000004">
      <c r="A40" s="298"/>
      <c r="B40" s="301"/>
      <c r="C40" s="304"/>
      <c r="D40" s="224"/>
      <c r="E40" s="224"/>
      <c r="F40" s="224"/>
      <c r="G40" s="224"/>
      <c r="H40" s="224"/>
      <c r="I40" s="224"/>
      <c r="J40" s="223" t="e">
        <v>#N/A</v>
      </c>
      <c r="K40" s="304"/>
      <c r="L40" s="216" t="s">
        <v>2571</v>
      </c>
      <c r="M40" s="295"/>
      <c r="N40" s="298"/>
      <c r="O40" s="295"/>
      <c r="P40" t="s">
        <v>6882</v>
      </c>
      <c r="Q40" t="e">
        <v>#N/A</v>
      </c>
      <c r="U40" t="e">
        <f t="shared" si="0"/>
        <v>#N/A</v>
      </c>
    </row>
    <row r="41" spans="1:24" ht="14.7" hidden="1" thickBot="1" x14ac:dyDescent="0.55000000000000004">
      <c r="A41" s="299"/>
      <c r="B41" s="302"/>
      <c r="C41" s="305"/>
      <c r="D41" s="225"/>
      <c r="E41" s="225"/>
      <c r="F41" s="225"/>
      <c r="G41" s="225"/>
      <c r="H41" s="225"/>
      <c r="I41" s="225"/>
      <c r="J41" s="223" t="e">
        <v>#N/A</v>
      </c>
      <c r="K41" s="305"/>
      <c r="L41" s="214" t="s">
        <v>2055</v>
      </c>
      <c r="M41" s="296"/>
      <c r="N41" s="299"/>
      <c r="O41" s="296"/>
      <c r="P41" t="s">
        <v>6882</v>
      </c>
      <c r="Q41" t="e">
        <v>#N/A</v>
      </c>
      <c r="U41" t="e">
        <f t="shared" si="0"/>
        <v>#N/A</v>
      </c>
    </row>
    <row r="42" spans="1:24" ht="48" customHeight="1" thickBot="1" x14ac:dyDescent="0.55000000000000004">
      <c r="A42" s="297"/>
      <c r="B42" s="300" t="s">
        <v>1964</v>
      </c>
      <c r="C42" s="303" t="s">
        <v>6832</v>
      </c>
      <c r="D42" s="223"/>
      <c r="E42" s="223"/>
      <c r="F42" s="211" t="s">
        <v>1964</v>
      </c>
      <c r="G42" s="210" t="s">
        <v>6832</v>
      </c>
      <c r="H42" s="223"/>
      <c r="I42" s="223"/>
      <c r="J42" s="223" t="s">
        <v>7177</v>
      </c>
      <c r="K42" s="303" t="s">
        <v>6963</v>
      </c>
      <c r="L42" s="217" t="s">
        <v>2000</v>
      </c>
      <c r="M42" s="297" t="s">
        <v>6962</v>
      </c>
      <c r="N42" s="297" t="s">
        <v>6961</v>
      </c>
      <c r="O42" s="294"/>
      <c r="P42" t="s">
        <v>6882</v>
      </c>
      <c r="Q42" t="s">
        <v>71</v>
      </c>
      <c r="R42" t="s">
        <v>7025</v>
      </c>
      <c r="U42" t="str">
        <f t="shared" si="0"/>
        <v>zoroastrian;184;104;126</v>
      </c>
      <c r="V42" t="str">
        <f>Q42&amp;";"&amp;F42&amp;";;;;;;;;;;;;;x"</f>
        <v>zoroastrian;Zoroastrian;;;;;;;;;;;;;x</v>
      </c>
      <c r="W42" t="str">
        <f>R42&amp;";"&amp;G42&amp;";;;;;;;;;;;;;x"</f>
        <v>mazdan;Mazdan;;;;;;;;;;;;;x</v>
      </c>
      <c r="X42" t="s">
        <v>117</v>
      </c>
    </row>
    <row r="43" spans="1:24" ht="14.7" hidden="1" thickBot="1" x14ac:dyDescent="0.55000000000000004">
      <c r="A43" s="298"/>
      <c r="B43" s="301"/>
      <c r="C43" s="304"/>
      <c r="D43" s="224"/>
      <c r="E43" s="224"/>
      <c r="F43" s="224"/>
      <c r="G43" s="224"/>
      <c r="H43" s="224"/>
      <c r="I43" s="224"/>
      <c r="J43" s="223" t="e">
        <v>#N/A</v>
      </c>
      <c r="K43" s="304"/>
      <c r="L43" s="216" t="s">
        <v>2014</v>
      </c>
      <c r="M43" s="298"/>
      <c r="N43" s="298"/>
      <c r="O43" s="295"/>
      <c r="P43" t="s">
        <v>6882</v>
      </c>
      <c r="Q43" t="e">
        <v>#N/A</v>
      </c>
      <c r="U43" t="e">
        <f t="shared" si="0"/>
        <v>#N/A</v>
      </c>
    </row>
    <row r="44" spans="1:24" ht="14.7" hidden="1" thickBot="1" x14ac:dyDescent="0.55000000000000004">
      <c r="A44" s="298"/>
      <c r="B44" s="301"/>
      <c r="C44" s="304"/>
      <c r="D44" s="224"/>
      <c r="E44" s="224"/>
      <c r="F44" s="224"/>
      <c r="G44" s="224"/>
      <c r="H44" s="224"/>
      <c r="I44" s="224"/>
      <c r="J44" s="223" t="e">
        <v>#N/A</v>
      </c>
      <c r="K44" s="304"/>
      <c r="L44" s="216" t="s">
        <v>2123</v>
      </c>
      <c r="M44" s="298"/>
      <c r="N44" s="298"/>
      <c r="O44" s="295"/>
      <c r="P44" t="s">
        <v>6882</v>
      </c>
      <c r="Q44" t="e">
        <v>#N/A</v>
      </c>
      <c r="U44" t="e">
        <f t="shared" si="0"/>
        <v>#N/A</v>
      </c>
    </row>
    <row r="45" spans="1:24" ht="14.7" hidden="1" thickBot="1" x14ac:dyDescent="0.55000000000000004">
      <c r="A45" s="298"/>
      <c r="B45" s="301"/>
      <c r="C45" s="304"/>
      <c r="D45" s="224"/>
      <c r="E45" s="224"/>
      <c r="F45" s="224"/>
      <c r="G45" s="224"/>
      <c r="H45" s="224"/>
      <c r="I45" s="224"/>
      <c r="J45" s="223" t="e">
        <v>#N/A</v>
      </c>
      <c r="K45" s="304"/>
      <c r="L45" s="216" t="s">
        <v>1993</v>
      </c>
      <c r="M45" s="298"/>
      <c r="N45" s="298"/>
      <c r="O45" s="295"/>
      <c r="P45" t="s">
        <v>6882</v>
      </c>
      <c r="Q45" t="e">
        <v>#N/A</v>
      </c>
      <c r="U45" t="e">
        <f t="shared" si="0"/>
        <v>#N/A</v>
      </c>
    </row>
    <row r="46" spans="1:24" ht="14.7" hidden="1" thickBot="1" x14ac:dyDescent="0.55000000000000004">
      <c r="A46" s="299"/>
      <c r="B46" s="302"/>
      <c r="C46" s="305"/>
      <c r="D46" s="225"/>
      <c r="E46" s="225"/>
      <c r="F46" s="225"/>
      <c r="G46" s="225"/>
      <c r="H46" s="225"/>
      <c r="I46" s="225"/>
      <c r="J46" s="223" t="e">
        <v>#N/A</v>
      </c>
      <c r="K46" s="305"/>
      <c r="L46" s="214" t="s">
        <v>2662</v>
      </c>
      <c r="M46" s="299"/>
      <c r="N46" s="299"/>
      <c r="O46" s="296"/>
      <c r="P46" t="s">
        <v>6882</v>
      </c>
      <c r="Q46" t="e">
        <v>#N/A</v>
      </c>
      <c r="U46" t="e">
        <f t="shared" si="0"/>
        <v>#N/A</v>
      </c>
    </row>
    <row r="47" spans="1:24" ht="15.6" customHeight="1" thickBot="1" x14ac:dyDescent="0.55000000000000004">
      <c r="A47" s="297"/>
      <c r="B47" s="300" t="s">
        <v>6960</v>
      </c>
      <c r="C47" s="303" t="s">
        <v>6947</v>
      </c>
      <c r="D47" s="223"/>
      <c r="E47" s="223"/>
      <c r="F47" s="300" t="s">
        <v>6960</v>
      </c>
      <c r="G47" s="303" t="s">
        <v>6947</v>
      </c>
      <c r="H47" s="223"/>
      <c r="I47" s="223"/>
      <c r="J47" s="223" t="s">
        <v>7178</v>
      </c>
      <c r="K47" s="294" t="s">
        <v>6797</v>
      </c>
      <c r="L47" s="217" t="s">
        <v>3158</v>
      </c>
      <c r="M47" s="297" t="s">
        <v>6959</v>
      </c>
      <c r="N47" s="297" t="s">
        <v>6958</v>
      </c>
      <c r="O47" s="294" t="s">
        <v>6957</v>
      </c>
      <c r="P47" t="s">
        <v>6882</v>
      </c>
      <c r="Q47" t="s">
        <v>23</v>
      </c>
      <c r="T47" t="s">
        <v>117</v>
      </c>
      <c r="U47" t="str">
        <f t="shared" si="0"/>
        <v>hindu;150;0;150</v>
      </c>
      <c r="X47" t="s">
        <v>117</v>
      </c>
    </row>
    <row r="48" spans="1:24" ht="14.7" hidden="1" thickBot="1" x14ac:dyDescent="0.55000000000000004">
      <c r="A48" s="298"/>
      <c r="B48" s="301"/>
      <c r="C48" s="304"/>
      <c r="D48" s="224"/>
      <c r="E48" s="224"/>
      <c r="F48" s="301"/>
      <c r="G48" s="304"/>
      <c r="H48" s="224"/>
      <c r="I48" s="224"/>
      <c r="J48" s="223" t="e">
        <v>#N/A</v>
      </c>
      <c r="K48" s="295"/>
      <c r="L48" s="216" t="s">
        <v>2810</v>
      </c>
      <c r="M48" s="298"/>
      <c r="N48" s="298"/>
      <c r="O48" s="295"/>
      <c r="P48" t="s">
        <v>6882</v>
      </c>
      <c r="Q48" t="e">
        <v>#N/A</v>
      </c>
      <c r="U48" t="e">
        <f t="shared" si="0"/>
        <v>#N/A</v>
      </c>
    </row>
    <row r="49" spans="1:24" ht="14.7" hidden="1" thickBot="1" x14ac:dyDescent="0.55000000000000004">
      <c r="A49" s="298"/>
      <c r="B49" s="301"/>
      <c r="C49" s="304"/>
      <c r="D49" s="224"/>
      <c r="E49" s="224"/>
      <c r="F49" s="301"/>
      <c r="G49" s="304"/>
      <c r="H49" s="224"/>
      <c r="I49" s="224"/>
      <c r="J49" s="223" t="e">
        <v>#N/A</v>
      </c>
      <c r="K49" s="295"/>
      <c r="L49" s="216" t="s">
        <v>2825</v>
      </c>
      <c r="M49" s="298"/>
      <c r="N49" s="298"/>
      <c r="O49" s="295"/>
      <c r="P49" t="s">
        <v>6882</v>
      </c>
      <c r="Q49" t="e">
        <v>#N/A</v>
      </c>
      <c r="U49" t="e">
        <f t="shared" si="0"/>
        <v>#N/A</v>
      </c>
    </row>
    <row r="50" spans="1:24" ht="14.7" hidden="1" thickBot="1" x14ac:dyDescent="0.55000000000000004">
      <c r="A50" s="298"/>
      <c r="B50" s="301"/>
      <c r="C50" s="304"/>
      <c r="D50" s="224"/>
      <c r="E50" s="224"/>
      <c r="F50" s="301"/>
      <c r="G50" s="304"/>
      <c r="H50" s="224"/>
      <c r="I50" s="224"/>
      <c r="J50" s="223" t="e">
        <v>#N/A</v>
      </c>
      <c r="K50" s="295"/>
      <c r="L50" s="216" t="s">
        <v>3522</v>
      </c>
      <c r="M50" s="298"/>
      <c r="N50" s="298"/>
      <c r="O50" s="295"/>
      <c r="P50" t="s">
        <v>6882</v>
      </c>
      <c r="Q50" t="e">
        <v>#N/A</v>
      </c>
      <c r="U50" t="e">
        <f t="shared" si="0"/>
        <v>#N/A</v>
      </c>
    </row>
    <row r="51" spans="1:24" ht="14.7" hidden="1" thickBot="1" x14ac:dyDescent="0.55000000000000004">
      <c r="A51" s="299"/>
      <c r="B51" s="302"/>
      <c r="C51" s="305"/>
      <c r="D51" s="225"/>
      <c r="E51" s="225"/>
      <c r="F51" s="302"/>
      <c r="G51" s="305"/>
      <c r="H51" s="225"/>
      <c r="I51" s="225"/>
      <c r="J51" s="223" t="e">
        <v>#N/A</v>
      </c>
      <c r="K51" s="296"/>
      <c r="L51" s="214" t="s">
        <v>2886</v>
      </c>
      <c r="M51" s="299"/>
      <c r="N51" s="299"/>
      <c r="O51" s="296"/>
      <c r="P51" t="s">
        <v>6882</v>
      </c>
      <c r="Q51" t="e">
        <v>#N/A</v>
      </c>
      <c r="U51" t="e">
        <f t="shared" si="0"/>
        <v>#N/A</v>
      </c>
    </row>
    <row r="52" spans="1:24" ht="105" customHeight="1" thickBot="1" x14ac:dyDescent="0.55000000000000004">
      <c r="A52" s="297"/>
      <c r="B52" s="300" t="s">
        <v>6956</v>
      </c>
      <c r="C52" s="303" t="s">
        <v>6947</v>
      </c>
      <c r="D52" s="223"/>
      <c r="E52" s="223"/>
      <c r="F52" s="300" t="s">
        <v>6956</v>
      </c>
      <c r="G52" s="303" t="s">
        <v>6947</v>
      </c>
      <c r="H52" s="223"/>
      <c r="I52" s="223"/>
      <c r="J52" s="223" t="s">
        <v>7179</v>
      </c>
      <c r="K52" s="294" t="s">
        <v>6797</v>
      </c>
      <c r="L52" s="217" t="s">
        <v>2955</v>
      </c>
      <c r="M52" s="303" t="s">
        <v>6955</v>
      </c>
      <c r="N52" s="297" t="s">
        <v>6954</v>
      </c>
      <c r="O52" s="294" t="s">
        <v>6953</v>
      </c>
      <c r="P52" t="s">
        <v>6882</v>
      </c>
      <c r="Q52" t="s">
        <v>22</v>
      </c>
      <c r="T52" t="s">
        <v>117</v>
      </c>
      <c r="U52" t="str">
        <f t="shared" si="0"/>
        <v>buddhist;200;200;200</v>
      </c>
      <c r="X52" t="s">
        <v>117</v>
      </c>
    </row>
    <row r="53" spans="1:24" ht="14.7" hidden="1" thickBot="1" x14ac:dyDescent="0.55000000000000004">
      <c r="A53" s="298"/>
      <c r="B53" s="301"/>
      <c r="C53" s="304"/>
      <c r="D53" s="224"/>
      <c r="E53" s="224"/>
      <c r="F53" s="301"/>
      <c r="G53" s="304"/>
      <c r="H53" s="224"/>
      <c r="I53" s="224"/>
      <c r="J53" s="223" t="e">
        <v>#N/A</v>
      </c>
      <c r="K53" s="295"/>
      <c r="L53" s="216" t="s">
        <v>3486</v>
      </c>
      <c r="M53" s="304"/>
      <c r="N53" s="298"/>
      <c r="O53" s="295"/>
      <c r="P53" t="s">
        <v>6882</v>
      </c>
      <c r="Q53" t="e">
        <v>#N/A</v>
      </c>
      <c r="U53" t="e">
        <f t="shared" si="0"/>
        <v>#N/A</v>
      </c>
    </row>
    <row r="54" spans="1:24" ht="14.7" hidden="1" thickBot="1" x14ac:dyDescent="0.55000000000000004">
      <c r="A54" s="298"/>
      <c r="B54" s="301"/>
      <c r="C54" s="304"/>
      <c r="D54" s="224"/>
      <c r="E54" s="224"/>
      <c r="F54" s="301"/>
      <c r="G54" s="304"/>
      <c r="H54" s="224"/>
      <c r="I54" s="224"/>
      <c r="J54" s="223" t="e">
        <v>#N/A</v>
      </c>
      <c r="K54" s="295"/>
      <c r="L54" s="216" t="s">
        <v>2886</v>
      </c>
      <c r="M54" s="304"/>
      <c r="N54" s="298"/>
      <c r="O54" s="295"/>
      <c r="P54" t="s">
        <v>6882</v>
      </c>
      <c r="Q54" t="e">
        <v>#N/A</v>
      </c>
      <c r="U54" t="e">
        <f t="shared" si="0"/>
        <v>#N/A</v>
      </c>
    </row>
    <row r="55" spans="1:24" ht="14.7" hidden="1" thickBot="1" x14ac:dyDescent="0.55000000000000004">
      <c r="A55" s="298"/>
      <c r="B55" s="301"/>
      <c r="C55" s="304"/>
      <c r="D55" s="224"/>
      <c r="E55" s="224"/>
      <c r="F55" s="301"/>
      <c r="G55" s="304"/>
      <c r="H55" s="224"/>
      <c r="I55" s="224"/>
      <c r="J55" s="223" t="e">
        <v>#N/A</v>
      </c>
      <c r="K55" s="295"/>
      <c r="L55" s="216" t="s">
        <v>3135</v>
      </c>
      <c r="M55" s="304"/>
      <c r="N55" s="298"/>
      <c r="O55" s="295"/>
      <c r="P55" t="s">
        <v>6882</v>
      </c>
      <c r="Q55" t="e">
        <v>#N/A</v>
      </c>
      <c r="U55" t="e">
        <f t="shared" si="0"/>
        <v>#N/A</v>
      </c>
    </row>
    <row r="56" spans="1:24" ht="14.7" hidden="1" thickBot="1" x14ac:dyDescent="0.55000000000000004">
      <c r="A56" s="299"/>
      <c r="B56" s="302"/>
      <c r="C56" s="305"/>
      <c r="D56" s="225"/>
      <c r="E56" s="225"/>
      <c r="F56" s="302"/>
      <c r="G56" s="305"/>
      <c r="H56" s="225"/>
      <c r="I56" s="225"/>
      <c r="J56" s="223" t="e">
        <v>#N/A</v>
      </c>
      <c r="K56" s="296"/>
      <c r="L56" s="214" t="s">
        <v>2830</v>
      </c>
      <c r="M56" s="305"/>
      <c r="N56" s="299"/>
      <c r="O56" s="296"/>
      <c r="P56" t="s">
        <v>6882</v>
      </c>
      <c r="Q56" t="e">
        <v>#N/A</v>
      </c>
      <c r="U56" t="e">
        <f t="shared" si="0"/>
        <v>#N/A</v>
      </c>
    </row>
    <row r="57" spans="1:24" ht="28.85" customHeight="1" thickBot="1" x14ac:dyDescent="0.55000000000000004">
      <c r="A57" s="297"/>
      <c r="B57" s="300" t="s">
        <v>6952</v>
      </c>
      <c r="C57" s="303" t="s">
        <v>6947</v>
      </c>
      <c r="D57" s="223"/>
      <c r="E57" s="223"/>
      <c r="F57" s="300" t="s">
        <v>6952</v>
      </c>
      <c r="G57" s="303" t="s">
        <v>6947</v>
      </c>
      <c r="H57" s="223"/>
      <c r="I57" s="223"/>
      <c r="J57" s="223" t="s">
        <v>7180</v>
      </c>
      <c r="K57" s="294" t="s">
        <v>6797</v>
      </c>
      <c r="L57" s="217" t="s">
        <v>2805</v>
      </c>
      <c r="M57" s="303" t="s">
        <v>6951</v>
      </c>
      <c r="N57" s="303" t="s">
        <v>6950</v>
      </c>
      <c r="O57" s="40" t="s">
        <v>6949</v>
      </c>
      <c r="P57" t="s">
        <v>6882</v>
      </c>
      <c r="Q57" t="s">
        <v>74</v>
      </c>
      <c r="T57" t="s">
        <v>117</v>
      </c>
      <c r="U57" t="str">
        <f t="shared" si="0"/>
        <v>jain;200;100;200</v>
      </c>
      <c r="X57" t="s">
        <v>117</v>
      </c>
    </row>
    <row r="58" spans="1:24" ht="14.7" hidden="1" thickBot="1" x14ac:dyDescent="0.55000000000000004">
      <c r="A58" s="298"/>
      <c r="B58" s="301"/>
      <c r="C58" s="304"/>
      <c r="D58" s="224"/>
      <c r="E58" s="224"/>
      <c r="F58" s="301"/>
      <c r="G58" s="304"/>
      <c r="H58" s="224"/>
      <c r="I58" s="224"/>
      <c r="J58" s="223" t="e">
        <v>#N/A</v>
      </c>
      <c r="K58" s="295"/>
      <c r="L58" s="216" t="s">
        <v>3522</v>
      </c>
      <c r="M58" s="304"/>
      <c r="N58" s="304"/>
      <c r="O58" s="41"/>
      <c r="P58" t="s">
        <v>6882</v>
      </c>
      <c r="Q58" t="e">
        <v>#N/A</v>
      </c>
      <c r="U58" t="e">
        <f t="shared" si="0"/>
        <v>#N/A</v>
      </c>
    </row>
    <row r="59" spans="1:24" ht="14.7" hidden="1" thickBot="1" x14ac:dyDescent="0.55000000000000004">
      <c r="A59" s="298"/>
      <c r="B59" s="301"/>
      <c r="C59" s="304"/>
      <c r="D59" s="224"/>
      <c r="E59" s="224"/>
      <c r="F59" s="301"/>
      <c r="G59" s="304"/>
      <c r="H59" s="224"/>
      <c r="I59" s="224"/>
      <c r="J59" s="223" t="e">
        <v>#N/A</v>
      </c>
      <c r="K59" s="295"/>
      <c r="L59" s="216" t="s">
        <v>2917</v>
      </c>
      <c r="M59" s="304"/>
      <c r="N59" s="304"/>
      <c r="O59" s="41"/>
      <c r="P59" t="s">
        <v>6882</v>
      </c>
      <c r="Q59" t="e">
        <v>#N/A</v>
      </c>
      <c r="U59" t="e">
        <f t="shared" si="0"/>
        <v>#N/A</v>
      </c>
    </row>
    <row r="60" spans="1:24" ht="21" hidden="1" thickBot="1" x14ac:dyDescent="0.55000000000000004">
      <c r="A60" s="298"/>
      <c r="B60" s="301"/>
      <c r="C60" s="304"/>
      <c r="D60" s="224"/>
      <c r="E60" s="224"/>
      <c r="F60" s="301"/>
      <c r="G60" s="304"/>
      <c r="H60" s="224"/>
      <c r="I60" s="224"/>
      <c r="J60" s="223" t="e">
        <v>#N/A</v>
      </c>
      <c r="K60" s="295"/>
      <c r="L60" s="216" t="s">
        <v>2971</v>
      </c>
      <c r="M60" s="304"/>
      <c r="N60" s="304"/>
      <c r="O60" s="41"/>
      <c r="P60" t="s">
        <v>6882</v>
      </c>
      <c r="Q60" t="e">
        <v>#N/A</v>
      </c>
      <c r="U60" t="e">
        <f t="shared" si="0"/>
        <v>#N/A</v>
      </c>
    </row>
    <row r="61" spans="1:24" ht="14.7" hidden="1" thickBot="1" x14ac:dyDescent="0.55000000000000004">
      <c r="A61" s="298"/>
      <c r="B61" s="301"/>
      <c r="C61" s="304"/>
      <c r="D61" s="224"/>
      <c r="E61" s="224"/>
      <c r="F61" s="301"/>
      <c r="G61" s="304"/>
      <c r="H61" s="224"/>
      <c r="I61" s="224"/>
      <c r="J61" s="223" t="e">
        <v>#N/A</v>
      </c>
      <c r="K61" s="295"/>
      <c r="L61" s="216" t="s">
        <v>3058</v>
      </c>
      <c r="M61" s="304"/>
      <c r="N61" s="304"/>
      <c r="O61" s="41"/>
      <c r="P61" t="s">
        <v>6882</v>
      </c>
      <c r="Q61" t="e">
        <v>#N/A</v>
      </c>
      <c r="U61" t="e">
        <f t="shared" si="0"/>
        <v>#N/A</v>
      </c>
    </row>
    <row r="62" spans="1:24" ht="14.7" hidden="1" thickBot="1" x14ac:dyDescent="0.55000000000000004">
      <c r="A62" s="298"/>
      <c r="B62" s="301"/>
      <c r="C62" s="304"/>
      <c r="D62" s="224"/>
      <c r="E62" s="224"/>
      <c r="F62" s="301"/>
      <c r="G62" s="304"/>
      <c r="H62" s="224"/>
      <c r="I62" s="224"/>
      <c r="J62" s="223" t="e">
        <v>#N/A</v>
      </c>
      <c r="K62" s="295"/>
      <c r="L62" s="41"/>
      <c r="M62" s="304"/>
      <c r="N62" s="304"/>
      <c r="O62" s="41"/>
      <c r="P62" t="s">
        <v>6882</v>
      </c>
      <c r="Q62" t="e">
        <v>#N/A</v>
      </c>
      <c r="U62" t="e">
        <f t="shared" si="0"/>
        <v>#N/A</v>
      </c>
    </row>
    <row r="63" spans="1:24" ht="14.7" hidden="1" thickBot="1" x14ac:dyDescent="0.55000000000000004">
      <c r="A63" s="298"/>
      <c r="B63" s="301"/>
      <c r="C63" s="304"/>
      <c r="D63" s="224"/>
      <c r="E63" s="224"/>
      <c r="F63" s="301"/>
      <c r="G63" s="304"/>
      <c r="H63" s="224"/>
      <c r="I63" s="224"/>
      <c r="J63" s="223" t="e">
        <v>#N/A</v>
      </c>
      <c r="K63" s="295"/>
      <c r="L63" s="41"/>
      <c r="M63" s="304"/>
      <c r="N63" s="304"/>
      <c r="O63" s="41"/>
      <c r="P63" t="s">
        <v>6882</v>
      </c>
      <c r="Q63" t="e">
        <v>#N/A</v>
      </c>
      <c r="U63" t="e">
        <f t="shared" si="0"/>
        <v>#N/A</v>
      </c>
    </row>
    <row r="64" spans="1:24" ht="14.7" hidden="1" thickBot="1" x14ac:dyDescent="0.55000000000000004">
      <c r="A64" s="298"/>
      <c r="B64" s="301"/>
      <c r="C64" s="304"/>
      <c r="D64" s="224"/>
      <c r="E64" s="224"/>
      <c r="F64" s="301"/>
      <c r="G64" s="304"/>
      <c r="H64" s="224"/>
      <c r="I64" s="224"/>
      <c r="J64" s="223" t="e">
        <v>#N/A</v>
      </c>
      <c r="K64" s="295"/>
      <c r="L64" s="41"/>
      <c r="M64" s="304"/>
      <c r="N64" s="304"/>
      <c r="O64" s="41"/>
      <c r="P64" t="s">
        <v>6882</v>
      </c>
      <c r="Q64" t="e">
        <v>#N/A</v>
      </c>
      <c r="U64" t="e">
        <f t="shared" si="0"/>
        <v>#N/A</v>
      </c>
    </row>
    <row r="65" spans="1:24" ht="14.7" hidden="1" thickBot="1" x14ac:dyDescent="0.55000000000000004">
      <c r="A65" s="298"/>
      <c r="B65" s="301"/>
      <c r="C65" s="304"/>
      <c r="D65" s="224"/>
      <c r="E65" s="224"/>
      <c r="F65" s="301"/>
      <c r="G65" s="304"/>
      <c r="H65" s="224"/>
      <c r="I65" s="224"/>
      <c r="J65" s="223" t="e">
        <v>#N/A</v>
      </c>
      <c r="K65" s="295"/>
      <c r="L65" s="41"/>
      <c r="M65" s="304"/>
      <c r="N65" s="304"/>
      <c r="O65" s="41"/>
      <c r="P65" t="s">
        <v>6882</v>
      </c>
      <c r="Q65" t="e">
        <v>#N/A</v>
      </c>
      <c r="U65" t="e">
        <f t="shared" si="0"/>
        <v>#N/A</v>
      </c>
    </row>
    <row r="66" spans="1:24" ht="43.35" hidden="1" thickBot="1" x14ac:dyDescent="0.55000000000000004">
      <c r="A66" s="299"/>
      <c r="B66" s="302"/>
      <c r="C66" s="305"/>
      <c r="D66" s="225"/>
      <c r="E66" s="225"/>
      <c r="F66" s="302"/>
      <c r="G66" s="305"/>
      <c r="H66" s="225"/>
      <c r="I66" s="225"/>
      <c r="J66" s="223" t="e">
        <v>#N/A</v>
      </c>
      <c r="K66" s="296"/>
      <c r="L66" s="42"/>
      <c r="M66" s="305"/>
      <c r="N66" s="305"/>
      <c r="O66" s="219" t="s">
        <v>6948</v>
      </c>
      <c r="P66" t="s">
        <v>6882</v>
      </c>
      <c r="Q66" t="e">
        <v>#N/A</v>
      </c>
      <c r="U66" t="e">
        <f t="shared" si="0"/>
        <v>#N/A</v>
      </c>
    </row>
    <row r="67" spans="1:24" ht="14.45" customHeight="1" thickBot="1" x14ac:dyDescent="0.55000000000000004">
      <c r="A67" s="297"/>
      <c r="B67" s="300" t="s">
        <v>115</v>
      </c>
      <c r="C67" s="303" t="s">
        <v>6947</v>
      </c>
      <c r="D67" s="223"/>
      <c r="E67" s="223"/>
      <c r="F67" s="300" t="s">
        <v>115</v>
      </c>
      <c r="G67" s="303" t="s">
        <v>6947</v>
      </c>
      <c r="H67" s="223"/>
      <c r="I67" s="223"/>
      <c r="J67" s="223" t="s">
        <v>7181</v>
      </c>
      <c r="K67" s="294" t="s">
        <v>6797</v>
      </c>
      <c r="L67" s="217" t="s">
        <v>3378</v>
      </c>
      <c r="M67" s="303" t="s">
        <v>6946</v>
      </c>
      <c r="N67" s="294" t="s">
        <v>6797</v>
      </c>
      <c r="O67" s="294" t="s">
        <v>6945</v>
      </c>
      <c r="P67" t="s">
        <v>6882</v>
      </c>
      <c r="Q67" t="s">
        <v>73</v>
      </c>
      <c r="T67" t="s">
        <v>117</v>
      </c>
      <c r="U67" t="str">
        <f t="shared" ref="U67:U130" si="1">Q67&amp;";"&amp;J67</f>
        <v>taoist;250;200;200</v>
      </c>
      <c r="X67" t="s">
        <v>117</v>
      </c>
    </row>
    <row r="68" spans="1:24" ht="14.7" hidden="1" thickBot="1" x14ac:dyDescent="0.55000000000000004">
      <c r="A68" s="298"/>
      <c r="B68" s="301"/>
      <c r="C68" s="304"/>
      <c r="D68" s="224"/>
      <c r="E68" s="224"/>
      <c r="F68" s="301"/>
      <c r="G68" s="304"/>
      <c r="H68" s="224"/>
      <c r="I68" s="224"/>
      <c r="J68" s="223" t="e">
        <v>#N/A</v>
      </c>
      <c r="K68" s="295"/>
      <c r="L68" s="216" t="s">
        <v>2935</v>
      </c>
      <c r="M68" s="304"/>
      <c r="N68" s="295"/>
      <c r="O68" s="295"/>
      <c r="P68" t="s">
        <v>6882</v>
      </c>
      <c r="Q68" t="e">
        <v>#N/A</v>
      </c>
      <c r="U68" t="e">
        <f t="shared" si="1"/>
        <v>#N/A</v>
      </c>
    </row>
    <row r="69" spans="1:24" ht="14.7" hidden="1" thickBot="1" x14ac:dyDescent="0.55000000000000004">
      <c r="A69" s="298"/>
      <c r="B69" s="301"/>
      <c r="C69" s="304"/>
      <c r="D69" s="224"/>
      <c r="E69" s="224"/>
      <c r="F69" s="301"/>
      <c r="G69" s="304"/>
      <c r="H69" s="224"/>
      <c r="I69" s="224"/>
      <c r="J69" s="223" t="e">
        <v>#N/A</v>
      </c>
      <c r="K69" s="295"/>
      <c r="L69" s="216" t="s">
        <v>3135</v>
      </c>
      <c r="M69" s="304"/>
      <c r="N69" s="295"/>
      <c r="O69" s="295"/>
      <c r="P69" t="s">
        <v>6882</v>
      </c>
      <c r="Q69" t="e">
        <v>#N/A</v>
      </c>
      <c r="U69" t="e">
        <f t="shared" si="1"/>
        <v>#N/A</v>
      </c>
    </row>
    <row r="70" spans="1:24" ht="14.7" hidden="1" thickBot="1" x14ac:dyDescent="0.55000000000000004">
      <c r="A70" s="298"/>
      <c r="B70" s="301"/>
      <c r="C70" s="304"/>
      <c r="D70" s="224"/>
      <c r="E70" s="224"/>
      <c r="F70" s="301"/>
      <c r="G70" s="304"/>
      <c r="H70" s="224"/>
      <c r="I70" s="224"/>
      <c r="J70" s="223" t="e">
        <v>#N/A</v>
      </c>
      <c r="K70" s="295"/>
      <c r="L70" s="216" t="s">
        <v>3558</v>
      </c>
      <c r="M70" s="304"/>
      <c r="N70" s="295"/>
      <c r="O70" s="295"/>
      <c r="P70" t="s">
        <v>6882</v>
      </c>
      <c r="Q70" t="e">
        <v>#N/A</v>
      </c>
      <c r="U70" t="e">
        <f t="shared" si="1"/>
        <v>#N/A</v>
      </c>
    </row>
    <row r="71" spans="1:24" ht="14.7" hidden="1" thickBot="1" x14ac:dyDescent="0.55000000000000004">
      <c r="A71" s="298"/>
      <c r="B71" s="301"/>
      <c r="C71" s="304"/>
      <c r="D71" s="224"/>
      <c r="E71" s="224"/>
      <c r="F71" s="301"/>
      <c r="G71" s="304"/>
      <c r="H71" s="224"/>
      <c r="I71" s="224"/>
      <c r="J71" s="223" t="e">
        <v>#N/A</v>
      </c>
      <c r="K71" s="295"/>
      <c r="L71" s="216" t="s">
        <v>3321</v>
      </c>
      <c r="M71" s="304"/>
      <c r="N71" s="295"/>
      <c r="O71" s="295"/>
      <c r="P71" t="s">
        <v>6882</v>
      </c>
      <c r="Q71" t="e">
        <v>#N/A</v>
      </c>
      <c r="U71" t="e">
        <f t="shared" si="1"/>
        <v>#N/A</v>
      </c>
    </row>
    <row r="72" spans="1:24" ht="14.7" hidden="1" thickBot="1" x14ac:dyDescent="0.55000000000000004">
      <c r="A72" s="298"/>
      <c r="B72" s="301"/>
      <c r="C72" s="304"/>
      <c r="D72" s="224"/>
      <c r="E72" s="224"/>
      <c r="F72" s="301"/>
      <c r="G72" s="304"/>
      <c r="H72" s="224"/>
      <c r="I72" s="224"/>
      <c r="J72" s="223" t="e">
        <v>#N/A</v>
      </c>
      <c r="K72" s="295"/>
      <c r="L72" s="41"/>
      <c r="M72" s="304"/>
      <c r="N72" s="295"/>
      <c r="O72" s="295"/>
      <c r="P72" t="s">
        <v>6882</v>
      </c>
      <c r="Q72" t="e">
        <v>#N/A</v>
      </c>
      <c r="U72" t="e">
        <f t="shared" si="1"/>
        <v>#N/A</v>
      </c>
    </row>
    <row r="73" spans="1:24" ht="14.7" hidden="1" thickBot="1" x14ac:dyDescent="0.55000000000000004">
      <c r="A73" s="298"/>
      <c r="B73" s="301"/>
      <c r="C73" s="304"/>
      <c r="D73" s="224"/>
      <c r="E73" s="224"/>
      <c r="F73" s="301"/>
      <c r="G73" s="304"/>
      <c r="H73" s="224"/>
      <c r="I73" s="224"/>
      <c r="J73" s="223" t="e">
        <v>#N/A</v>
      </c>
      <c r="K73" s="295"/>
      <c r="L73" s="41"/>
      <c r="M73" s="304"/>
      <c r="N73" s="295"/>
      <c r="O73" s="295"/>
      <c r="P73" t="s">
        <v>6882</v>
      </c>
      <c r="Q73" t="e">
        <v>#N/A</v>
      </c>
      <c r="U73" t="e">
        <f t="shared" si="1"/>
        <v>#N/A</v>
      </c>
    </row>
    <row r="74" spans="1:24" ht="14.7" hidden="1" thickBot="1" x14ac:dyDescent="0.55000000000000004">
      <c r="A74" s="298"/>
      <c r="B74" s="301"/>
      <c r="C74" s="304"/>
      <c r="D74" s="224"/>
      <c r="E74" s="224"/>
      <c r="F74" s="301"/>
      <c r="G74" s="304"/>
      <c r="H74" s="224"/>
      <c r="I74" s="224"/>
      <c r="J74" s="223" t="e">
        <v>#N/A</v>
      </c>
      <c r="K74" s="295"/>
      <c r="L74" s="41"/>
      <c r="M74" s="304"/>
      <c r="N74" s="295"/>
      <c r="O74" s="295"/>
      <c r="P74" t="s">
        <v>6882</v>
      </c>
      <c r="Q74" t="e">
        <v>#N/A</v>
      </c>
      <c r="U74" t="e">
        <f t="shared" si="1"/>
        <v>#N/A</v>
      </c>
    </row>
    <row r="75" spans="1:24" ht="14.7" hidden="1" thickBot="1" x14ac:dyDescent="0.55000000000000004">
      <c r="A75" s="299"/>
      <c r="B75" s="302"/>
      <c r="C75" s="305"/>
      <c r="D75" s="225"/>
      <c r="E75" s="225"/>
      <c r="F75" s="302"/>
      <c r="G75" s="305"/>
      <c r="H75" s="225"/>
      <c r="I75" s="225"/>
      <c r="J75" s="223" t="e">
        <v>#N/A</v>
      </c>
      <c r="K75" s="296"/>
      <c r="L75" s="42"/>
      <c r="M75" s="305"/>
      <c r="N75" s="296"/>
      <c r="O75" s="296"/>
      <c r="P75" t="s">
        <v>6882</v>
      </c>
      <c r="Q75" t="e">
        <v>#N/A</v>
      </c>
      <c r="U75" t="e">
        <f t="shared" si="1"/>
        <v>#N/A</v>
      </c>
    </row>
    <row r="76" spans="1:24" ht="87" customHeight="1" thickBot="1" x14ac:dyDescent="0.55000000000000004">
      <c r="A76" s="297"/>
      <c r="B76" s="300" t="s">
        <v>264</v>
      </c>
      <c r="C76" s="303" t="s">
        <v>6798</v>
      </c>
      <c r="D76" s="223" t="s">
        <v>6991</v>
      </c>
      <c r="E76" s="223" t="s">
        <v>6992</v>
      </c>
      <c r="F76" s="223" t="s">
        <v>6991</v>
      </c>
      <c r="G76" s="223" t="s">
        <v>6798</v>
      </c>
      <c r="H76" s="223" t="s">
        <v>6991</v>
      </c>
      <c r="I76" s="223" t="s">
        <v>6992</v>
      </c>
      <c r="J76" s="223" t="s">
        <v>7182</v>
      </c>
      <c r="K76" s="294" t="s">
        <v>6797</v>
      </c>
      <c r="L76" s="217" t="s">
        <v>499</v>
      </c>
      <c r="M76" s="297" t="s">
        <v>6944</v>
      </c>
      <c r="N76" s="297" t="s">
        <v>6943</v>
      </c>
      <c r="O76" s="209" t="s">
        <v>6903</v>
      </c>
      <c r="P76" t="s">
        <v>6882</v>
      </c>
      <c r="Q76" t="s">
        <v>66</v>
      </c>
      <c r="R76" t="s">
        <v>76</v>
      </c>
      <c r="T76" t="s">
        <v>117</v>
      </c>
      <c r="U76" t="str">
        <f t="shared" si="1"/>
        <v>norse_pagan;0;64;91</v>
      </c>
      <c r="V76" t="str">
        <f>Q76&amp;";"&amp;F76&amp;";;;;;;;;;;;;;x"</f>
        <v>norse_pagan;Pirate;;;;;;;;;;;;;x</v>
      </c>
      <c r="W76" t="str">
        <f>R76&amp;";"&amp;G76&amp;";;;;;;;;;;;;;x"</f>
        <v>pagan;Pagan;;;;;;;;;;;;;x</v>
      </c>
      <c r="X76" t="s">
        <v>117</v>
      </c>
    </row>
    <row r="77" spans="1:24" ht="21" hidden="1" thickBot="1" x14ac:dyDescent="0.55000000000000004">
      <c r="A77" s="298"/>
      <c r="B77" s="301"/>
      <c r="C77" s="304"/>
      <c r="D77" s="224"/>
      <c r="E77" s="224"/>
      <c r="F77" s="224"/>
      <c r="G77" s="224"/>
      <c r="H77" s="224"/>
      <c r="I77" s="224"/>
      <c r="J77" s="223" t="e">
        <v>#N/A</v>
      </c>
      <c r="K77" s="295"/>
      <c r="L77" s="216" t="s">
        <v>605</v>
      </c>
      <c r="M77" s="298"/>
      <c r="N77" s="298"/>
      <c r="O77" s="218" t="s">
        <v>6942</v>
      </c>
      <c r="P77" t="s">
        <v>6882</v>
      </c>
      <c r="U77" t="e">
        <f t="shared" si="1"/>
        <v>#N/A</v>
      </c>
    </row>
    <row r="78" spans="1:24" ht="14.7" hidden="1" thickBot="1" x14ac:dyDescent="0.55000000000000004">
      <c r="A78" s="298"/>
      <c r="B78" s="301"/>
      <c r="C78" s="304"/>
      <c r="D78" s="224"/>
      <c r="E78" s="224"/>
      <c r="F78" s="224"/>
      <c r="G78" s="224"/>
      <c r="H78" s="224"/>
      <c r="I78" s="224"/>
      <c r="J78" s="223" t="e">
        <v>#N/A</v>
      </c>
      <c r="K78" s="295"/>
      <c r="L78" s="216" t="s">
        <v>1026</v>
      </c>
      <c r="M78" s="298"/>
      <c r="N78" s="298"/>
      <c r="O78" s="41"/>
      <c r="P78" t="s">
        <v>6882</v>
      </c>
      <c r="Q78" t="e">
        <v>#N/A</v>
      </c>
      <c r="U78" t="e">
        <f t="shared" si="1"/>
        <v>#N/A</v>
      </c>
    </row>
    <row r="79" spans="1:24" ht="14.7" hidden="1" thickBot="1" x14ac:dyDescent="0.55000000000000004">
      <c r="A79" s="298"/>
      <c r="B79" s="301"/>
      <c r="C79" s="304"/>
      <c r="D79" s="224"/>
      <c r="E79" s="224"/>
      <c r="F79" s="224"/>
      <c r="G79" s="224"/>
      <c r="H79" s="224"/>
      <c r="I79" s="224"/>
      <c r="J79" s="223" t="e">
        <v>#N/A</v>
      </c>
      <c r="K79" s="295"/>
      <c r="L79" s="216" t="s">
        <v>3948</v>
      </c>
      <c r="M79" s="298"/>
      <c r="N79" s="298"/>
      <c r="O79" s="41"/>
      <c r="P79" t="s">
        <v>6882</v>
      </c>
      <c r="Q79" t="e">
        <v>#N/A</v>
      </c>
      <c r="U79" t="e">
        <f t="shared" si="1"/>
        <v>#N/A</v>
      </c>
    </row>
    <row r="80" spans="1:24" ht="14.7" hidden="1" thickBot="1" x14ac:dyDescent="0.55000000000000004">
      <c r="A80" s="298"/>
      <c r="B80" s="301"/>
      <c r="C80" s="304"/>
      <c r="D80" s="224"/>
      <c r="E80" s="224"/>
      <c r="F80" s="224"/>
      <c r="G80" s="224"/>
      <c r="H80" s="224"/>
      <c r="I80" s="224"/>
      <c r="J80" s="223" t="e">
        <v>#N/A</v>
      </c>
      <c r="K80" s="295"/>
      <c r="L80" s="216" t="s">
        <v>996</v>
      </c>
      <c r="M80" s="298"/>
      <c r="N80" s="298"/>
      <c r="O80" s="41"/>
      <c r="P80" t="s">
        <v>6882</v>
      </c>
      <c r="Q80" t="e">
        <v>#N/A</v>
      </c>
      <c r="U80" t="e">
        <f t="shared" si="1"/>
        <v>#N/A</v>
      </c>
    </row>
    <row r="81" spans="1:24" ht="14.7" hidden="1" thickBot="1" x14ac:dyDescent="0.55000000000000004">
      <c r="A81" s="298"/>
      <c r="B81" s="301"/>
      <c r="C81" s="304"/>
      <c r="D81" s="224"/>
      <c r="E81" s="224"/>
      <c r="F81" s="224"/>
      <c r="G81" s="224"/>
      <c r="H81" s="224"/>
      <c r="I81" s="224"/>
      <c r="J81" s="223" t="e">
        <v>#N/A</v>
      </c>
      <c r="K81" s="295"/>
      <c r="L81" s="41"/>
      <c r="M81" s="298"/>
      <c r="N81" s="298"/>
      <c r="O81" s="41"/>
      <c r="P81" t="s">
        <v>6882</v>
      </c>
      <c r="Q81" t="e">
        <v>#N/A</v>
      </c>
      <c r="U81" t="e">
        <f t="shared" si="1"/>
        <v>#N/A</v>
      </c>
    </row>
    <row r="82" spans="1:24" ht="14.7" hidden="1" thickBot="1" x14ac:dyDescent="0.55000000000000004">
      <c r="A82" s="298"/>
      <c r="B82" s="301"/>
      <c r="C82" s="304"/>
      <c r="D82" s="224"/>
      <c r="E82" s="224"/>
      <c r="F82" s="224"/>
      <c r="G82" s="224"/>
      <c r="H82" s="224"/>
      <c r="I82" s="224"/>
      <c r="J82" s="223" t="e">
        <v>#N/A</v>
      </c>
      <c r="K82" s="295"/>
      <c r="L82" s="41"/>
      <c r="M82" s="298"/>
      <c r="N82" s="298"/>
      <c r="O82" s="41"/>
      <c r="P82" t="s">
        <v>6882</v>
      </c>
      <c r="Q82" t="e">
        <v>#N/A</v>
      </c>
      <c r="U82" t="e">
        <f t="shared" si="1"/>
        <v>#N/A</v>
      </c>
    </row>
    <row r="83" spans="1:24" ht="14.7" hidden="1" thickBot="1" x14ac:dyDescent="0.55000000000000004">
      <c r="A83" s="299"/>
      <c r="B83" s="302"/>
      <c r="C83" s="305"/>
      <c r="D83" s="225"/>
      <c r="E83" s="225"/>
      <c r="F83" s="225"/>
      <c r="G83" s="225"/>
      <c r="H83" s="225"/>
      <c r="I83" s="225"/>
      <c r="J83" s="223" t="e">
        <v>#N/A</v>
      </c>
      <c r="K83" s="296"/>
      <c r="L83" s="41"/>
      <c r="M83" s="299"/>
      <c r="N83" s="299"/>
      <c r="O83" s="42"/>
      <c r="P83" t="s">
        <v>6882</v>
      </c>
      <c r="Q83" t="e">
        <v>#N/A</v>
      </c>
      <c r="U83" t="e">
        <f t="shared" si="1"/>
        <v>#N/A</v>
      </c>
    </row>
    <row r="84" spans="1:24" ht="114" hidden="1" thickBot="1" x14ac:dyDescent="0.55000000000000004">
      <c r="A84" s="206"/>
      <c r="B84" s="205" t="s">
        <v>6941</v>
      </c>
      <c r="C84" s="39" t="s">
        <v>6798</v>
      </c>
      <c r="D84" s="223" t="s">
        <v>6991</v>
      </c>
      <c r="E84" s="223" t="s">
        <v>6992</v>
      </c>
      <c r="F84" s="223" t="s">
        <v>6991</v>
      </c>
      <c r="G84" s="223" t="s">
        <v>6798</v>
      </c>
      <c r="H84" s="223" t="s">
        <v>6991</v>
      </c>
      <c r="I84" s="223" t="s">
        <v>6992</v>
      </c>
      <c r="J84" s="293" t="e">
        <v>#N/A</v>
      </c>
      <c r="K84" s="39" t="s">
        <v>6940</v>
      </c>
      <c r="L84" s="42"/>
      <c r="M84" s="206" t="s">
        <v>6939</v>
      </c>
      <c r="N84" s="206" t="s">
        <v>6938</v>
      </c>
      <c r="O84" s="204" t="s">
        <v>6903</v>
      </c>
      <c r="P84" t="s">
        <v>6882</v>
      </c>
      <c r="Q84" t="s">
        <v>7490</v>
      </c>
      <c r="R84" t="s">
        <v>76</v>
      </c>
      <c r="U84" t="e">
        <f t="shared" si="1"/>
        <v>#N/A</v>
      </c>
      <c r="V84" t="str">
        <f>Q84&amp;";"&amp;F84&amp;";;;;;;;;;;;;;x"</f>
        <v>norse_pagan_reformed;Pirate;;;;;;;;;;;;;x</v>
      </c>
      <c r="W84" t="str">
        <f>R84&amp;";"&amp;G84&amp;";;;;;;;;;;;;;x"</f>
        <v>pagan;Pagan;;;;;;;;;;;;;x</v>
      </c>
      <c r="X84" t="s">
        <v>117</v>
      </c>
    </row>
    <row r="85" spans="1:24" ht="20.45" hidden="1" customHeight="1" thickBot="1" x14ac:dyDescent="0.55000000000000004">
      <c r="A85" s="297"/>
      <c r="B85" s="300" t="s">
        <v>944</v>
      </c>
      <c r="C85" s="303" t="s">
        <v>6798</v>
      </c>
      <c r="D85" s="223"/>
      <c r="E85" s="223" t="s">
        <v>6798</v>
      </c>
      <c r="F85" s="223"/>
      <c r="G85" s="223" t="s">
        <v>6798</v>
      </c>
      <c r="H85" s="223"/>
      <c r="I85" s="223" t="s">
        <v>6798</v>
      </c>
      <c r="J85" s="293" t="e">
        <v>#N/A</v>
      </c>
      <c r="K85" s="294" t="s">
        <v>6797</v>
      </c>
      <c r="L85" s="217" t="s">
        <v>1373</v>
      </c>
      <c r="M85" s="297" t="s">
        <v>6921</v>
      </c>
      <c r="N85" s="297" t="s">
        <v>6883</v>
      </c>
      <c r="O85" s="209" t="s">
        <v>6917</v>
      </c>
      <c r="P85" t="s">
        <v>6882</v>
      </c>
      <c r="Q85" t="e">
        <v>#N/A</v>
      </c>
      <c r="U85" t="e">
        <f t="shared" si="1"/>
        <v>#N/A</v>
      </c>
      <c r="X85" t="s">
        <v>234</v>
      </c>
    </row>
    <row r="86" spans="1:24" ht="21" hidden="1" thickBot="1" x14ac:dyDescent="0.55000000000000004">
      <c r="A86" s="298"/>
      <c r="B86" s="301"/>
      <c r="C86" s="304"/>
      <c r="D86" s="224"/>
      <c r="E86" s="224"/>
      <c r="F86" s="224"/>
      <c r="G86" s="224"/>
      <c r="H86" s="224"/>
      <c r="I86" s="224"/>
      <c r="J86" s="223" t="e">
        <v>#N/A</v>
      </c>
      <c r="K86" s="295"/>
      <c r="L86" s="216" t="s">
        <v>1788</v>
      </c>
      <c r="M86" s="298"/>
      <c r="N86" s="298"/>
      <c r="O86" s="218" t="s">
        <v>6916</v>
      </c>
      <c r="P86" t="s">
        <v>6882</v>
      </c>
      <c r="Q86" t="e">
        <v>#N/A</v>
      </c>
      <c r="U86" t="e">
        <f t="shared" si="1"/>
        <v>#N/A</v>
      </c>
    </row>
    <row r="87" spans="1:24" ht="14.7" hidden="1" thickBot="1" x14ac:dyDescent="0.55000000000000004">
      <c r="A87" s="298"/>
      <c r="B87" s="301"/>
      <c r="C87" s="304"/>
      <c r="D87" s="224"/>
      <c r="E87" s="224"/>
      <c r="F87" s="224"/>
      <c r="G87" s="224"/>
      <c r="H87" s="224"/>
      <c r="I87" s="224"/>
      <c r="J87" s="223" t="e">
        <v>#N/A</v>
      </c>
      <c r="K87" s="295"/>
      <c r="L87" s="216" t="s">
        <v>1743</v>
      </c>
      <c r="M87" s="298"/>
      <c r="N87" s="298"/>
      <c r="O87" s="41"/>
      <c r="P87" t="s">
        <v>6882</v>
      </c>
      <c r="Q87" t="e">
        <v>#N/A</v>
      </c>
      <c r="U87" t="e">
        <f t="shared" si="1"/>
        <v>#N/A</v>
      </c>
    </row>
    <row r="88" spans="1:24" ht="21" hidden="1" thickBot="1" x14ac:dyDescent="0.55000000000000004">
      <c r="A88" s="298"/>
      <c r="B88" s="301"/>
      <c r="C88" s="304"/>
      <c r="D88" s="224"/>
      <c r="E88" s="224"/>
      <c r="F88" s="224"/>
      <c r="G88" s="224"/>
      <c r="H88" s="224"/>
      <c r="I88" s="224"/>
      <c r="J88" s="223" t="e">
        <v>#N/A</v>
      </c>
      <c r="K88" s="295"/>
      <c r="L88" s="216" t="s">
        <v>6937</v>
      </c>
      <c r="M88" s="298"/>
      <c r="N88" s="298"/>
      <c r="O88" s="218" t="s">
        <v>6895</v>
      </c>
      <c r="P88" t="s">
        <v>6882</v>
      </c>
      <c r="Q88" t="e">
        <v>#N/A</v>
      </c>
      <c r="U88" t="e">
        <f t="shared" si="1"/>
        <v>#N/A</v>
      </c>
    </row>
    <row r="89" spans="1:24" ht="31.35" hidden="1" thickBot="1" x14ac:dyDescent="0.55000000000000004">
      <c r="A89" s="298"/>
      <c r="B89" s="301"/>
      <c r="C89" s="304"/>
      <c r="D89" s="224"/>
      <c r="E89" s="224"/>
      <c r="F89" s="224"/>
      <c r="G89" s="224"/>
      <c r="H89" s="224"/>
      <c r="I89" s="224"/>
      <c r="J89" s="223" t="e">
        <v>#N/A</v>
      </c>
      <c r="K89" s="295"/>
      <c r="L89" s="216" t="s">
        <v>1077</v>
      </c>
      <c r="M89" s="298"/>
      <c r="N89" s="298"/>
      <c r="O89" s="218" t="s">
        <v>6894</v>
      </c>
      <c r="P89" t="s">
        <v>6882</v>
      </c>
      <c r="Q89" t="e">
        <v>#N/A</v>
      </c>
      <c r="U89" t="e">
        <f t="shared" si="1"/>
        <v>#N/A</v>
      </c>
    </row>
    <row r="90" spans="1:24" ht="21" hidden="1" thickBot="1" x14ac:dyDescent="0.55000000000000004">
      <c r="A90" s="298"/>
      <c r="B90" s="301"/>
      <c r="C90" s="304"/>
      <c r="D90" s="224"/>
      <c r="E90" s="224"/>
      <c r="F90" s="224"/>
      <c r="G90" s="224"/>
      <c r="H90" s="224"/>
      <c r="I90" s="224"/>
      <c r="J90" s="223" t="e">
        <v>#N/A</v>
      </c>
      <c r="K90" s="295"/>
      <c r="L90" s="41"/>
      <c r="M90" s="298"/>
      <c r="N90" s="298"/>
      <c r="O90" s="218" t="s">
        <v>6893</v>
      </c>
      <c r="P90" t="s">
        <v>6882</v>
      </c>
      <c r="Q90" t="e">
        <v>#N/A</v>
      </c>
      <c r="U90" t="e">
        <f t="shared" si="1"/>
        <v>#N/A</v>
      </c>
    </row>
    <row r="91" spans="1:24" ht="14.7" hidden="1" thickBot="1" x14ac:dyDescent="0.55000000000000004">
      <c r="A91" s="298"/>
      <c r="B91" s="301"/>
      <c r="C91" s="304"/>
      <c r="D91" s="224"/>
      <c r="E91" s="224"/>
      <c r="F91" s="224"/>
      <c r="G91" s="224"/>
      <c r="H91" s="224"/>
      <c r="I91" s="224"/>
      <c r="J91" s="223" t="e">
        <v>#N/A</v>
      </c>
      <c r="K91" s="295"/>
      <c r="L91" s="41"/>
      <c r="M91" s="298"/>
      <c r="N91" s="298"/>
      <c r="O91" s="41"/>
      <c r="P91" t="s">
        <v>6882</v>
      </c>
      <c r="Q91" t="e">
        <v>#N/A</v>
      </c>
      <c r="U91" t="e">
        <f t="shared" si="1"/>
        <v>#N/A</v>
      </c>
    </row>
    <row r="92" spans="1:24" ht="14.7" hidden="1" thickBot="1" x14ac:dyDescent="0.55000000000000004">
      <c r="A92" s="299"/>
      <c r="B92" s="302"/>
      <c r="C92" s="305"/>
      <c r="D92" s="225"/>
      <c r="E92" s="225"/>
      <c r="F92" s="225"/>
      <c r="G92" s="225"/>
      <c r="H92" s="225"/>
      <c r="I92" s="225"/>
      <c r="J92" s="223" t="e">
        <v>#N/A</v>
      </c>
      <c r="K92" s="296"/>
      <c r="L92" s="41"/>
      <c r="M92" s="299"/>
      <c r="N92" s="299"/>
      <c r="O92" s="42"/>
      <c r="P92" t="s">
        <v>6882</v>
      </c>
      <c r="Q92" t="e">
        <v>#N/A</v>
      </c>
      <c r="U92" t="e">
        <f t="shared" si="1"/>
        <v>#N/A</v>
      </c>
    </row>
    <row r="93" spans="1:24" ht="20.45" hidden="1" customHeight="1" thickBot="1" x14ac:dyDescent="0.55000000000000004">
      <c r="A93" s="297"/>
      <c r="B93" s="300" t="s">
        <v>6936</v>
      </c>
      <c r="C93" s="303" t="s">
        <v>6798</v>
      </c>
      <c r="D93" s="223"/>
      <c r="E93" s="223" t="s">
        <v>6798</v>
      </c>
      <c r="F93" s="223"/>
      <c r="G93" s="223" t="s">
        <v>6798</v>
      </c>
      <c r="H93" s="223"/>
      <c r="I93" s="223" t="s">
        <v>6798</v>
      </c>
      <c r="J93" s="293" t="e">
        <v>#N/A</v>
      </c>
      <c r="K93" s="303" t="s">
        <v>6935</v>
      </c>
      <c r="L93" s="41"/>
      <c r="M93" s="297" t="s">
        <v>6912</v>
      </c>
      <c r="N93" s="297" t="s">
        <v>6897</v>
      </c>
      <c r="O93" s="209" t="s">
        <v>6923</v>
      </c>
      <c r="P93" t="s">
        <v>6882</v>
      </c>
      <c r="Q93" t="e">
        <v>#N/A</v>
      </c>
      <c r="U93" t="e">
        <f t="shared" si="1"/>
        <v>#N/A</v>
      </c>
      <c r="X93" t="s">
        <v>234</v>
      </c>
    </row>
    <row r="94" spans="1:24" ht="21" hidden="1" thickBot="1" x14ac:dyDescent="0.55000000000000004">
      <c r="A94" s="298"/>
      <c r="B94" s="301"/>
      <c r="C94" s="304"/>
      <c r="D94" s="224"/>
      <c r="E94" s="224"/>
      <c r="F94" s="224"/>
      <c r="G94" s="224"/>
      <c r="H94" s="224"/>
      <c r="I94" s="224"/>
      <c r="J94" s="223" t="e">
        <v>#N/A</v>
      </c>
      <c r="K94" s="304"/>
      <c r="L94" s="41"/>
      <c r="M94" s="298"/>
      <c r="N94" s="298"/>
      <c r="O94" s="218" t="s">
        <v>6922</v>
      </c>
      <c r="P94" t="s">
        <v>6882</v>
      </c>
      <c r="Q94" t="e">
        <v>#N/A</v>
      </c>
      <c r="U94" t="e">
        <f t="shared" si="1"/>
        <v>#N/A</v>
      </c>
    </row>
    <row r="95" spans="1:24" ht="14.7" hidden="1" thickBot="1" x14ac:dyDescent="0.55000000000000004">
      <c r="A95" s="298"/>
      <c r="B95" s="301"/>
      <c r="C95" s="304"/>
      <c r="D95" s="224"/>
      <c r="E95" s="224"/>
      <c r="F95" s="224"/>
      <c r="G95" s="224"/>
      <c r="H95" s="224"/>
      <c r="I95" s="224"/>
      <c r="J95" s="223" t="e">
        <v>#N/A</v>
      </c>
      <c r="K95" s="304"/>
      <c r="L95" s="41"/>
      <c r="M95" s="298"/>
      <c r="N95" s="298"/>
      <c r="O95" s="41"/>
      <c r="P95" t="s">
        <v>6882</v>
      </c>
      <c r="Q95" t="e">
        <v>#N/A</v>
      </c>
      <c r="U95" t="e">
        <f t="shared" si="1"/>
        <v>#N/A</v>
      </c>
    </row>
    <row r="96" spans="1:24" ht="21" hidden="1" thickBot="1" x14ac:dyDescent="0.55000000000000004">
      <c r="A96" s="298"/>
      <c r="B96" s="301"/>
      <c r="C96" s="304"/>
      <c r="D96" s="224"/>
      <c r="E96" s="224"/>
      <c r="F96" s="224"/>
      <c r="G96" s="224"/>
      <c r="H96" s="224"/>
      <c r="I96" s="224"/>
      <c r="J96" s="223" t="e">
        <v>#N/A</v>
      </c>
      <c r="K96" s="304"/>
      <c r="L96" s="41"/>
      <c r="M96" s="298"/>
      <c r="N96" s="298"/>
      <c r="O96" s="218" t="s">
        <v>6895</v>
      </c>
      <c r="P96" t="s">
        <v>6882</v>
      </c>
      <c r="Q96" t="e">
        <v>#N/A</v>
      </c>
      <c r="U96" t="e">
        <f t="shared" si="1"/>
        <v>#N/A</v>
      </c>
    </row>
    <row r="97" spans="1:24" ht="31.35" hidden="1" thickBot="1" x14ac:dyDescent="0.55000000000000004">
      <c r="A97" s="298"/>
      <c r="B97" s="301"/>
      <c r="C97" s="304"/>
      <c r="D97" s="224"/>
      <c r="E97" s="224"/>
      <c r="F97" s="224"/>
      <c r="G97" s="224"/>
      <c r="H97" s="224"/>
      <c r="I97" s="224"/>
      <c r="J97" s="223" t="e">
        <v>#N/A</v>
      </c>
      <c r="K97" s="304"/>
      <c r="L97" s="41"/>
      <c r="M97" s="298"/>
      <c r="N97" s="298"/>
      <c r="O97" s="218" t="s">
        <v>6894</v>
      </c>
      <c r="P97" t="s">
        <v>6882</v>
      </c>
      <c r="Q97" t="e">
        <v>#N/A</v>
      </c>
      <c r="U97" t="e">
        <f t="shared" si="1"/>
        <v>#N/A</v>
      </c>
    </row>
    <row r="98" spans="1:24" ht="21" hidden="1" thickBot="1" x14ac:dyDescent="0.55000000000000004">
      <c r="A98" s="299"/>
      <c r="B98" s="302"/>
      <c r="C98" s="305"/>
      <c r="D98" s="225"/>
      <c r="E98" s="225"/>
      <c r="F98" s="225"/>
      <c r="G98" s="225"/>
      <c r="H98" s="225"/>
      <c r="I98" s="225"/>
      <c r="J98" s="223" t="e">
        <v>#N/A</v>
      </c>
      <c r="K98" s="305"/>
      <c r="L98" s="42"/>
      <c r="M98" s="299"/>
      <c r="N98" s="299"/>
      <c r="O98" s="208" t="s">
        <v>6893</v>
      </c>
      <c r="P98" t="s">
        <v>6882</v>
      </c>
      <c r="Q98" t="e">
        <v>#N/A</v>
      </c>
      <c r="U98" t="e">
        <f t="shared" si="1"/>
        <v>#N/A</v>
      </c>
    </row>
    <row r="99" spans="1:24" ht="23.45" customHeight="1" thickBot="1" x14ac:dyDescent="0.55000000000000004">
      <c r="A99" s="297"/>
      <c r="B99" s="300" t="s">
        <v>1465</v>
      </c>
      <c r="C99" s="303" t="s">
        <v>6798</v>
      </c>
      <c r="D99" s="223"/>
      <c r="E99" s="223" t="s">
        <v>6798</v>
      </c>
      <c r="F99" s="223" t="s">
        <v>7505</v>
      </c>
      <c r="G99" s="223" t="s">
        <v>6798</v>
      </c>
      <c r="H99" s="223"/>
      <c r="I99" s="223" t="s">
        <v>6798</v>
      </c>
      <c r="J99" s="223" t="s">
        <v>7183</v>
      </c>
      <c r="K99" s="294" t="s">
        <v>6797</v>
      </c>
      <c r="L99" s="217" t="s">
        <v>1948</v>
      </c>
      <c r="M99" s="297" t="s">
        <v>6934</v>
      </c>
      <c r="N99" s="297" t="s">
        <v>6933</v>
      </c>
      <c r="O99" s="209" t="s">
        <v>6903</v>
      </c>
      <c r="P99" t="s">
        <v>6882</v>
      </c>
      <c r="Q99" t="s">
        <v>67</v>
      </c>
      <c r="U99" t="str">
        <f t="shared" si="1"/>
        <v>tengri_pagan;150;150;150</v>
      </c>
      <c r="X99" t="s">
        <v>117</v>
      </c>
    </row>
    <row r="100" spans="1:24" ht="31.35" hidden="1" thickBot="1" x14ac:dyDescent="0.55000000000000004">
      <c r="A100" s="298"/>
      <c r="B100" s="301"/>
      <c r="C100" s="304"/>
      <c r="D100" s="224"/>
      <c r="E100" s="224"/>
      <c r="F100" s="224"/>
      <c r="G100" s="224"/>
      <c r="H100" s="224"/>
      <c r="I100" s="224"/>
      <c r="J100" s="223" t="e">
        <v>#N/A</v>
      </c>
      <c r="K100" s="295"/>
      <c r="L100" s="216" t="s">
        <v>2634</v>
      </c>
      <c r="M100" s="298"/>
      <c r="N100" s="298"/>
      <c r="O100" s="218" t="s">
        <v>6932</v>
      </c>
      <c r="P100" t="s">
        <v>6882</v>
      </c>
      <c r="Q100" t="e">
        <v>#N/A</v>
      </c>
      <c r="U100" t="e">
        <f t="shared" si="1"/>
        <v>#N/A</v>
      </c>
    </row>
    <row r="101" spans="1:24" ht="31.35" hidden="1" thickBot="1" x14ac:dyDescent="0.55000000000000004">
      <c r="A101" s="298"/>
      <c r="B101" s="301"/>
      <c r="C101" s="304"/>
      <c r="D101" s="224"/>
      <c r="E101" s="224"/>
      <c r="F101" s="224"/>
      <c r="G101" s="224"/>
      <c r="H101" s="224"/>
      <c r="I101" s="224"/>
      <c r="J101" s="223" t="e">
        <v>#N/A</v>
      </c>
      <c r="K101" s="295"/>
      <c r="L101" s="216" t="s">
        <v>1783</v>
      </c>
      <c r="M101" s="298"/>
      <c r="N101" s="298"/>
      <c r="O101" s="218" t="s">
        <v>6931</v>
      </c>
      <c r="P101" t="s">
        <v>6882</v>
      </c>
      <c r="Q101" t="e">
        <v>#N/A</v>
      </c>
      <c r="U101" t="e">
        <f t="shared" si="1"/>
        <v>#N/A</v>
      </c>
    </row>
    <row r="102" spans="1:24" ht="14.7" hidden="1" thickBot="1" x14ac:dyDescent="0.55000000000000004">
      <c r="A102" s="298"/>
      <c r="B102" s="301"/>
      <c r="C102" s="304"/>
      <c r="D102" s="224"/>
      <c r="E102" s="224"/>
      <c r="F102" s="224"/>
      <c r="G102" s="224"/>
      <c r="H102" s="224"/>
      <c r="I102" s="224"/>
      <c r="J102" s="223" t="e">
        <v>#N/A</v>
      </c>
      <c r="K102" s="295"/>
      <c r="L102" s="216" t="s">
        <v>2654</v>
      </c>
      <c r="M102" s="298"/>
      <c r="N102" s="298"/>
      <c r="O102" s="41"/>
      <c r="P102" t="s">
        <v>6882</v>
      </c>
      <c r="Q102" t="e">
        <v>#N/A</v>
      </c>
      <c r="U102" t="e">
        <f t="shared" si="1"/>
        <v>#N/A</v>
      </c>
    </row>
    <row r="103" spans="1:24" ht="14.7" hidden="1" thickBot="1" x14ac:dyDescent="0.55000000000000004">
      <c r="A103" s="298"/>
      <c r="B103" s="301"/>
      <c r="C103" s="304"/>
      <c r="D103" s="224"/>
      <c r="E103" s="224"/>
      <c r="F103" s="224"/>
      <c r="G103" s="224"/>
      <c r="H103" s="224"/>
      <c r="I103" s="224"/>
      <c r="J103" s="223" t="e">
        <v>#N/A</v>
      </c>
      <c r="K103" s="295"/>
      <c r="L103" s="216" t="s">
        <v>6930</v>
      </c>
      <c r="M103" s="298"/>
      <c r="N103" s="298"/>
      <c r="O103" s="41"/>
      <c r="P103" t="s">
        <v>6882</v>
      </c>
      <c r="Q103" t="e">
        <v>#N/A</v>
      </c>
      <c r="U103" t="e">
        <f t="shared" si="1"/>
        <v>#N/A</v>
      </c>
    </row>
    <row r="104" spans="1:24" ht="14.7" hidden="1" thickBot="1" x14ac:dyDescent="0.55000000000000004">
      <c r="A104" s="298"/>
      <c r="B104" s="301"/>
      <c r="C104" s="304"/>
      <c r="D104" s="224"/>
      <c r="E104" s="224"/>
      <c r="F104" s="224"/>
      <c r="G104" s="224"/>
      <c r="H104" s="224"/>
      <c r="I104" s="224"/>
      <c r="J104" s="223" t="e">
        <v>#N/A</v>
      </c>
      <c r="K104" s="295"/>
      <c r="L104" s="41"/>
      <c r="M104" s="298"/>
      <c r="N104" s="298"/>
      <c r="O104" s="41"/>
      <c r="P104" t="s">
        <v>6882</v>
      </c>
      <c r="Q104" t="e">
        <v>#N/A</v>
      </c>
      <c r="U104" t="e">
        <f t="shared" si="1"/>
        <v>#N/A</v>
      </c>
    </row>
    <row r="105" spans="1:24" ht="14.7" hidden="1" thickBot="1" x14ac:dyDescent="0.55000000000000004">
      <c r="A105" s="298"/>
      <c r="B105" s="301"/>
      <c r="C105" s="304"/>
      <c r="D105" s="224"/>
      <c r="E105" s="224"/>
      <c r="F105" s="224"/>
      <c r="G105" s="224"/>
      <c r="H105" s="224"/>
      <c r="I105" s="224"/>
      <c r="J105" s="223" t="e">
        <v>#N/A</v>
      </c>
      <c r="K105" s="295"/>
      <c r="L105" s="41"/>
      <c r="M105" s="298"/>
      <c r="N105" s="298"/>
      <c r="O105" s="41"/>
      <c r="P105" t="s">
        <v>6882</v>
      </c>
      <c r="Q105" t="e">
        <v>#N/A</v>
      </c>
      <c r="U105" t="e">
        <f t="shared" si="1"/>
        <v>#N/A</v>
      </c>
    </row>
    <row r="106" spans="1:24" ht="14.7" hidden="1" thickBot="1" x14ac:dyDescent="0.55000000000000004">
      <c r="A106" s="299"/>
      <c r="B106" s="302"/>
      <c r="C106" s="305"/>
      <c r="D106" s="225"/>
      <c r="E106" s="225"/>
      <c r="F106" s="225"/>
      <c r="G106" s="225"/>
      <c r="H106" s="225"/>
      <c r="I106" s="225"/>
      <c r="J106" s="223" t="e">
        <v>#N/A</v>
      </c>
      <c r="K106" s="296"/>
      <c r="L106" s="41"/>
      <c r="M106" s="299"/>
      <c r="N106" s="299"/>
      <c r="O106" s="41"/>
      <c r="P106" t="s">
        <v>6882</v>
      </c>
      <c r="Q106" t="e">
        <v>#N/A</v>
      </c>
      <c r="U106" t="e">
        <f t="shared" si="1"/>
        <v>#N/A</v>
      </c>
    </row>
    <row r="107" spans="1:24" ht="114" hidden="1" thickBot="1" x14ac:dyDescent="0.55000000000000004">
      <c r="A107" s="206"/>
      <c r="B107" s="205" t="s">
        <v>6929</v>
      </c>
      <c r="C107" s="39" t="s">
        <v>6798</v>
      </c>
      <c r="D107" s="226"/>
      <c r="E107" s="223" t="s">
        <v>6798</v>
      </c>
      <c r="F107" s="223" t="s">
        <v>7505</v>
      </c>
      <c r="G107" s="223" t="s">
        <v>6798</v>
      </c>
      <c r="H107" s="226"/>
      <c r="I107" s="223" t="s">
        <v>6798</v>
      </c>
      <c r="J107" s="293" t="e">
        <v>#N/A</v>
      </c>
      <c r="K107" s="39" t="s">
        <v>6928</v>
      </c>
      <c r="L107" s="42"/>
      <c r="M107" s="206" t="s">
        <v>6927</v>
      </c>
      <c r="N107" s="206" t="s">
        <v>6905</v>
      </c>
      <c r="O107" s="42"/>
      <c r="P107" t="s">
        <v>6882</v>
      </c>
      <c r="Q107" t="e">
        <v>#N/A</v>
      </c>
      <c r="U107" t="e">
        <f t="shared" si="1"/>
        <v>#N/A</v>
      </c>
      <c r="X107" t="s">
        <v>117</v>
      </c>
    </row>
    <row r="108" spans="1:24" ht="20.45" hidden="1" customHeight="1" thickBot="1" x14ac:dyDescent="0.55000000000000004">
      <c r="A108" s="297"/>
      <c r="B108" s="300" t="s">
        <v>1264</v>
      </c>
      <c r="C108" s="303" t="s">
        <v>6798</v>
      </c>
      <c r="D108" s="223"/>
      <c r="E108" s="223" t="s">
        <v>6798</v>
      </c>
      <c r="F108" s="223"/>
      <c r="G108" s="223" t="s">
        <v>6798</v>
      </c>
      <c r="H108" s="223"/>
      <c r="I108" s="223" t="s">
        <v>6798</v>
      </c>
      <c r="J108" s="293" t="e">
        <v>#N/A</v>
      </c>
      <c r="K108" s="294" t="s">
        <v>6797</v>
      </c>
      <c r="L108" s="217" t="s">
        <v>1077</v>
      </c>
      <c r="M108" s="297" t="s">
        <v>6921</v>
      </c>
      <c r="N108" s="297" t="s">
        <v>6883</v>
      </c>
      <c r="O108" s="209" t="s">
        <v>6917</v>
      </c>
      <c r="P108" t="s">
        <v>6882</v>
      </c>
      <c r="Q108" t="e">
        <v>#N/A</v>
      </c>
      <c r="U108" t="e">
        <f t="shared" si="1"/>
        <v>#N/A</v>
      </c>
      <c r="X108" t="s">
        <v>234</v>
      </c>
    </row>
    <row r="109" spans="1:24" ht="21" hidden="1" thickBot="1" x14ac:dyDescent="0.55000000000000004">
      <c r="A109" s="298"/>
      <c r="B109" s="301"/>
      <c r="C109" s="304"/>
      <c r="D109" s="224"/>
      <c r="E109" s="224"/>
      <c r="F109" s="224"/>
      <c r="G109" s="224"/>
      <c r="H109" s="224"/>
      <c r="I109" s="224"/>
      <c r="J109" s="223" t="e">
        <v>#N/A</v>
      </c>
      <c r="K109" s="295"/>
      <c r="L109" s="216" t="s">
        <v>1260</v>
      </c>
      <c r="M109" s="298"/>
      <c r="N109" s="298"/>
      <c r="O109" s="218" t="s">
        <v>6916</v>
      </c>
      <c r="P109" t="s">
        <v>6882</v>
      </c>
      <c r="Q109" t="e">
        <v>#N/A</v>
      </c>
      <c r="U109" t="e">
        <f t="shared" si="1"/>
        <v>#N/A</v>
      </c>
    </row>
    <row r="110" spans="1:24" ht="14.7" hidden="1" thickBot="1" x14ac:dyDescent="0.55000000000000004">
      <c r="A110" s="298"/>
      <c r="B110" s="301"/>
      <c r="C110" s="304"/>
      <c r="D110" s="224"/>
      <c r="E110" s="224"/>
      <c r="F110" s="224"/>
      <c r="G110" s="224"/>
      <c r="H110" s="224"/>
      <c r="I110" s="224"/>
      <c r="J110" s="223" t="e">
        <v>#N/A</v>
      </c>
      <c r="K110" s="295"/>
      <c r="L110" s="216" t="s">
        <v>1430</v>
      </c>
      <c r="M110" s="298"/>
      <c r="N110" s="298"/>
      <c r="O110" s="41"/>
      <c r="P110" t="s">
        <v>6882</v>
      </c>
      <c r="Q110" t="e">
        <v>#N/A</v>
      </c>
      <c r="U110" t="e">
        <f t="shared" si="1"/>
        <v>#N/A</v>
      </c>
    </row>
    <row r="111" spans="1:24" ht="21" hidden="1" thickBot="1" x14ac:dyDescent="0.55000000000000004">
      <c r="A111" s="298"/>
      <c r="B111" s="301"/>
      <c r="C111" s="304"/>
      <c r="D111" s="224"/>
      <c r="E111" s="224"/>
      <c r="F111" s="224"/>
      <c r="G111" s="224"/>
      <c r="H111" s="224"/>
      <c r="I111" s="224"/>
      <c r="J111" s="223" t="e">
        <v>#N/A</v>
      </c>
      <c r="K111" s="295"/>
      <c r="L111" s="216" t="s">
        <v>6926</v>
      </c>
      <c r="M111" s="298"/>
      <c r="N111" s="298"/>
      <c r="O111" s="218" t="s">
        <v>6895</v>
      </c>
      <c r="P111" t="s">
        <v>6882</v>
      </c>
      <c r="Q111" t="e">
        <v>#N/A</v>
      </c>
      <c r="U111" t="e">
        <f t="shared" si="1"/>
        <v>#N/A</v>
      </c>
    </row>
    <row r="112" spans="1:24" ht="31.35" hidden="1" thickBot="1" x14ac:dyDescent="0.55000000000000004">
      <c r="A112" s="298"/>
      <c r="B112" s="301"/>
      <c r="C112" s="304"/>
      <c r="D112" s="224"/>
      <c r="E112" s="224"/>
      <c r="F112" s="224"/>
      <c r="G112" s="224"/>
      <c r="H112" s="224"/>
      <c r="I112" s="224"/>
      <c r="J112" s="223" t="e">
        <v>#N/A</v>
      </c>
      <c r="K112" s="295"/>
      <c r="L112" s="216" t="s">
        <v>1860</v>
      </c>
      <c r="M112" s="298"/>
      <c r="N112" s="298"/>
      <c r="O112" s="218" t="s">
        <v>6894</v>
      </c>
      <c r="P112" t="s">
        <v>6882</v>
      </c>
      <c r="Q112" t="e">
        <v>#N/A</v>
      </c>
      <c r="U112" t="e">
        <f t="shared" si="1"/>
        <v>#N/A</v>
      </c>
    </row>
    <row r="113" spans="1:24" ht="21" hidden="1" thickBot="1" x14ac:dyDescent="0.55000000000000004">
      <c r="A113" s="298"/>
      <c r="B113" s="301"/>
      <c r="C113" s="304"/>
      <c r="D113" s="224"/>
      <c r="E113" s="224"/>
      <c r="F113" s="224"/>
      <c r="G113" s="224"/>
      <c r="H113" s="224"/>
      <c r="I113" s="224"/>
      <c r="J113" s="223" t="e">
        <v>#N/A</v>
      </c>
      <c r="K113" s="295"/>
      <c r="L113" s="41"/>
      <c r="M113" s="298"/>
      <c r="N113" s="298"/>
      <c r="O113" s="218" t="s">
        <v>6893</v>
      </c>
      <c r="P113" t="s">
        <v>6882</v>
      </c>
      <c r="Q113" t="e">
        <v>#N/A</v>
      </c>
      <c r="U113" t="e">
        <f t="shared" si="1"/>
        <v>#N/A</v>
      </c>
    </row>
    <row r="114" spans="1:24" ht="14.7" hidden="1" thickBot="1" x14ac:dyDescent="0.55000000000000004">
      <c r="A114" s="298"/>
      <c r="B114" s="301"/>
      <c r="C114" s="304"/>
      <c r="D114" s="224"/>
      <c r="E114" s="224"/>
      <c r="F114" s="224"/>
      <c r="G114" s="224"/>
      <c r="H114" s="224"/>
      <c r="I114" s="224"/>
      <c r="J114" s="223" t="e">
        <v>#N/A</v>
      </c>
      <c r="K114" s="295"/>
      <c r="L114" s="41"/>
      <c r="M114" s="298"/>
      <c r="N114" s="298"/>
      <c r="O114" s="41"/>
      <c r="P114" t="s">
        <v>6882</v>
      </c>
      <c r="Q114" t="e">
        <v>#N/A</v>
      </c>
      <c r="U114" t="e">
        <f t="shared" si="1"/>
        <v>#N/A</v>
      </c>
    </row>
    <row r="115" spans="1:24" ht="14.7" hidden="1" thickBot="1" x14ac:dyDescent="0.55000000000000004">
      <c r="A115" s="299"/>
      <c r="B115" s="302"/>
      <c r="C115" s="305"/>
      <c r="D115" s="225"/>
      <c r="E115" s="225"/>
      <c r="F115" s="225"/>
      <c r="G115" s="225"/>
      <c r="H115" s="225"/>
      <c r="I115" s="225"/>
      <c r="J115" s="223" t="e">
        <v>#N/A</v>
      </c>
      <c r="K115" s="296"/>
      <c r="L115" s="41"/>
      <c r="M115" s="299"/>
      <c r="N115" s="299"/>
      <c r="O115" s="42"/>
      <c r="P115" t="s">
        <v>6882</v>
      </c>
      <c r="Q115" t="e">
        <v>#N/A</v>
      </c>
      <c r="U115" t="e">
        <f t="shared" si="1"/>
        <v>#N/A</v>
      </c>
    </row>
    <row r="116" spans="1:24" ht="20.45" hidden="1" customHeight="1" thickBot="1" x14ac:dyDescent="0.55000000000000004">
      <c r="A116" s="297"/>
      <c r="B116" s="300" t="s">
        <v>6925</v>
      </c>
      <c r="C116" s="303" t="s">
        <v>6798</v>
      </c>
      <c r="D116" s="223"/>
      <c r="E116" s="223" t="s">
        <v>6798</v>
      </c>
      <c r="F116" s="223"/>
      <c r="G116" s="223" t="s">
        <v>6798</v>
      </c>
      <c r="H116" s="223"/>
      <c r="I116" s="223" t="s">
        <v>6798</v>
      </c>
      <c r="J116" s="293" t="e">
        <v>#N/A</v>
      </c>
      <c r="K116" s="303" t="s">
        <v>6924</v>
      </c>
      <c r="L116" s="41"/>
      <c r="M116" s="297" t="s">
        <v>6918</v>
      </c>
      <c r="N116" s="297" t="s">
        <v>6897</v>
      </c>
      <c r="O116" s="209" t="s">
        <v>6923</v>
      </c>
      <c r="P116" t="s">
        <v>6882</v>
      </c>
      <c r="Q116" t="e">
        <v>#N/A</v>
      </c>
      <c r="U116" t="e">
        <f t="shared" si="1"/>
        <v>#N/A</v>
      </c>
      <c r="X116" t="s">
        <v>234</v>
      </c>
    </row>
    <row r="117" spans="1:24" ht="21" hidden="1" thickBot="1" x14ac:dyDescent="0.55000000000000004">
      <c r="A117" s="298"/>
      <c r="B117" s="301"/>
      <c r="C117" s="304"/>
      <c r="D117" s="224"/>
      <c r="E117" s="224"/>
      <c r="F117" s="224"/>
      <c r="G117" s="224"/>
      <c r="H117" s="224"/>
      <c r="I117" s="224"/>
      <c r="J117" s="223" t="e">
        <v>#N/A</v>
      </c>
      <c r="K117" s="304"/>
      <c r="L117" s="41"/>
      <c r="M117" s="298"/>
      <c r="N117" s="298"/>
      <c r="O117" s="218" t="s">
        <v>6922</v>
      </c>
      <c r="P117" t="s">
        <v>6882</v>
      </c>
      <c r="Q117" t="e">
        <v>#N/A</v>
      </c>
      <c r="U117" t="e">
        <f t="shared" si="1"/>
        <v>#N/A</v>
      </c>
    </row>
    <row r="118" spans="1:24" ht="14.7" hidden="1" thickBot="1" x14ac:dyDescent="0.55000000000000004">
      <c r="A118" s="298"/>
      <c r="B118" s="301"/>
      <c r="C118" s="304"/>
      <c r="D118" s="224"/>
      <c r="E118" s="224"/>
      <c r="F118" s="224"/>
      <c r="G118" s="224"/>
      <c r="H118" s="224"/>
      <c r="I118" s="224"/>
      <c r="J118" s="223" t="e">
        <v>#N/A</v>
      </c>
      <c r="K118" s="304"/>
      <c r="L118" s="41"/>
      <c r="M118" s="298"/>
      <c r="N118" s="298"/>
      <c r="O118" s="41"/>
      <c r="P118" t="s">
        <v>6882</v>
      </c>
      <c r="Q118" t="e">
        <v>#N/A</v>
      </c>
      <c r="U118" t="e">
        <f t="shared" si="1"/>
        <v>#N/A</v>
      </c>
    </row>
    <row r="119" spans="1:24" ht="21" hidden="1" thickBot="1" x14ac:dyDescent="0.55000000000000004">
      <c r="A119" s="298"/>
      <c r="B119" s="301"/>
      <c r="C119" s="304"/>
      <c r="D119" s="224"/>
      <c r="E119" s="224"/>
      <c r="F119" s="224"/>
      <c r="G119" s="224"/>
      <c r="H119" s="224"/>
      <c r="I119" s="224"/>
      <c r="J119" s="223" t="e">
        <v>#N/A</v>
      </c>
      <c r="K119" s="304"/>
      <c r="L119" s="41"/>
      <c r="M119" s="298"/>
      <c r="N119" s="298"/>
      <c r="O119" s="218" t="s">
        <v>6895</v>
      </c>
      <c r="P119" t="s">
        <v>6882</v>
      </c>
      <c r="Q119" t="e">
        <v>#N/A</v>
      </c>
      <c r="U119" t="e">
        <f t="shared" si="1"/>
        <v>#N/A</v>
      </c>
    </row>
    <row r="120" spans="1:24" ht="31.35" hidden="1" thickBot="1" x14ac:dyDescent="0.55000000000000004">
      <c r="A120" s="298"/>
      <c r="B120" s="301"/>
      <c r="C120" s="304"/>
      <c r="D120" s="224"/>
      <c r="E120" s="224"/>
      <c r="F120" s="224"/>
      <c r="G120" s="224"/>
      <c r="H120" s="224"/>
      <c r="I120" s="224"/>
      <c r="J120" s="223" t="e">
        <v>#N/A</v>
      </c>
      <c r="K120" s="304"/>
      <c r="L120" s="41"/>
      <c r="M120" s="298"/>
      <c r="N120" s="298"/>
      <c r="O120" s="218" t="s">
        <v>6894</v>
      </c>
      <c r="P120" t="s">
        <v>6882</v>
      </c>
      <c r="Q120" t="e">
        <v>#N/A</v>
      </c>
      <c r="U120" t="e">
        <f t="shared" si="1"/>
        <v>#N/A</v>
      </c>
    </row>
    <row r="121" spans="1:24" ht="21" hidden="1" thickBot="1" x14ac:dyDescent="0.55000000000000004">
      <c r="A121" s="299"/>
      <c r="B121" s="302"/>
      <c r="C121" s="305"/>
      <c r="D121" s="225"/>
      <c r="E121" s="225"/>
      <c r="F121" s="225"/>
      <c r="G121" s="225"/>
      <c r="H121" s="225"/>
      <c r="I121" s="225"/>
      <c r="J121" s="223" t="e">
        <v>#N/A</v>
      </c>
      <c r="K121" s="305"/>
      <c r="L121" s="42"/>
      <c r="M121" s="299"/>
      <c r="N121" s="299"/>
      <c r="O121" s="208" t="s">
        <v>6893</v>
      </c>
      <c r="P121" t="s">
        <v>6882</v>
      </c>
      <c r="Q121" t="e">
        <v>#N/A</v>
      </c>
      <c r="U121" t="e">
        <f t="shared" si="1"/>
        <v>#N/A</v>
      </c>
    </row>
    <row r="122" spans="1:24" ht="20.45" customHeight="1" thickBot="1" x14ac:dyDescent="0.55000000000000004">
      <c r="A122" s="297"/>
      <c r="B122" s="300" t="s">
        <v>1003</v>
      </c>
      <c r="C122" s="303" t="s">
        <v>6798</v>
      </c>
      <c r="D122" s="223"/>
      <c r="E122" s="223" t="s">
        <v>6798</v>
      </c>
      <c r="F122" s="223"/>
      <c r="G122" s="223" t="s">
        <v>6798</v>
      </c>
      <c r="H122" s="223"/>
      <c r="I122" s="223" t="s">
        <v>6798</v>
      </c>
      <c r="J122" s="223" t="s">
        <v>7184</v>
      </c>
      <c r="K122" s="294" t="s">
        <v>6797</v>
      </c>
      <c r="L122" s="217" t="s">
        <v>1359</v>
      </c>
      <c r="M122" s="297" t="s">
        <v>6921</v>
      </c>
      <c r="N122" s="297" t="s">
        <v>6883</v>
      </c>
      <c r="O122" s="209" t="s">
        <v>6893</v>
      </c>
      <c r="P122" t="s">
        <v>6882</v>
      </c>
      <c r="Q122" t="s">
        <v>68</v>
      </c>
      <c r="U122" t="str">
        <f t="shared" si="1"/>
        <v>finnish_pagan;45;65;65</v>
      </c>
      <c r="X122" t="s">
        <v>234</v>
      </c>
    </row>
    <row r="123" spans="1:24" ht="14.7" hidden="1" thickBot="1" x14ac:dyDescent="0.55000000000000004">
      <c r="A123" s="298"/>
      <c r="B123" s="301"/>
      <c r="C123" s="304"/>
      <c r="D123" s="224"/>
      <c r="E123" s="224"/>
      <c r="F123" s="224"/>
      <c r="G123" s="224"/>
      <c r="H123" s="224"/>
      <c r="I123" s="224"/>
      <c r="J123" s="223" t="e">
        <v>#N/A</v>
      </c>
      <c r="K123" s="295"/>
      <c r="L123" s="216" t="s">
        <v>1863</v>
      </c>
      <c r="M123" s="298"/>
      <c r="N123" s="298"/>
      <c r="O123" s="41"/>
      <c r="P123" t="s">
        <v>6882</v>
      </c>
      <c r="Q123" t="e">
        <v>#N/A</v>
      </c>
      <c r="U123" t="e">
        <f t="shared" si="1"/>
        <v>#N/A</v>
      </c>
    </row>
    <row r="124" spans="1:24" ht="21" hidden="1" thickBot="1" x14ac:dyDescent="0.55000000000000004">
      <c r="A124" s="298"/>
      <c r="B124" s="301"/>
      <c r="C124" s="304"/>
      <c r="D124" s="224"/>
      <c r="E124" s="224"/>
      <c r="F124" s="224"/>
      <c r="G124" s="224"/>
      <c r="H124" s="224"/>
      <c r="I124" s="224"/>
      <c r="J124" s="223" t="e">
        <v>#N/A</v>
      </c>
      <c r="K124" s="295"/>
      <c r="L124" s="216" t="s">
        <v>1373</v>
      </c>
      <c r="M124" s="298"/>
      <c r="N124" s="298"/>
      <c r="O124" s="218" t="s">
        <v>6895</v>
      </c>
      <c r="P124" t="s">
        <v>6882</v>
      </c>
      <c r="Q124" t="e">
        <v>#N/A</v>
      </c>
      <c r="U124" t="e">
        <f t="shared" si="1"/>
        <v>#N/A</v>
      </c>
    </row>
    <row r="125" spans="1:24" ht="31.35" hidden="1" thickBot="1" x14ac:dyDescent="0.55000000000000004">
      <c r="A125" s="298"/>
      <c r="B125" s="301"/>
      <c r="C125" s="304"/>
      <c r="D125" s="224"/>
      <c r="E125" s="224"/>
      <c r="F125" s="224"/>
      <c r="G125" s="224"/>
      <c r="H125" s="224"/>
      <c r="I125" s="224"/>
      <c r="J125" s="223" t="e">
        <v>#N/A</v>
      </c>
      <c r="K125" s="295"/>
      <c r="L125" s="216" t="s">
        <v>1290</v>
      </c>
      <c r="M125" s="298"/>
      <c r="N125" s="298"/>
      <c r="O125" s="218" t="s">
        <v>6894</v>
      </c>
      <c r="P125" t="s">
        <v>6882</v>
      </c>
      <c r="Q125" t="e">
        <v>#N/A</v>
      </c>
      <c r="U125" t="e">
        <f t="shared" si="1"/>
        <v>#N/A</v>
      </c>
    </row>
    <row r="126" spans="1:24" ht="21" hidden="1" thickBot="1" x14ac:dyDescent="0.55000000000000004">
      <c r="A126" s="298"/>
      <c r="B126" s="301"/>
      <c r="C126" s="304"/>
      <c r="D126" s="224"/>
      <c r="E126" s="224"/>
      <c r="F126" s="224"/>
      <c r="G126" s="224"/>
      <c r="H126" s="224"/>
      <c r="I126" s="224"/>
      <c r="J126" s="223" t="e">
        <v>#N/A</v>
      </c>
      <c r="K126" s="295"/>
      <c r="L126" s="216" t="s">
        <v>1336</v>
      </c>
      <c r="M126" s="298"/>
      <c r="N126" s="298"/>
      <c r="O126" s="218" t="s">
        <v>6893</v>
      </c>
      <c r="P126" t="s">
        <v>6882</v>
      </c>
      <c r="Q126" t="e">
        <v>#N/A</v>
      </c>
      <c r="U126" t="e">
        <f t="shared" si="1"/>
        <v>#N/A</v>
      </c>
    </row>
    <row r="127" spans="1:24" ht="14.7" hidden="1" thickBot="1" x14ac:dyDescent="0.55000000000000004">
      <c r="A127" s="298"/>
      <c r="B127" s="301"/>
      <c r="C127" s="304"/>
      <c r="D127" s="224"/>
      <c r="E127" s="224"/>
      <c r="F127" s="224"/>
      <c r="G127" s="224"/>
      <c r="H127" s="224"/>
      <c r="I127" s="224"/>
      <c r="J127" s="223" t="e">
        <v>#N/A</v>
      </c>
      <c r="K127" s="295"/>
      <c r="L127" s="41"/>
      <c r="M127" s="298"/>
      <c r="N127" s="298"/>
      <c r="O127" s="41"/>
      <c r="P127" t="s">
        <v>6882</v>
      </c>
      <c r="Q127" t="e">
        <v>#N/A</v>
      </c>
      <c r="U127" t="e">
        <f t="shared" si="1"/>
        <v>#N/A</v>
      </c>
    </row>
    <row r="128" spans="1:24" ht="14.7" hidden="1" thickBot="1" x14ac:dyDescent="0.55000000000000004">
      <c r="A128" s="298"/>
      <c r="B128" s="301"/>
      <c r="C128" s="304"/>
      <c r="D128" s="224"/>
      <c r="E128" s="224"/>
      <c r="F128" s="224"/>
      <c r="G128" s="224"/>
      <c r="H128" s="224"/>
      <c r="I128" s="224"/>
      <c r="J128" s="223" t="e">
        <v>#N/A</v>
      </c>
      <c r="K128" s="295"/>
      <c r="L128" s="41"/>
      <c r="M128" s="298"/>
      <c r="N128" s="298"/>
      <c r="O128" s="41"/>
      <c r="P128" t="s">
        <v>6882</v>
      </c>
      <c r="Q128" t="e">
        <v>#N/A</v>
      </c>
      <c r="U128" t="e">
        <f t="shared" si="1"/>
        <v>#N/A</v>
      </c>
    </row>
    <row r="129" spans="1:24" ht="14.7" hidden="1" thickBot="1" x14ac:dyDescent="0.55000000000000004">
      <c r="A129" s="299"/>
      <c r="B129" s="302"/>
      <c r="C129" s="305"/>
      <c r="D129" s="225"/>
      <c r="E129" s="225"/>
      <c r="F129" s="225"/>
      <c r="G129" s="225"/>
      <c r="H129" s="225"/>
      <c r="I129" s="225"/>
      <c r="J129" s="223" t="e">
        <v>#N/A</v>
      </c>
      <c r="K129" s="296"/>
      <c r="L129" s="41"/>
      <c r="M129" s="299"/>
      <c r="N129" s="299"/>
      <c r="O129" s="42"/>
      <c r="P129" t="s">
        <v>6882</v>
      </c>
      <c r="Q129" t="e">
        <v>#N/A</v>
      </c>
      <c r="U129" t="e">
        <f t="shared" si="1"/>
        <v>#N/A</v>
      </c>
    </row>
    <row r="130" spans="1:24" ht="20.45" hidden="1" customHeight="1" thickBot="1" x14ac:dyDescent="0.55000000000000004">
      <c r="A130" s="297"/>
      <c r="B130" s="300" t="s">
        <v>6920</v>
      </c>
      <c r="C130" s="303" t="s">
        <v>6798</v>
      </c>
      <c r="D130" s="223"/>
      <c r="E130" s="223" t="s">
        <v>6798</v>
      </c>
      <c r="F130" s="223"/>
      <c r="G130" s="223" t="s">
        <v>6798</v>
      </c>
      <c r="H130" s="223"/>
      <c r="I130" s="223" t="s">
        <v>6798</v>
      </c>
      <c r="J130" s="293" t="e">
        <v>#N/A</v>
      </c>
      <c r="K130" s="303" t="s">
        <v>6919</v>
      </c>
      <c r="L130" s="41"/>
      <c r="M130" s="297" t="s">
        <v>6918</v>
      </c>
      <c r="N130" s="297" t="s">
        <v>6897</v>
      </c>
      <c r="O130" s="209" t="s">
        <v>6917</v>
      </c>
      <c r="P130" t="s">
        <v>6882</v>
      </c>
      <c r="Q130" t="e">
        <v>#N/A</v>
      </c>
      <c r="U130" t="e">
        <f t="shared" si="1"/>
        <v>#N/A</v>
      </c>
      <c r="X130" t="s">
        <v>234</v>
      </c>
    </row>
    <row r="131" spans="1:24" ht="21" hidden="1" thickBot="1" x14ac:dyDescent="0.55000000000000004">
      <c r="A131" s="298"/>
      <c r="B131" s="301"/>
      <c r="C131" s="304"/>
      <c r="D131" s="224"/>
      <c r="E131" s="224"/>
      <c r="F131" s="224"/>
      <c r="G131" s="224"/>
      <c r="H131" s="224"/>
      <c r="I131" s="224"/>
      <c r="J131" s="223" t="e">
        <v>#N/A</v>
      </c>
      <c r="K131" s="304"/>
      <c r="L131" s="41"/>
      <c r="M131" s="298"/>
      <c r="N131" s="298"/>
      <c r="O131" s="218" t="s">
        <v>6916</v>
      </c>
      <c r="P131" t="s">
        <v>6882</v>
      </c>
      <c r="Q131" t="e">
        <v>#N/A</v>
      </c>
      <c r="U131" t="e">
        <f t="shared" ref="U131:U194" si="2">Q131&amp;";"&amp;J131</f>
        <v>#N/A</v>
      </c>
    </row>
    <row r="132" spans="1:24" ht="14.7" hidden="1" thickBot="1" x14ac:dyDescent="0.55000000000000004">
      <c r="A132" s="298"/>
      <c r="B132" s="301"/>
      <c r="C132" s="304"/>
      <c r="D132" s="224"/>
      <c r="E132" s="224"/>
      <c r="F132" s="224"/>
      <c r="G132" s="224"/>
      <c r="H132" s="224"/>
      <c r="I132" s="224"/>
      <c r="J132" s="223" t="e">
        <v>#N/A</v>
      </c>
      <c r="K132" s="304"/>
      <c r="L132" s="41"/>
      <c r="M132" s="298"/>
      <c r="N132" s="298"/>
      <c r="O132" s="41"/>
      <c r="P132" t="s">
        <v>6882</v>
      </c>
      <c r="Q132" t="e">
        <v>#N/A</v>
      </c>
      <c r="U132" t="e">
        <f t="shared" si="2"/>
        <v>#N/A</v>
      </c>
    </row>
    <row r="133" spans="1:24" ht="21" hidden="1" thickBot="1" x14ac:dyDescent="0.55000000000000004">
      <c r="A133" s="298"/>
      <c r="B133" s="301"/>
      <c r="C133" s="304"/>
      <c r="D133" s="224"/>
      <c r="E133" s="224"/>
      <c r="F133" s="224"/>
      <c r="G133" s="224"/>
      <c r="H133" s="224"/>
      <c r="I133" s="224"/>
      <c r="J133" s="223" t="e">
        <v>#N/A</v>
      </c>
      <c r="K133" s="304"/>
      <c r="L133" s="41"/>
      <c r="M133" s="298"/>
      <c r="N133" s="298"/>
      <c r="O133" s="218" t="s">
        <v>6895</v>
      </c>
      <c r="P133" t="s">
        <v>6882</v>
      </c>
      <c r="Q133" t="e">
        <v>#N/A</v>
      </c>
      <c r="U133" t="e">
        <f t="shared" si="2"/>
        <v>#N/A</v>
      </c>
    </row>
    <row r="134" spans="1:24" ht="31.35" hidden="1" thickBot="1" x14ac:dyDescent="0.55000000000000004">
      <c r="A134" s="298"/>
      <c r="B134" s="301"/>
      <c r="C134" s="304"/>
      <c r="D134" s="224"/>
      <c r="E134" s="224"/>
      <c r="F134" s="224"/>
      <c r="G134" s="224"/>
      <c r="H134" s="224"/>
      <c r="I134" s="224"/>
      <c r="J134" s="223" t="e">
        <v>#N/A</v>
      </c>
      <c r="K134" s="304"/>
      <c r="L134" s="41"/>
      <c r="M134" s="298"/>
      <c r="N134" s="298"/>
      <c r="O134" s="218" t="s">
        <v>6894</v>
      </c>
      <c r="P134" t="s">
        <v>6882</v>
      </c>
      <c r="Q134" t="e">
        <v>#N/A</v>
      </c>
      <c r="U134" t="e">
        <f t="shared" si="2"/>
        <v>#N/A</v>
      </c>
    </row>
    <row r="135" spans="1:24" ht="21" hidden="1" thickBot="1" x14ac:dyDescent="0.55000000000000004">
      <c r="A135" s="299"/>
      <c r="B135" s="302"/>
      <c r="C135" s="305"/>
      <c r="D135" s="225"/>
      <c r="E135" s="225"/>
      <c r="F135" s="225"/>
      <c r="G135" s="225"/>
      <c r="H135" s="225"/>
      <c r="I135" s="225"/>
      <c r="J135" s="223" t="e">
        <v>#N/A</v>
      </c>
      <c r="K135" s="305"/>
      <c r="L135" s="42"/>
      <c r="M135" s="299"/>
      <c r="N135" s="299"/>
      <c r="O135" s="208" t="s">
        <v>6893</v>
      </c>
      <c r="P135" t="s">
        <v>6882</v>
      </c>
      <c r="Q135" t="e">
        <v>#N/A</v>
      </c>
      <c r="U135" t="e">
        <f t="shared" si="2"/>
        <v>#N/A</v>
      </c>
    </row>
    <row r="136" spans="1:24" ht="20.45" customHeight="1" thickBot="1" x14ac:dyDescent="0.55000000000000004">
      <c r="A136" s="297"/>
      <c r="B136" s="300" t="s">
        <v>6777</v>
      </c>
      <c r="C136" s="303" t="s">
        <v>6798</v>
      </c>
      <c r="D136" s="223"/>
      <c r="E136" s="223" t="s">
        <v>6798</v>
      </c>
      <c r="F136" s="223" t="s">
        <v>6990</v>
      </c>
      <c r="G136" s="223" t="s">
        <v>6798</v>
      </c>
      <c r="H136" s="223"/>
      <c r="I136" s="223" t="s">
        <v>6798</v>
      </c>
      <c r="J136" s="223" t="s">
        <v>7185</v>
      </c>
      <c r="K136" s="294" t="s">
        <v>6797</v>
      </c>
      <c r="L136" s="217" t="s">
        <v>2677</v>
      </c>
      <c r="M136" s="297" t="s">
        <v>6915</v>
      </c>
      <c r="N136" s="297" t="s">
        <v>6883</v>
      </c>
      <c r="O136" s="209" t="s">
        <v>6893</v>
      </c>
      <c r="P136" t="s">
        <v>6882</v>
      </c>
      <c r="Q136" t="s">
        <v>72</v>
      </c>
      <c r="R136" t="s">
        <v>76</v>
      </c>
      <c r="T136" t="s">
        <v>117</v>
      </c>
      <c r="U136" t="str">
        <f t="shared" si="2"/>
        <v>west_african_pagan;180;130;0</v>
      </c>
      <c r="V136" t="str">
        <f>Q136&amp;";"&amp;F136&amp;";;;;;;;;;;;;;x"</f>
        <v>west_african_pagan;Animism;;;;;;;;;;;;;x</v>
      </c>
      <c r="W136" t="str">
        <f>R136&amp;";"&amp;G136&amp;";;;;;;;;;;;;;x"</f>
        <v>pagan;Pagan;;;;;;;;;;;;;x</v>
      </c>
      <c r="X136" t="s">
        <v>117</v>
      </c>
    </row>
    <row r="137" spans="1:24" ht="14.7" hidden="1" thickBot="1" x14ac:dyDescent="0.55000000000000004">
      <c r="A137" s="298"/>
      <c r="B137" s="301"/>
      <c r="C137" s="304"/>
      <c r="D137" s="224"/>
      <c r="E137" s="224"/>
      <c r="F137" s="224"/>
      <c r="G137" s="224"/>
      <c r="H137" s="224"/>
      <c r="I137" s="224"/>
      <c r="J137" s="223" t="e">
        <v>#N/A</v>
      </c>
      <c r="K137" s="295"/>
      <c r="L137" s="216" t="s">
        <v>2679</v>
      </c>
      <c r="M137" s="298"/>
      <c r="N137" s="298"/>
      <c r="O137" s="41"/>
      <c r="P137" t="s">
        <v>6882</v>
      </c>
      <c r="Q137" t="e">
        <v>#N/A</v>
      </c>
      <c r="U137" t="e">
        <f t="shared" si="2"/>
        <v>#N/A</v>
      </c>
    </row>
    <row r="138" spans="1:24" ht="21" hidden="1" thickBot="1" x14ac:dyDescent="0.55000000000000004">
      <c r="A138" s="298"/>
      <c r="B138" s="301"/>
      <c r="C138" s="304"/>
      <c r="D138" s="224"/>
      <c r="E138" s="224"/>
      <c r="F138" s="224"/>
      <c r="G138" s="224"/>
      <c r="H138" s="224"/>
      <c r="I138" s="224"/>
      <c r="J138" s="223" t="e">
        <v>#N/A</v>
      </c>
      <c r="K138" s="295"/>
      <c r="L138" s="216" t="s">
        <v>4079</v>
      </c>
      <c r="M138" s="298"/>
      <c r="N138" s="298"/>
      <c r="O138" s="218" t="s">
        <v>6895</v>
      </c>
      <c r="P138" t="s">
        <v>6882</v>
      </c>
      <c r="Q138" t="e">
        <v>#N/A</v>
      </c>
      <c r="U138" t="e">
        <f t="shared" si="2"/>
        <v>#N/A</v>
      </c>
    </row>
    <row r="139" spans="1:24" ht="31.35" hidden="1" thickBot="1" x14ac:dyDescent="0.55000000000000004">
      <c r="A139" s="298"/>
      <c r="B139" s="301"/>
      <c r="C139" s="304"/>
      <c r="D139" s="224"/>
      <c r="E139" s="224"/>
      <c r="F139" s="224"/>
      <c r="G139" s="224"/>
      <c r="H139" s="224"/>
      <c r="I139" s="224"/>
      <c r="J139" s="223" t="e">
        <v>#N/A</v>
      </c>
      <c r="K139" s="295"/>
      <c r="L139" s="216" t="s">
        <v>4064</v>
      </c>
      <c r="M139" s="298"/>
      <c r="N139" s="298"/>
      <c r="O139" s="218" t="s">
        <v>6894</v>
      </c>
      <c r="P139" t="s">
        <v>6882</v>
      </c>
      <c r="Q139" t="e">
        <v>#N/A</v>
      </c>
      <c r="U139" t="e">
        <f t="shared" si="2"/>
        <v>#N/A</v>
      </c>
    </row>
    <row r="140" spans="1:24" ht="21" hidden="1" thickBot="1" x14ac:dyDescent="0.55000000000000004">
      <c r="A140" s="298"/>
      <c r="B140" s="301"/>
      <c r="C140" s="304"/>
      <c r="D140" s="224"/>
      <c r="E140" s="224"/>
      <c r="F140" s="224"/>
      <c r="G140" s="224"/>
      <c r="H140" s="224"/>
      <c r="I140" s="224"/>
      <c r="J140" s="223" t="e">
        <v>#N/A</v>
      </c>
      <c r="K140" s="295"/>
      <c r="L140" s="216" t="s">
        <v>4143</v>
      </c>
      <c r="M140" s="298"/>
      <c r="N140" s="298"/>
      <c r="O140" s="218" t="s">
        <v>6893</v>
      </c>
      <c r="P140" t="s">
        <v>6882</v>
      </c>
      <c r="Q140" t="e">
        <v>#N/A</v>
      </c>
      <c r="U140" t="e">
        <f t="shared" si="2"/>
        <v>#N/A</v>
      </c>
    </row>
    <row r="141" spans="1:24" ht="14.7" hidden="1" thickBot="1" x14ac:dyDescent="0.55000000000000004">
      <c r="A141" s="298"/>
      <c r="B141" s="301"/>
      <c r="C141" s="304"/>
      <c r="D141" s="224"/>
      <c r="E141" s="224"/>
      <c r="F141" s="224"/>
      <c r="G141" s="224"/>
      <c r="H141" s="224"/>
      <c r="I141" s="224"/>
      <c r="J141" s="223" t="e">
        <v>#N/A</v>
      </c>
      <c r="K141" s="295"/>
      <c r="L141" s="41"/>
      <c r="M141" s="298"/>
      <c r="N141" s="298"/>
      <c r="O141" s="41"/>
      <c r="P141" t="s">
        <v>6882</v>
      </c>
      <c r="Q141" t="e">
        <v>#N/A</v>
      </c>
      <c r="U141" t="e">
        <f t="shared" si="2"/>
        <v>#N/A</v>
      </c>
    </row>
    <row r="142" spans="1:24" ht="14.7" hidden="1" thickBot="1" x14ac:dyDescent="0.55000000000000004">
      <c r="A142" s="298"/>
      <c r="B142" s="301"/>
      <c r="C142" s="304"/>
      <c r="D142" s="224"/>
      <c r="E142" s="224"/>
      <c r="F142" s="224"/>
      <c r="G142" s="224"/>
      <c r="H142" s="224"/>
      <c r="I142" s="224"/>
      <c r="J142" s="223" t="e">
        <v>#N/A</v>
      </c>
      <c r="K142" s="295"/>
      <c r="L142" s="41"/>
      <c r="M142" s="298"/>
      <c r="N142" s="298"/>
      <c r="O142" s="41"/>
      <c r="P142" t="s">
        <v>6882</v>
      </c>
      <c r="Q142" t="e">
        <v>#N/A</v>
      </c>
      <c r="U142" t="e">
        <f t="shared" si="2"/>
        <v>#N/A</v>
      </c>
    </row>
    <row r="143" spans="1:24" ht="14.7" hidden="1" thickBot="1" x14ac:dyDescent="0.55000000000000004">
      <c r="A143" s="299"/>
      <c r="B143" s="302"/>
      <c r="C143" s="305"/>
      <c r="D143" s="225"/>
      <c r="E143" s="225"/>
      <c r="F143" s="225"/>
      <c r="G143" s="225"/>
      <c r="H143" s="225"/>
      <c r="I143" s="225"/>
      <c r="J143" s="223" t="e">
        <v>#N/A</v>
      </c>
      <c r="K143" s="296"/>
      <c r="L143" s="41"/>
      <c r="M143" s="299"/>
      <c r="N143" s="299"/>
      <c r="O143" s="41"/>
      <c r="P143" t="s">
        <v>6882</v>
      </c>
      <c r="Q143" t="e">
        <v>#N/A</v>
      </c>
      <c r="U143" t="e">
        <f t="shared" si="2"/>
        <v>#N/A</v>
      </c>
    </row>
    <row r="144" spans="1:24" ht="93.35" hidden="1" thickBot="1" x14ac:dyDescent="0.55000000000000004">
      <c r="A144" s="206"/>
      <c r="B144" s="205" t="s">
        <v>6914</v>
      </c>
      <c r="C144" s="39" t="s">
        <v>6798</v>
      </c>
      <c r="D144" s="226"/>
      <c r="E144" s="223" t="s">
        <v>6798</v>
      </c>
      <c r="F144" s="223" t="s">
        <v>6990</v>
      </c>
      <c r="G144" s="223" t="s">
        <v>6798</v>
      </c>
      <c r="H144" s="226"/>
      <c r="I144" s="223" t="s">
        <v>6798</v>
      </c>
      <c r="J144" s="293" t="e">
        <v>#N/A</v>
      </c>
      <c r="K144" s="39" t="s">
        <v>6913</v>
      </c>
      <c r="L144" s="42"/>
      <c r="M144" s="206" t="s">
        <v>6912</v>
      </c>
      <c r="N144" s="206" t="s">
        <v>6897</v>
      </c>
      <c r="O144" s="42"/>
      <c r="P144" t="s">
        <v>6882</v>
      </c>
      <c r="Q144" t="s">
        <v>7491</v>
      </c>
      <c r="R144" t="s">
        <v>76</v>
      </c>
      <c r="U144" t="e">
        <f t="shared" si="2"/>
        <v>#N/A</v>
      </c>
      <c r="V144" t="str">
        <f>Q144&amp;";"&amp;F144&amp;";;;;;;;;;;;;;x"</f>
        <v>west_african_pagan_reformed;Animism;;;;;;;;;;;;;x</v>
      </c>
      <c r="W144" t="str">
        <f>R144&amp;";"&amp;G144&amp;";;;;;;;;;;;;;x"</f>
        <v>pagan;Pagan;;;;;;;;;;;;;x</v>
      </c>
      <c r="X144" t="s">
        <v>117</v>
      </c>
    </row>
    <row r="145" spans="1:24" ht="14.45" customHeight="1" thickBot="1" x14ac:dyDescent="0.55000000000000004">
      <c r="A145" s="297"/>
      <c r="B145" s="300" t="s">
        <v>6911</v>
      </c>
      <c r="C145" s="303" t="s">
        <v>6798</v>
      </c>
      <c r="D145" s="223"/>
      <c r="E145" s="223" t="s">
        <v>6798</v>
      </c>
      <c r="F145" s="223" t="s">
        <v>7760</v>
      </c>
      <c r="G145" s="223" t="s">
        <v>6798</v>
      </c>
      <c r="H145" s="223"/>
      <c r="I145" s="223" t="s">
        <v>6798</v>
      </c>
      <c r="J145" s="223" t="s">
        <v>7186</v>
      </c>
      <c r="K145" s="294" t="s">
        <v>6797</v>
      </c>
      <c r="L145" s="217" t="s">
        <v>1157</v>
      </c>
      <c r="M145" s="297" t="s">
        <v>6910</v>
      </c>
      <c r="N145" s="297" t="s">
        <v>6909</v>
      </c>
      <c r="O145" s="294" t="s">
        <v>6903</v>
      </c>
      <c r="P145" t="s">
        <v>6882</v>
      </c>
      <c r="Q145" t="s">
        <v>75</v>
      </c>
      <c r="R145" t="s">
        <v>76</v>
      </c>
      <c r="T145" t="s">
        <v>117</v>
      </c>
      <c r="U145" t="str">
        <f t="shared" si="2"/>
        <v>aztec;250;250;150</v>
      </c>
      <c r="V145" t="str">
        <f>Q145&amp;";"&amp;F145&amp;";;;;;;;;;;;;;x"</f>
        <v>aztec;Scavenger's Cult;;;;;;;;;;;;;x</v>
      </c>
      <c r="W145" t="str">
        <f>R145&amp;";"&amp;G145&amp;";;;;;;;;;;;;;x"</f>
        <v>pagan;Pagan;;;;;;;;;;;;;x</v>
      </c>
      <c r="X145" t="s">
        <v>117</v>
      </c>
    </row>
    <row r="146" spans="1:24" ht="14.7" hidden="1" thickBot="1" x14ac:dyDescent="0.55000000000000004">
      <c r="A146" s="298"/>
      <c r="B146" s="301"/>
      <c r="C146" s="304"/>
      <c r="D146" s="224"/>
      <c r="E146" s="224"/>
      <c r="F146" s="224"/>
      <c r="G146" s="224"/>
      <c r="H146" s="224"/>
      <c r="I146" s="224"/>
      <c r="J146" s="223" t="e">
        <v>#N/A</v>
      </c>
      <c r="K146" s="295"/>
      <c r="L146" s="216" t="s">
        <v>589</v>
      </c>
      <c r="M146" s="298"/>
      <c r="N146" s="298"/>
      <c r="O146" s="295"/>
      <c r="P146" t="s">
        <v>6882</v>
      </c>
      <c r="Q146" t="e">
        <v>#N/A</v>
      </c>
      <c r="U146" t="e">
        <f t="shared" si="2"/>
        <v>#N/A</v>
      </c>
    </row>
    <row r="147" spans="1:24" ht="14.7" hidden="1" thickBot="1" x14ac:dyDescent="0.55000000000000004">
      <c r="A147" s="298"/>
      <c r="B147" s="301"/>
      <c r="C147" s="304"/>
      <c r="D147" s="224"/>
      <c r="E147" s="224"/>
      <c r="F147" s="224"/>
      <c r="G147" s="224"/>
      <c r="H147" s="224"/>
      <c r="I147" s="224"/>
      <c r="J147" s="223" t="e">
        <v>#N/A</v>
      </c>
      <c r="K147" s="295"/>
      <c r="L147" s="216" t="s">
        <v>771</v>
      </c>
      <c r="M147" s="298"/>
      <c r="N147" s="298"/>
      <c r="O147" s="295"/>
      <c r="P147" t="s">
        <v>6882</v>
      </c>
      <c r="Q147" t="e">
        <v>#N/A</v>
      </c>
      <c r="U147" t="e">
        <f t="shared" si="2"/>
        <v>#N/A</v>
      </c>
    </row>
    <row r="148" spans="1:24" ht="14.7" hidden="1" thickBot="1" x14ac:dyDescent="0.55000000000000004">
      <c r="A148" s="298"/>
      <c r="B148" s="301"/>
      <c r="C148" s="304"/>
      <c r="D148" s="224"/>
      <c r="E148" s="224"/>
      <c r="F148" s="224"/>
      <c r="G148" s="224"/>
      <c r="H148" s="224"/>
      <c r="I148" s="224"/>
      <c r="J148" s="223" t="e">
        <v>#N/A</v>
      </c>
      <c r="K148" s="295"/>
      <c r="L148" s="216" t="s">
        <v>6908</v>
      </c>
      <c r="M148" s="298"/>
      <c r="N148" s="298"/>
      <c r="O148" s="295"/>
      <c r="P148" t="s">
        <v>6882</v>
      </c>
      <c r="Q148" t="e">
        <v>#N/A</v>
      </c>
      <c r="U148" t="e">
        <f t="shared" si="2"/>
        <v>#N/A</v>
      </c>
    </row>
    <row r="149" spans="1:24" ht="14.7" hidden="1" thickBot="1" x14ac:dyDescent="0.55000000000000004">
      <c r="A149" s="298"/>
      <c r="B149" s="301"/>
      <c r="C149" s="304"/>
      <c r="D149" s="224"/>
      <c r="E149" s="224"/>
      <c r="F149" s="224"/>
      <c r="G149" s="224"/>
      <c r="H149" s="224"/>
      <c r="I149" s="224"/>
      <c r="J149" s="223" t="e">
        <v>#N/A</v>
      </c>
      <c r="K149" s="295"/>
      <c r="L149" s="216" t="s">
        <v>364</v>
      </c>
      <c r="M149" s="298"/>
      <c r="N149" s="298"/>
      <c r="O149" s="295"/>
      <c r="P149" t="s">
        <v>6882</v>
      </c>
      <c r="Q149" t="e">
        <v>#N/A</v>
      </c>
      <c r="U149" t="e">
        <f t="shared" si="2"/>
        <v>#N/A</v>
      </c>
    </row>
    <row r="150" spans="1:24" ht="14.7" hidden="1" thickBot="1" x14ac:dyDescent="0.55000000000000004">
      <c r="A150" s="298"/>
      <c r="B150" s="301"/>
      <c r="C150" s="304"/>
      <c r="D150" s="224"/>
      <c r="E150" s="224"/>
      <c r="F150" s="224"/>
      <c r="G150" s="224"/>
      <c r="H150" s="224"/>
      <c r="I150" s="224"/>
      <c r="J150" s="223" t="e">
        <v>#N/A</v>
      </c>
      <c r="K150" s="295"/>
      <c r="L150" s="41"/>
      <c r="M150" s="298"/>
      <c r="N150" s="298"/>
      <c r="O150" s="295"/>
      <c r="P150" t="s">
        <v>6882</v>
      </c>
      <c r="Q150" t="e">
        <v>#N/A</v>
      </c>
      <c r="U150" t="e">
        <f t="shared" si="2"/>
        <v>#N/A</v>
      </c>
    </row>
    <row r="151" spans="1:24" ht="14.7" hidden="1" thickBot="1" x14ac:dyDescent="0.55000000000000004">
      <c r="A151" s="298"/>
      <c r="B151" s="301"/>
      <c r="C151" s="304"/>
      <c r="D151" s="224"/>
      <c r="E151" s="224"/>
      <c r="F151" s="224"/>
      <c r="G151" s="224"/>
      <c r="H151" s="224"/>
      <c r="I151" s="224"/>
      <c r="J151" s="223" t="e">
        <v>#N/A</v>
      </c>
      <c r="K151" s="295"/>
      <c r="L151" s="41"/>
      <c r="M151" s="298"/>
      <c r="N151" s="298"/>
      <c r="O151" s="295"/>
      <c r="P151" t="s">
        <v>6882</v>
      </c>
      <c r="Q151" t="e">
        <v>#N/A</v>
      </c>
      <c r="U151" t="e">
        <f t="shared" si="2"/>
        <v>#N/A</v>
      </c>
    </row>
    <row r="152" spans="1:24" ht="14.7" hidden="1" thickBot="1" x14ac:dyDescent="0.55000000000000004">
      <c r="A152" s="299"/>
      <c r="B152" s="302"/>
      <c r="C152" s="305"/>
      <c r="D152" s="225"/>
      <c r="E152" s="225"/>
      <c r="F152" s="225"/>
      <c r="G152" s="225"/>
      <c r="H152" s="225"/>
      <c r="I152" s="225"/>
      <c r="J152" s="223" t="e">
        <v>#N/A</v>
      </c>
      <c r="K152" s="296"/>
      <c r="L152" s="41"/>
      <c r="M152" s="299"/>
      <c r="N152" s="299"/>
      <c r="O152" s="295"/>
      <c r="P152" t="s">
        <v>6882</v>
      </c>
      <c r="Q152" t="e">
        <v>#N/A</v>
      </c>
      <c r="U152" t="e">
        <f t="shared" si="2"/>
        <v>#N/A</v>
      </c>
    </row>
    <row r="153" spans="1:24" ht="114" hidden="1" thickBot="1" x14ac:dyDescent="0.55000000000000004">
      <c r="A153" s="206"/>
      <c r="B153" s="205" t="s">
        <v>6907</v>
      </c>
      <c r="C153" s="39" t="s">
        <v>6798</v>
      </c>
      <c r="D153" s="226"/>
      <c r="E153" s="223" t="s">
        <v>6798</v>
      </c>
      <c r="F153" s="223" t="s">
        <v>7032</v>
      </c>
      <c r="G153" s="223" t="s">
        <v>6798</v>
      </c>
      <c r="H153" s="226"/>
      <c r="I153" s="223" t="s">
        <v>6798</v>
      </c>
      <c r="J153" s="293" t="e">
        <v>#N/A</v>
      </c>
      <c r="K153" s="39" t="s">
        <v>6906</v>
      </c>
      <c r="L153" s="42"/>
      <c r="M153" s="39" t="s">
        <v>6898</v>
      </c>
      <c r="N153" s="206" t="s">
        <v>6905</v>
      </c>
      <c r="O153" s="296"/>
      <c r="P153" t="s">
        <v>6882</v>
      </c>
      <c r="Q153" t="s">
        <v>7492</v>
      </c>
      <c r="R153" t="s">
        <v>76</v>
      </c>
      <c r="U153" t="e">
        <f t="shared" si="2"/>
        <v>#N/A</v>
      </c>
      <c r="V153" t="str">
        <f>Q153&amp;";"&amp;F153&amp;";;;;;;;;;;;;;x"</f>
        <v>aztec_reformed;Cult of V8;;;;;;;;;;;;;x</v>
      </c>
      <c r="W153" t="str">
        <f>R153&amp;";"&amp;G153&amp;";;;;;;;;;;;;;x"</f>
        <v>pagan;Pagan;;;;;;;;;;;;;x</v>
      </c>
      <c r="X153" t="s">
        <v>117</v>
      </c>
    </row>
    <row r="154" spans="1:24" ht="20.45" customHeight="1" thickBot="1" x14ac:dyDescent="0.55000000000000004">
      <c r="A154" s="297"/>
      <c r="B154" s="300" t="s">
        <v>1066</v>
      </c>
      <c r="C154" s="303" t="s">
        <v>6798</v>
      </c>
      <c r="D154" s="223" t="s">
        <v>6993</v>
      </c>
      <c r="E154" s="223" t="s">
        <v>6798</v>
      </c>
      <c r="F154" s="223" t="s">
        <v>6993</v>
      </c>
      <c r="G154" s="223" t="s">
        <v>6798</v>
      </c>
      <c r="H154" s="223" t="s">
        <v>6993</v>
      </c>
      <c r="I154" s="223" t="s">
        <v>6798</v>
      </c>
      <c r="J154" s="223" t="s">
        <v>7187</v>
      </c>
      <c r="K154" s="294" t="s">
        <v>6797</v>
      </c>
      <c r="L154" s="217" t="s">
        <v>1993</v>
      </c>
      <c r="M154" s="297" t="s">
        <v>6904</v>
      </c>
      <c r="N154" s="297" t="s">
        <v>6883</v>
      </c>
      <c r="O154" s="209" t="s">
        <v>6903</v>
      </c>
      <c r="P154" t="s">
        <v>6882</v>
      </c>
      <c r="Q154" t="s">
        <v>70</v>
      </c>
      <c r="R154" t="s">
        <v>76</v>
      </c>
      <c r="T154" t="s">
        <v>117</v>
      </c>
      <c r="U154" t="str">
        <f t="shared" si="2"/>
        <v>zun_pagan;252;255;0</v>
      </c>
      <c r="V154" t="str">
        <f>Q154&amp;";"&amp;F154&amp;";;;;;;;;;;;;;x"</f>
        <v>zun_pagan;Solarian;;;;;;;;;;;;;x</v>
      </c>
      <c r="W154" t="str">
        <f>R154&amp;";"&amp;G154&amp;";;;;;;;;;;;;;x"</f>
        <v>pagan;Pagan;;;;;;;;;;;;;x</v>
      </c>
      <c r="X154" t="s">
        <v>117</v>
      </c>
    </row>
    <row r="155" spans="1:24" ht="41.7" hidden="1" thickBot="1" x14ac:dyDescent="0.55000000000000004">
      <c r="A155" s="298"/>
      <c r="B155" s="301"/>
      <c r="C155" s="304"/>
      <c r="D155" s="224"/>
      <c r="E155" s="224"/>
      <c r="F155" s="224"/>
      <c r="G155" s="224"/>
      <c r="H155" s="224"/>
      <c r="I155" s="224"/>
      <c r="J155" s="223" t="e">
        <v>#N/A</v>
      </c>
      <c r="K155" s="295"/>
      <c r="L155" s="216" t="s">
        <v>2943</v>
      </c>
      <c r="M155" s="298"/>
      <c r="N155" s="298"/>
      <c r="O155" s="218" t="s">
        <v>6902</v>
      </c>
      <c r="P155" t="s">
        <v>6882</v>
      </c>
      <c r="Q155" t="e">
        <v>#N/A</v>
      </c>
      <c r="U155" t="e">
        <f t="shared" si="2"/>
        <v>#N/A</v>
      </c>
    </row>
    <row r="156" spans="1:24" ht="41.7" hidden="1" thickBot="1" x14ac:dyDescent="0.55000000000000004">
      <c r="A156" s="298"/>
      <c r="B156" s="301"/>
      <c r="C156" s="304"/>
      <c r="D156" s="224"/>
      <c r="E156" s="224"/>
      <c r="F156" s="224"/>
      <c r="G156" s="224"/>
      <c r="H156" s="224"/>
      <c r="I156" s="224"/>
      <c r="J156" s="223" t="e">
        <v>#N/A</v>
      </c>
      <c r="K156" s="295"/>
      <c r="L156" s="216" t="s">
        <v>2396</v>
      </c>
      <c r="M156" s="298"/>
      <c r="N156" s="298"/>
      <c r="O156" s="218" t="s">
        <v>6901</v>
      </c>
      <c r="P156" t="s">
        <v>6882</v>
      </c>
      <c r="Q156" t="e">
        <v>#N/A</v>
      </c>
      <c r="U156" t="e">
        <f t="shared" si="2"/>
        <v>#N/A</v>
      </c>
    </row>
    <row r="157" spans="1:24" ht="14.7" hidden="1" thickBot="1" x14ac:dyDescent="0.55000000000000004">
      <c r="A157" s="298"/>
      <c r="B157" s="301"/>
      <c r="C157" s="304"/>
      <c r="D157" s="224"/>
      <c r="E157" s="224"/>
      <c r="F157" s="224"/>
      <c r="G157" s="224"/>
      <c r="H157" s="224"/>
      <c r="I157" s="224"/>
      <c r="J157" s="223" t="e">
        <v>#N/A</v>
      </c>
      <c r="K157" s="295"/>
      <c r="L157" s="216" t="s">
        <v>2543</v>
      </c>
      <c r="M157" s="298"/>
      <c r="N157" s="298"/>
      <c r="O157" s="41"/>
      <c r="P157" t="s">
        <v>6882</v>
      </c>
      <c r="Q157" t="e">
        <v>#N/A</v>
      </c>
      <c r="U157" t="e">
        <f t="shared" si="2"/>
        <v>#N/A</v>
      </c>
    </row>
    <row r="158" spans="1:24" ht="14.7" hidden="1" thickBot="1" x14ac:dyDescent="0.55000000000000004">
      <c r="A158" s="298"/>
      <c r="B158" s="301"/>
      <c r="C158" s="304"/>
      <c r="D158" s="224"/>
      <c r="E158" s="224"/>
      <c r="F158" s="224"/>
      <c r="G158" s="224"/>
      <c r="H158" s="224"/>
      <c r="I158" s="224"/>
      <c r="J158" s="223" t="e">
        <v>#N/A</v>
      </c>
      <c r="K158" s="295"/>
      <c r="L158" s="216" t="s">
        <v>2929</v>
      </c>
      <c r="M158" s="298"/>
      <c r="N158" s="298"/>
      <c r="O158" s="41"/>
      <c r="P158" t="s">
        <v>6882</v>
      </c>
      <c r="Q158" t="e">
        <v>#N/A</v>
      </c>
      <c r="U158" t="e">
        <f t="shared" si="2"/>
        <v>#N/A</v>
      </c>
    </row>
    <row r="159" spans="1:24" ht="14.7" hidden="1" thickBot="1" x14ac:dyDescent="0.55000000000000004">
      <c r="A159" s="298"/>
      <c r="B159" s="301"/>
      <c r="C159" s="304"/>
      <c r="D159" s="224"/>
      <c r="E159" s="224"/>
      <c r="F159" s="224"/>
      <c r="G159" s="224"/>
      <c r="H159" s="224"/>
      <c r="I159" s="224"/>
      <c r="J159" s="223" t="e">
        <v>#N/A</v>
      </c>
      <c r="K159" s="295"/>
      <c r="L159" s="218"/>
      <c r="M159" s="298"/>
      <c r="N159" s="298"/>
      <c r="O159" s="41"/>
      <c r="P159" t="s">
        <v>6882</v>
      </c>
      <c r="Q159" t="e">
        <v>#N/A</v>
      </c>
      <c r="U159" t="e">
        <f t="shared" si="2"/>
        <v>#N/A</v>
      </c>
    </row>
    <row r="160" spans="1:24" ht="14.7" hidden="1" thickBot="1" x14ac:dyDescent="0.55000000000000004">
      <c r="A160" s="298"/>
      <c r="B160" s="301"/>
      <c r="C160" s="304"/>
      <c r="D160" s="224"/>
      <c r="E160" s="224"/>
      <c r="F160" s="224"/>
      <c r="G160" s="224"/>
      <c r="H160" s="224"/>
      <c r="I160" s="224"/>
      <c r="J160" s="223" t="e">
        <v>#N/A</v>
      </c>
      <c r="K160" s="295"/>
      <c r="L160" s="218"/>
      <c r="M160" s="298"/>
      <c r="N160" s="298"/>
      <c r="O160" s="41"/>
      <c r="P160" t="s">
        <v>6882</v>
      </c>
      <c r="Q160" t="e">
        <v>#N/A</v>
      </c>
      <c r="U160" t="e">
        <f t="shared" si="2"/>
        <v>#N/A</v>
      </c>
    </row>
    <row r="161" spans="1:24" ht="14.7" hidden="1" thickBot="1" x14ac:dyDescent="0.55000000000000004">
      <c r="A161" s="299"/>
      <c r="B161" s="302"/>
      <c r="C161" s="305"/>
      <c r="D161" s="225"/>
      <c r="E161" s="225"/>
      <c r="F161" s="225"/>
      <c r="G161" s="225"/>
      <c r="H161" s="225"/>
      <c r="I161" s="225"/>
      <c r="J161" s="223" t="e">
        <v>#N/A</v>
      </c>
      <c r="K161" s="296"/>
      <c r="L161" s="218"/>
      <c r="M161" s="299"/>
      <c r="N161" s="299"/>
      <c r="O161" s="41"/>
      <c r="P161" t="s">
        <v>6882</v>
      </c>
      <c r="Q161" t="e">
        <v>#N/A</v>
      </c>
      <c r="U161" t="e">
        <f t="shared" si="2"/>
        <v>#N/A</v>
      </c>
    </row>
    <row r="162" spans="1:24" ht="93.35" hidden="1" thickBot="1" x14ac:dyDescent="0.55000000000000004">
      <c r="A162" s="206"/>
      <c r="B162" s="205" t="s">
        <v>6900</v>
      </c>
      <c r="C162" s="39" t="s">
        <v>6798</v>
      </c>
      <c r="D162" s="226"/>
      <c r="E162" s="223" t="s">
        <v>6798</v>
      </c>
      <c r="F162" s="223" t="s">
        <v>6993</v>
      </c>
      <c r="G162" s="223" t="s">
        <v>6798</v>
      </c>
      <c r="H162" s="226"/>
      <c r="I162" s="223" t="s">
        <v>6798</v>
      </c>
      <c r="J162" s="293" t="e">
        <v>#N/A</v>
      </c>
      <c r="K162" s="39" t="s">
        <v>6899</v>
      </c>
      <c r="L162" s="208"/>
      <c r="M162" s="39" t="s">
        <v>6898</v>
      </c>
      <c r="N162" s="206" t="s">
        <v>6897</v>
      </c>
      <c r="O162" s="42"/>
      <c r="P162" t="s">
        <v>6882</v>
      </c>
      <c r="Q162" t="s">
        <v>7493</v>
      </c>
      <c r="R162" t="s">
        <v>76</v>
      </c>
      <c r="U162" t="e">
        <f t="shared" si="2"/>
        <v>#N/A</v>
      </c>
      <c r="V162" t="str">
        <f>Q162&amp;";"&amp;F162&amp;";;;;;;;;;;;;;x"</f>
        <v>zun_pagan_reformed;Solarian;;;;;;;;;;;;;x</v>
      </c>
      <c r="W162" t="str">
        <f>R162&amp;";"&amp;G162&amp;";;;;;;;;;;;;;x"</f>
        <v>pagan;Pagan;;;;;;;;;;;;;x</v>
      </c>
      <c r="X162" t="s">
        <v>117</v>
      </c>
    </row>
    <row r="163" spans="1:24" ht="20.45" customHeight="1" thickBot="1" x14ac:dyDescent="0.55000000000000004">
      <c r="A163" s="297"/>
      <c r="B163" s="300" t="s">
        <v>3259</v>
      </c>
      <c r="C163" s="303" t="s">
        <v>6798</v>
      </c>
      <c r="D163" s="223"/>
      <c r="E163" s="223" t="s">
        <v>6798</v>
      </c>
      <c r="F163" s="223" t="s">
        <v>7033</v>
      </c>
      <c r="G163" s="223" t="s">
        <v>6798</v>
      </c>
      <c r="H163" s="223"/>
      <c r="I163" s="223" t="s">
        <v>6798</v>
      </c>
      <c r="J163" s="223" t="s">
        <v>7188</v>
      </c>
      <c r="K163" s="294" t="s">
        <v>6797</v>
      </c>
      <c r="L163" s="217" t="s">
        <v>2662</v>
      </c>
      <c r="M163" s="297" t="s">
        <v>6896</v>
      </c>
      <c r="N163" s="297" t="s">
        <v>6883</v>
      </c>
      <c r="O163" s="209" t="s">
        <v>6893</v>
      </c>
      <c r="P163" t="s">
        <v>6882</v>
      </c>
      <c r="Q163" t="s">
        <v>65</v>
      </c>
      <c r="R163" t="s">
        <v>76</v>
      </c>
      <c r="T163" t="s">
        <v>117</v>
      </c>
      <c r="U163" t="str">
        <f t="shared" si="2"/>
        <v>bon;250;250;250</v>
      </c>
      <c r="V163" t="str">
        <f>Q163&amp;";"&amp;F163&amp;";;;;;;;;;;;;;x"</f>
        <v>bon;Ancestor Worship;;;;;;;;;;;;;x</v>
      </c>
      <c r="W163" t="str">
        <f>R163&amp;";"&amp;G163&amp;";;;;;;;;;;;;;x"</f>
        <v>pagan;Pagan;;;;;;;;;;;;;x</v>
      </c>
      <c r="X163" t="s">
        <v>117</v>
      </c>
    </row>
    <row r="164" spans="1:24" ht="14.7" hidden="1" thickBot="1" x14ac:dyDescent="0.55000000000000004">
      <c r="A164" s="298"/>
      <c r="B164" s="301"/>
      <c r="C164" s="304"/>
      <c r="D164" s="224"/>
      <c r="E164" s="224"/>
      <c r="F164" s="224"/>
      <c r="G164" s="224"/>
      <c r="H164" s="224"/>
      <c r="I164" s="224"/>
      <c r="J164" s="223" t="e">
        <v>#N/A</v>
      </c>
      <c r="K164" s="295"/>
      <c r="L164" s="216" t="s">
        <v>3455</v>
      </c>
      <c r="M164" s="298"/>
      <c r="N164" s="298"/>
      <c r="O164" s="41"/>
      <c r="P164" t="s">
        <v>6882</v>
      </c>
      <c r="Q164" t="e">
        <v>#N/A</v>
      </c>
      <c r="U164" t="e">
        <f t="shared" si="2"/>
        <v>#N/A</v>
      </c>
    </row>
    <row r="165" spans="1:24" ht="21" hidden="1" thickBot="1" x14ac:dyDescent="0.55000000000000004">
      <c r="A165" s="298"/>
      <c r="B165" s="301"/>
      <c r="C165" s="304"/>
      <c r="D165" s="224"/>
      <c r="E165" s="224"/>
      <c r="F165" s="224"/>
      <c r="G165" s="224"/>
      <c r="H165" s="224"/>
      <c r="I165" s="224"/>
      <c r="J165" s="223" t="e">
        <v>#N/A</v>
      </c>
      <c r="K165" s="295"/>
      <c r="L165" s="216" t="s">
        <v>3558</v>
      </c>
      <c r="M165" s="298"/>
      <c r="N165" s="298"/>
      <c r="O165" s="218" t="s">
        <v>6895</v>
      </c>
      <c r="P165" t="s">
        <v>6882</v>
      </c>
      <c r="Q165" t="e">
        <v>#N/A</v>
      </c>
      <c r="U165" t="e">
        <f t="shared" si="2"/>
        <v>#N/A</v>
      </c>
    </row>
    <row r="166" spans="1:24" ht="31.35" hidden="1" thickBot="1" x14ac:dyDescent="0.55000000000000004">
      <c r="A166" s="298"/>
      <c r="B166" s="301"/>
      <c r="C166" s="304"/>
      <c r="D166" s="224"/>
      <c r="E166" s="224"/>
      <c r="F166" s="224"/>
      <c r="G166" s="224"/>
      <c r="H166" s="224"/>
      <c r="I166" s="224"/>
      <c r="J166" s="223" t="e">
        <v>#N/A</v>
      </c>
      <c r="K166" s="295"/>
      <c r="L166" s="216" t="s">
        <v>3522</v>
      </c>
      <c r="M166" s="298"/>
      <c r="N166" s="298"/>
      <c r="O166" s="218" t="s">
        <v>6894</v>
      </c>
      <c r="P166" t="s">
        <v>6882</v>
      </c>
      <c r="Q166" t="e">
        <v>#N/A</v>
      </c>
      <c r="U166" t="e">
        <f t="shared" si="2"/>
        <v>#N/A</v>
      </c>
    </row>
    <row r="167" spans="1:24" ht="21" hidden="1" thickBot="1" x14ac:dyDescent="0.55000000000000004">
      <c r="A167" s="298"/>
      <c r="B167" s="301"/>
      <c r="C167" s="304"/>
      <c r="D167" s="224"/>
      <c r="E167" s="224"/>
      <c r="F167" s="224"/>
      <c r="G167" s="224"/>
      <c r="H167" s="224"/>
      <c r="I167" s="224"/>
      <c r="J167" s="223" t="e">
        <v>#N/A</v>
      </c>
      <c r="K167" s="295"/>
      <c r="L167" s="216" t="s">
        <v>3378</v>
      </c>
      <c r="M167" s="298"/>
      <c r="N167" s="298"/>
      <c r="O167" s="218" t="s">
        <v>6893</v>
      </c>
      <c r="P167" t="s">
        <v>6882</v>
      </c>
      <c r="Q167" t="e">
        <v>#N/A</v>
      </c>
      <c r="U167" t="e">
        <f t="shared" si="2"/>
        <v>#N/A</v>
      </c>
    </row>
    <row r="168" spans="1:24" ht="14.7" hidden="1" thickBot="1" x14ac:dyDescent="0.55000000000000004">
      <c r="A168" s="298"/>
      <c r="B168" s="301"/>
      <c r="C168" s="304"/>
      <c r="D168" s="224"/>
      <c r="E168" s="224"/>
      <c r="F168" s="224"/>
      <c r="G168" s="224"/>
      <c r="H168" s="224"/>
      <c r="I168" s="224"/>
      <c r="J168" s="223" t="e">
        <v>#N/A</v>
      </c>
      <c r="K168" s="295"/>
      <c r="L168" s="41"/>
      <c r="M168" s="298"/>
      <c r="N168" s="298"/>
      <c r="O168" s="41"/>
      <c r="P168" t="s">
        <v>6882</v>
      </c>
      <c r="Q168" t="e">
        <v>#N/A</v>
      </c>
      <c r="U168" t="e">
        <f t="shared" si="2"/>
        <v>#N/A</v>
      </c>
    </row>
    <row r="169" spans="1:24" ht="14.7" hidden="1" thickBot="1" x14ac:dyDescent="0.55000000000000004">
      <c r="A169" s="298"/>
      <c r="B169" s="301"/>
      <c r="C169" s="304"/>
      <c r="D169" s="224"/>
      <c r="E169" s="224"/>
      <c r="F169" s="224"/>
      <c r="G169" s="224"/>
      <c r="H169" s="224"/>
      <c r="I169" s="224"/>
      <c r="J169" s="223" t="e">
        <v>#N/A</v>
      </c>
      <c r="K169" s="295"/>
      <c r="L169" s="41"/>
      <c r="M169" s="298"/>
      <c r="N169" s="298"/>
      <c r="O169" s="41"/>
      <c r="P169" t="s">
        <v>6882</v>
      </c>
      <c r="Q169" t="e">
        <v>#N/A</v>
      </c>
      <c r="U169" t="e">
        <f t="shared" si="2"/>
        <v>#N/A</v>
      </c>
    </row>
    <row r="170" spans="1:24" ht="14.7" hidden="1" thickBot="1" x14ac:dyDescent="0.55000000000000004">
      <c r="A170" s="299"/>
      <c r="B170" s="302"/>
      <c r="C170" s="305"/>
      <c r="D170" s="225"/>
      <c r="E170" s="225"/>
      <c r="F170" s="225"/>
      <c r="G170" s="225"/>
      <c r="H170" s="225"/>
      <c r="I170" s="225"/>
      <c r="J170" s="223" t="e">
        <v>#N/A</v>
      </c>
      <c r="K170" s="296"/>
      <c r="L170" s="41"/>
      <c r="M170" s="299"/>
      <c r="N170" s="299"/>
      <c r="O170" s="41"/>
      <c r="P170" t="s">
        <v>6882</v>
      </c>
      <c r="Q170" t="e">
        <v>#N/A</v>
      </c>
      <c r="U170" t="e">
        <f t="shared" si="2"/>
        <v>#N/A</v>
      </c>
    </row>
    <row r="171" spans="1:24" ht="57.7" hidden="1" thickBot="1" x14ac:dyDescent="0.55000000000000004">
      <c r="A171" s="206"/>
      <c r="B171" s="205" t="s">
        <v>6892</v>
      </c>
      <c r="C171" s="39" t="s">
        <v>6798</v>
      </c>
      <c r="D171" s="226"/>
      <c r="E171" s="223" t="s">
        <v>6798</v>
      </c>
      <c r="F171" s="223" t="s">
        <v>7033</v>
      </c>
      <c r="G171" s="223" t="s">
        <v>6798</v>
      </c>
      <c r="H171" s="226"/>
      <c r="I171" s="223" t="s">
        <v>6798</v>
      </c>
      <c r="J171" s="293" t="e">
        <v>#N/A</v>
      </c>
      <c r="K171" s="39" t="s">
        <v>6891</v>
      </c>
      <c r="L171" s="42"/>
      <c r="M171" s="204"/>
      <c r="N171" s="204"/>
      <c r="O171" s="42"/>
      <c r="P171" t="s">
        <v>6882</v>
      </c>
      <c r="Q171" t="s">
        <v>7494</v>
      </c>
      <c r="R171" t="s">
        <v>76</v>
      </c>
      <c r="U171" t="e">
        <f t="shared" si="2"/>
        <v>#N/A</v>
      </c>
      <c r="V171" t="str">
        <f>Q171&amp;";"&amp;F171&amp;";;;;;;;;;;;;;x"</f>
        <v>bon_reformed;Ancestor Worship;;;;;;;;;;;;;x</v>
      </c>
      <c r="W171" t="str">
        <f>R171&amp;";"&amp;G171&amp;";;;;;;;;;;;;;x"</f>
        <v>pagan;Pagan;;;;;;;;;;;;;x</v>
      </c>
      <c r="X171" t="s">
        <v>117</v>
      </c>
    </row>
    <row r="172" spans="1:24" ht="14.45" customHeight="1" thickBot="1" x14ac:dyDescent="0.55000000000000004">
      <c r="A172" s="297"/>
      <c r="B172" s="300" t="s">
        <v>1593</v>
      </c>
      <c r="C172" s="303" t="s">
        <v>6798</v>
      </c>
      <c r="D172" s="223"/>
      <c r="E172" s="223" t="s">
        <v>6798</v>
      </c>
      <c r="F172" s="223"/>
      <c r="G172" s="223" t="s">
        <v>6798</v>
      </c>
      <c r="H172" s="223"/>
      <c r="I172" s="223" t="s">
        <v>6798</v>
      </c>
      <c r="J172" s="223" t="s">
        <v>7189</v>
      </c>
      <c r="K172" s="294" t="s">
        <v>6797</v>
      </c>
      <c r="L172" s="217" t="s">
        <v>6890</v>
      </c>
      <c r="M172" s="294" t="s">
        <v>6889</v>
      </c>
      <c r="N172" s="297" t="s">
        <v>6883</v>
      </c>
      <c r="O172" s="294"/>
      <c r="P172" t="s">
        <v>6882</v>
      </c>
      <c r="Q172" t="s">
        <v>69</v>
      </c>
      <c r="R172" t="s">
        <v>76</v>
      </c>
      <c r="T172" t="s">
        <v>117</v>
      </c>
      <c r="U172" t="str">
        <f t="shared" si="2"/>
        <v>hellenic_pagan;43;0;0</v>
      </c>
      <c r="X172" t="s">
        <v>117</v>
      </c>
    </row>
    <row r="173" spans="1:24" ht="21" hidden="1" thickBot="1" x14ac:dyDescent="0.55000000000000004">
      <c r="A173" s="298"/>
      <c r="B173" s="301"/>
      <c r="C173" s="304"/>
      <c r="D173" s="224"/>
      <c r="E173" s="224"/>
      <c r="F173" s="224"/>
      <c r="G173" s="224"/>
      <c r="H173" s="224"/>
      <c r="I173" s="224"/>
      <c r="J173" s="223" t="e">
        <v>#N/A</v>
      </c>
      <c r="K173" s="295"/>
      <c r="L173" s="216" t="s">
        <v>6888</v>
      </c>
      <c r="M173" s="295"/>
      <c r="N173" s="298"/>
      <c r="O173" s="295"/>
      <c r="P173" t="s">
        <v>6882</v>
      </c>
      <c r="Q173" t="e">
        <v>#N/A</v>
      </c>
      <c r="U173" t="e">
        <f t="shared" si="2"/>
        <v>#N/A</v>
      </c>
    </row>
    <row r="174" spans="1:24" ht="14.7" hidden="1" thickBot="1" x14ac:dyDescent="0.55000000000000004">
      <c r="A174" s="298"/>
      <c r="B174" s="301"/>
      <c r="C174" s="304"/>
      <c r="D174" s="224"/>
      <c r="E174" s="224"/>
      <c r="F174" s="224"/>
      <c r="G174" s="224"/>
      <c r="H174" s="224"/>
      <c r="I174" s="224"/>
      <c r="J174" s="223" t="e">
        <v>#N/A</v>
      </c>
      <c r="K174" s="295"/>
      <c r="L174" s="216" t="s">
        <v>6887</v>
      </c>
      <c r="M174" s="295"/>
      <c r="N174" s="298"/>
      <c r="O174" s="295"/>
      <c r="P174" t="s">
        <v>6882</v>
      </c>
      <c r="Q174" t="e">
        <v>#N/A</v>
      </c>
      <c r="U174" t="e">
        <f t="shared" si="2"/>
        <v>#N/A</v>
      </c>
    </row>
    <row r="175" spans="1:24" ht="14.7" hidden="1" thickBot="1" x14ac:dyDescent="0.55000000000000004">
      <c r="A175" s="298"/>
      <c r="B175" s="301"/>
      <c r="C175" s="304"/>
      <c r="D175" s="224"/>
      <c r="E175" s="224"/>
      <c r="F175" s="224"/>
      <c r="G175" s="224"/>
      <c r="H175" s="224"/>
      <c r="I175" s="224"/>
      <c r="J175" s="223" t="e">
        <v>#N/A</v>
      </c>
      <c r="K175" s="295"/>
      <c r="L175" s="216" t="s">
        <v>1157</v>
      </c>
      <c r="M175" s="295"/>
      <c r="N175" s="298"/>
      <c r="O175" s="295"/>
      <c r="P175" t="s">
        <v>6882</v>
      </c>
      <c r="Q175" t="e">
        <v>#N/A</v>
      </c>
      <c r="U175" t="e">
        <f t="shared" si="2"/>
        <v>#N/A</v>
      </c>
    </row>
    <row r="176" spans="1:24" ht="14.7" hidden="1" thickBot="1" x14ac:dyDescent="0.55000000000000004">
      <c r="A176" s="298"/>
      <c r="B176" s="301"/>
      <c r="C176" s="304"/>
      <c r="D176" s="224"/>
      <c r="E176" s="224"/>
      <c r="F176" s="224"/>
      <c r="G176" s="224"/>
      <c r="H176" s="224"/>
      <c r="I176" s="224"/>
      <c r="J176" s="223" t="e">
        <v>#N/A</v>
      </c>
      <c r="K176" s="295"/>
      <c r="L176" s="216" t="s">
        <v>2418</v>
      </c>
      <c r="M176" s="295"/>
      <c r="N176" s="298"/>
      <c r="O176" s="295"/>
      <c r="P176" t="s">
        <v>6882</v>
      </c>
      <c r="Q176" t="e">
        <v>#N/A</v>
      </c>
      <c r="U176" t="e">
        <f t="shared" si="2"/>
        <v>#N/A</v>
      </c>
    </row>
    <row r="177" spans="1:24" ht="14.7" hidden="1" thickBot="1" x14ac:dyDescent="0.55000000000000004">
      <c r="A177" s="298"/>
      <c r="B177" s="301"/>
      <c r="C177" s="304"/>
      <c r="D177" s="224"/>
      <c r="E177" s="224"/>
      <c r="F177" s="224"/>
      <c r="G177" s="224"/>
      <c r="H177" s="224"/>
      <c r="I177" s="224"/>
      <c r="J177" s="223" t="e">
        <v>#N/A</v>
      </c>
      <c r="K177" s="295"/>
      <c r="L177" s="41"/>
      <c r="M177" s="295"/>
      <c r="N177" s="298"/>
      <c r="O177" s="295"/>
      <c r="P177" t="s">
        <v>6882</v>
      </c>
      <c r="Q177" t="e">
        <v>#N/A</v>
      </c>
      <c r="U177" t="e">
        <f t="shared" si="2"/>
        <v>#N/A</v>
      </c>
    </row>
    <row r="178" spans="1:24" ht="14.7" hidden="1" thickBot="1" x14ac:dyDescent="0.55000000000000004">
      <c r="A178" s="298"/>
      <c r="B178" s="301"/>
      <c r="C178" s="304"/>
      <c r="D178" s="224"/>
      <c r="E178" s="224"/>
      <c r="F178" s="224"/>
      <c r="G178" s="224"/>
      <c r="H178" s="224"/>
      <c r="I178" s="224"/>
      <c r="J178" s="223" t="e">
        <v>#N/A</v>
      </c>
      <c r="K178" s="295"/>
      <c r="L178" s="41"/>
      <c r="M178" s="295"/>
      <c r="N178" s="298"/>
      <c r="O178" s="295"/>
      <c r="P178" t="s">
        <v>6882</v>
      </c>
      <c r="Q178" t="e">
        <v>#N/A</v>
      </c>
      <c r="U178" t="e">
        <f t="shared" si="2"/>
        <v>#N/A</v>
      </c>
    </row>
    <row r="179" spans="1:24" ht="14.7" hidden="1" thickBot="1" x14ac:dyDescent="0.55000000000000004">
      <c r="A179" s="299"/>
      <c r="B179" s="302"/>
      <c r="C179" s="305"/>
      <c r="D179" s="225"/>
      <c r="E179" s="225"/>
      <c r="F179" s="225"/>
      <c r="G179" s="225"/>
      <c r="H179" s="225"/>
      <c r="I179" s="225"/>
      <c r="J179" s="223" t="e">
        <v>#N/A</v>
      </c>
      <c r="K179" s="296"/>
      <c r="L179" s="41"/>
      <c r="M179" s="296"/>
      <c r="N179" s="299"/>
      <c r="O179" s="295"/>
      <c r="P179" t="s">
        <v>6882</v>
      </c>
      <c r="Q179" t="e">
        <v>#N/A</v>
      </c>
      <c r="U179" t="e">
        <f t="shared" si="2"/>
        <v>#N/A</v>
      </c>
    </row>
    <row r="180" spans="1:24" ht="57.7" hidden="1" thickBot="1" x14ac:dyDescent="0.55000000000000004">
      <c r="A180" s="206"/>
      <c r="B180" s="205" t="s">
        <v>6886</v>
      </c>
      <c r="C180" s="39" t="s">
        <v>6798</v>
      </c>
      <c r="D180" s="226"/>
      <c r="E180" s="223" t="s">
        <v>6798</v>
      </c>
      <c r="F180" s="226"/>
      <c r="G180" s="223" t="s">
        <v>6798</v>
      </c>
      <c r="H180" s="226"/>
      <c r="I180" s="223" t="s">
        <v>6798</v>
      </c>
      <c r="J180" s="293" t="e">
        <v>#N/A</v>
      </c>
      <c r="K180" s="39" t="s">
        <v>6885</v>
      </c>
      <c r="L180" s="42"/>
      <c r="M180" s="204"/>
      <c r="N180" s="204"/>
      <c r="O180" s="296"/>
      <c r="P180" t="s">
        <v>6882</v>
      </c>
      <c r="Q180" t="s">
        <v>7504</v>
      </c>
      <c r="R180" t="s">
        <v>76</v>
      </c>
      <c r="U180" t="e">
        <f t="shared" si="2"/>
        <v>#N/A</v>
      </c>
      <c r="X180" t="s">
        <v>117</v>
      </c>
    </row>
    <row r="181" spans="1:24" ht="14.45" hidden="1" customHeight="1" thickBot="1" x14ac:dyDescent="0.55000000000000004">
      <c r="A181" s="297"/>
      <c r="B181" s="300" t="s">
        <v>6798</v>
      </c>
      <c r="C181" s="303" t="s">
        <v>6798</v>
      </c>
      <c r="D181" s="223"/>
      <c r="E181" s="223" t="s">
        <v>6798</v>
      </c>
      <c r="F181" s="223"/>
      <c r="G181" s="223" t="s">
        <v>6798</v>
      </c>
      <c r="H181" s="223"/>
      <c r="I181" s="223" t="s">
        <v>6798</v>
      </c>
      <c r="J181" s="293" t="e">
        <v>#N/A</v>
      </c>
      <c r="K181" s="294" t="s">
        <v>6797</v>
      </c>
      <c r="L181" s="217" t="s">
        <v>1157</v>
      </c>
      <c r="M181" s="297" t="s">
        <v>6884</v>
      </c>
      <c r="N181" s="297" t="s">
        <v>6883</v>
      </c>
      <c r="O181" s="215"/>
      <c r="P181" t="s">
        <v>6882</v>
      </c>
      <c r="Q181" t="e">
        <v>#N/A</v>
      </c>
      <c r="U181" t="e">
        <f t="shared" si="2"/>
        <v>#N/A</v>
      </c>
      <c r="X181" t="s">
        <v>117</v>
      </c>
    </row>
    <row r="182" spans="1:24" ht="21" hidden="1" thickBot="1" x14ac:dyDescent="0.55000000000000004">
      <c r="A182" s="298"/>
      <c r="B182" s="301"/>
      <c r="C182" s="304"/>
      <c r="D182" s="224"/>
      <c r="E182" s="224"/>
      <c r="F182" s="224"/>
      <c r="G182" s="224"/>
      <c r="H182" s="224"/>
      <c r="I182" s="224"/>
      <c r="J182" s="223" t="e">
        <v>#N/A</v>
      </c>
      <c r="K182" s="295"/>
      <c r="L182" s="216" t="s">
        <v>3991</v>
      </c>
      <c r="M182" s="298"/>
      <c r="N182" s="298"/>
      <c r="O182" s="215"/>
      <c r="P182" t="s">
        <v>6882</v>
      </c>
      <c r="Q182" t="e">
        <v>#N/A</v>
      </c>
      <c r="U182" t="e">
        <f t="shared" si="2"/>
        <v>#N/A</v>
      </c>
    </row>
    <row r="183" spans="1:24" ht="14.7" hidden="1" thickBot="1" x14ac:dyDescent="0.55000000000000004">
      <c r="A183" s="298"/>
      <c r="B183" s="301"/>
      <c r="C183" s="304"/>
      <c r="D183" s="224"/>
      <c r="E183" s="224"/>
      <c r="F183" s="224"/>
      <c r="G183" s="224"/>
      <c r="H183" s="224"/>
      <c r="I183" s="224"/>
      <c r="J183" s="223" t="e">
        <v>#N/A</v>
      </c>
      <c r="K183" s="295"/>
      <c r="L183" s="216" t="s">
        <v>2202</v>
      </c>
      <c r="M183" s="298"/>
      <c r="N183" s="298"/>
      <c r="O183" s="215"/>
      <c r="P183" t="s">
        <v>6882</v>
      </c>
      <c r="Q183" t="e">
        <v>#N/A</v>
      </c>
      <c r="U183" t="e">
        <f t="shared" si="2"/>
        <v>#N/A</v>
      </c>
    </row>
    <row r="184" spans="1:24" ht="14.7" hidden="1" thickBot="1" x14ac:dyDescent="0.55000000000000004">
      <c r="A184" s="298"/>
      <c r="B184" s="301"/>
      <c r="C184" s="304"/>
      <c r="D184" s="224"/>
      <c r="E184" s="224"/>
      <c r="F184" s="224"/>
      <c r="G184" s="224"/>
      <c r="H184" s="224"/>
      <c r="I184" s="224"/>
      <c r="J184" s="223" t="e">
        <v>#N/A</v>
      </c>
      <c r="K184" s="295"/>
      <c r="L184" s="216" t="s">
        <v>2212</v>
      </c>
      <c r="M184" s="298"/>
      <c r="N184" s="298"/>
      <c r="O184" s="215"/>
      <c r="P184" t="s">
        <v>6882</v>
      </c>
      <c r="Q184" t="e">
        <v>#N/A</v>
      </c>
      <c r="U184" t="e">
        <f t="shared" si="2"/>
        <v>#N/A</v>
      </c>
    </row>
    <row r="185" spans="1:24" ht="14.7" hidden="1" thickBot="1" x14ac:dyDescent="0.55000000000000004">
      <c r="A185" s="299"/>
      <c r="B185" s="302"/>
      <c r="C185" s="305"/>
      <c r="D185" s="225"/>
      <c r="E185" s="225"/>
      <c r="F185" s="225"/>
      <c r="G185" s="225"/>
      <c r="H185" s="225"/>
      <c r="I185" s="225"/>
      <c r="J185" s="223" t="e">
        <v>#N/A</v>
      </c>
      <c r="K185" s="296"/>
      <c r="L185" s="214" t="s">
        <v>2671</v>
      </c>
      <c r="M185" s="299"/>
      <c r="N185" s="299"/>
      <c r="O185" s="213"/>
      <c r="P185" t="s">
        <v>6882</v>
      </c>
      <c r="Q185" t="e">
        <v>#N/A</v>
      </c>
      <c r="U185" t="e">
        <f t="shared" si="2"/>
        <v>#N/A</v>
      </c>
    </row>
    <row r="186" spans="1:24" ht="114" hidden="1" thickBot="1" x14ac:dyDescent="0.55000000000000004">
      <c r="A186" s="206"/>
      <c r="B186" s="205" t="s">
        <v>6881</v>
      </c>
      <c r="C186" s="204" t="s">
        <v>6864</v>
      </c>
      <c r="D186" s="227"/>
      <c r="E186" s="227"/>
      <c r="F186" s="227" t="s">
        <v>7509</v>
      </c>
      <c r="G186" s="227" t="s">
        <v>89</v>
      </c>
      <c r="H186" s="227" t="s">
        <v>6994</v>
      </c>
      <c r="I186" s="227" t="s">
        <v>6996</v>
      </c>
      <c r="J186" s="293" t="e">
        <v>#N/A</v>
      </c>
      <c r="K186" s="204" t="s">
        <v>6797</v>
      </c>
      <c r="L186" s="204" t="s">
        <v>6873</v>
      </c>
      <c r="M186" s="206" t="s">
        <v>6880</v>
      </c>
      <c r="N186" s="39" t="s">
        <v>6828</v>
      </c>
      <c r="O186" s="294"/>
      <c r="P186" s="204" t="s">
        <v>6873</v>
      </c>
      <c r="Q186" t="e">
        <v>#N/A</v>
      </c>
      <c r="U186" t="e">
        <f t="shared" si="2"/>
        <v>#N/A</v>
      </c>
      <c r="X186" t="s">
        <v>117</v>
      </c>
    </row>
    <row r="187" spans="1:24" ht="86.35" thickBot="1" x14ac:dyDescent="0.55000000000000004">
      <c r="A187" s="206"/>
      <c r="B187" s="205" t="s">
        <v>6879</v>
      </c>
      <c r="C187" s="204" t="s">
        <v>6864</v>
      </c>
      <c r="D187" s="227"/>
      <c r="E187" s="227"/>
      <c r="F187" s="227" t="s">
        <v>7507</v>
      </c>
      <c r="G187" s="227" t="s">
        <v>89</v>
      </c>
      <c r="H187" s="227" t="s">
        <v>7002</v>
      </c>
      <c r="I187" s="227" t="s">
        <v>6996</v>
      </c>
      <c r="J187" s="223" t="s">
        <v>7508</v>
      </c>
      <c r="K187" s="39" t="s">
        <v>6878</v>
      </c>
      <c r="L187" s="204" t="s">
        <v>6873</v>
      </c>
      <c r="M187" s="206" t="s">
        <v>6877</v>
      </c>
      <c r="N187" s="204" t="s">
        <v>6876</v>
      </c>
      <c r="O187" s="295"/>
      <c r="P187" s="204" t="s">
        <v>6873</v>
      </c>
      <c r="Q187" t="s">
        <v>7506</v>
      </c>
      <c r="U187" t="str">
        <f t="shared" si="2"/>
        <v>fraticelli;250;0;0</v>
      </c>
      <c r="X187" t="s">
        <v>117</v>
      </c>
    </row>
    <row r="188" spans="1:24" ht="14.7" hidden="1" thickBot="1" x14ac:dyDescent="0.55000000000000004">
      <c r="A188" s="206"/>
      <c r="B188" s="205" t="s">
        <v>6875</v>
      </c>
      <c r="C188" s="204" t="s">
        <v>6864</v>
      </c>
      <c r="D188" s="227"/>
      <c r="E188" s="227"/>
      <c r="F188" s="227"/>
      <c r="G188" s="227"/>
      <c r="H188" s="227" t="s">
        <v>7001</v>
      </c>
      <c r="I188" s="227" t="s">
        <v>6996</v>
      </c>
      <c r="J188" s="293" t="e">
        <v>#N/A</v>
      </c>
      <c r="K188" s="204" t="s">
        <v>6797</v>
      </c>
      <c r="L188" s="204" t="s">
        <v>6873</v>
      </c>
      <c r="M188" s="204" t="s">
        <v>6797</v>
      </c>
      <c r="N188" s="39" t="s">
        <v>6828</v>
      </c>
      <c r="O188" s="295"/>
      <c r="P188" s="204" t="s">
        <v>6873</v>
      </c>
      <c r="Q188" t="e">
        <v>#N/A</v>
      </c>
      <c r="U188" t="e">
        <f t="shared" si="2"/>
        <v>#N/A</v>
      </c>
      <c r="X188" t="s">
        <v>117</v>
      </c>
    </row>
    <row r="189" spans="1:24" ht="14.7" hidden="1" thickBot="1" x14ac:dyDescent="0.55000000000000004">
      <c r="A189" s="206"/>
      <c r="B189" s="205" t="s">
        <v>6874</v>
      </c>
      <c r="C189" s="204" t="s">
        <v>6864</v>
      </c>
      <c r="D189" s="227"/>
      <c r="E189" s="227"/>
      <c r="F189" s="227"/>
      <c r="G189" s="227"/>
      <c r="H189" s="227"/>
      <c r="I189" s="227" t="s">
        <v>6996</v>
      </c>
      <c r="J189" s="293" t="e">
        <v>#N/A</v>
      </c>
      <c r="K189" s="204" t="s">
        <v>6797</v>
      </c>
      <c r="L189" s="204" t="s">
        <v>6873</v>
      </c>
      <c r="M189" s="204" t="s">
        <v>6797</v>
      </c>
      <c r="N189" s="39" t="s">
        <v>6828</v>
      </c>
      <c r="O189" s="295"/>
      <c r="P189" s="204" t="s">
        <v>6873</v>
      </c>
      <c r="Q189" t="e">
        <v>#N/A</v>
      </c>
      <c r="U189" t="e">
        <f t="shared" si="2"/>
        <v>#N/A</v>
      </c>
      <c r="X189" t="s">
        <v>117</v>
      </c>
    </row>
    <row r="190" spans="1:24" ht="57.7" hidden="1" thickBot="1" x14ac:dyDescent="0.55000000000000004">
      <c r="A190" s="206"/>
      <c r="B190" s="205" t="s">
        <v>6872</v>
      </c>
      <c r="C190" s="204" t="s">
        <v>6864</v>
      </c>
      <c r="D190" s="227"/>
      <c r="E190" s="227"/>
      <c r="F190" s="227"/>
      <c r="G190" s="227"/>
      <c r="H190" s="227"/>
      <c r="I190" s="227"/>
      <c r="J190" s="293" t="e">
        <v>#N/A</v>
      </c>
      <c r="K190" s="39" t="s">
        <v>6871</v>
      </c>
      <c r="L190" s="204" t="s">
        <v>2077</v>
      </c>
      <c r="M190" s="206" t="s">
        <v>6870</v>
      </c>
      <c r="N190" s="204" t="s">
        <v>6861</v>
      </c>
      <c r="O190" s="296"/>
      <c r="P190" s="204" t="s">
        <v>2077</v>
      </c>
      <c r="Q190" t="e">
        <v>#N/A</v>
      </c>
      <c r="U190" t="e">
        <f t="shared" si="2"/>
        <v>#N/A</v>
      </c>
      <c r="X190" t="s">
        <v>117</v>
      </c>
    </row>
    <row r="191" spans="1:24" ht="134.69999999999999" thickBot="1" x14ac:dyDescent="0.55000000000000004">
      <c r="A191" s="206"/>
      <c r="B191" s="205" t="s">
        <v>6869</v>
      </c>
      <c r="C191" s="204" t="s">
        <v>6864</v>
      </c>
      <c r="D191" s="227"/>
      <c r="E191" s="227"/>
      <c r="F191" s="227" t="s">
        <v>7034</v>
      </c>
      <c r="G191" s="204" t="s">
        <v>89</v>
      </c>
      <c r="H191" s="227"/>
      <c r="I191" s="227"/>
      <c r="J191" s="223" t="s">
        <v>7190</v>
      </c>
      <c r="K191" s="204" t="s">
        <v>6797</v>
      </c>
      <c r="L191" s="204" t="s">
        <v>2031</v>
      </c>
      <c r="M191" s="206" t="s">
        <v>6868</v>
      </c>
      <c r="N191" s="39" t="s">
        <v>6828</v>
      </c>
      <c r="O191" s="294"/>
      <c r="P191" s="204" t="s">
        <v>2031</v>
      </c>
      <c r="Q191" s="205" t="s">
        <v>7192</v>
      </c>
      <c r="R191" t="s">
        <v>7495</v>
      </c>
      <c r="T191" t="s">
        <v>7003</v>
      </c>
      <c r="U191" t="str">
        <f t="shared" si="2"/>
        <v>messalian;100;0;0</v>
      </c>
      <c r="V191" t="str">
        <f>Q191&amp;";"&amp;F191&amp;";;;;;;;;;;;;;x"</f>
        <v>messalian;Cult of the Reborn;;;;;;;;;;;;;x</v>
      </c>
      <c r="W191" t="str">
        <f>R191&amp;";"&amp;G191&amp;";;;;;;;;;;;;;x"</f>
        <v>christianity;Christian;;;;;;;;;;;;;x</v>
      </c>
      <c r="X191" t="s">
        <v>117</v>
      </c>
    </row>
    <row r="192" spans="1:24" ht="62.35" hidden="1" thickBot="1" x14ac:dyDescent="0.55000000000000004">
      <c r="A192" s="206"/>
      <c r="B192" s="205" t="s">
        <v>1675</v>
      </c>
      <c r="C192" s="204" t="s">
        <v>6864</v>
      </c>
      <c r="D192" s="227"/>
      <c r="E192" s="227"/>
      <c r="F192" s="227"/>
      <c r="G192" s="227"/>
      <c r="H192" s="227"/>
      <c r="I192" s="227"/>
      <c r="J192" s="293" t="e">
        <v>#N/A</v>
      </c>
      <c r="K192" s="204" t="s">
        <v>6797</v>
      </c>
      <c r="L192" s="204" t="s">
        <v>6860</v>
      </c>
      <c r="M192" s="204" t="s">
        <v>6867</v>
      </c>
      <c r="N192" s="39" t="s">
        <v>6828</v>
      </c>
      <c r="O192" s="295"/>
      <c r="P192" s="204" t="s">
        <v>6860</v>
      </c>
      <c r="Q192" t="e">
        <v>#N/A</v>
      </c>
      <c r="U192" t="e">
        <f t="shared" si="2"/>
        <v>#N/A</v>
      </c>
      <c r="X192" t="s">
        <v>117</v>
      </c>
    </row>
    <row r="193" spans="1:24" ht="72" hidden="1" thickBot="1" x14ac:dyDescent="0.55000000000000004">
      <c r="A193" s="206"/>
      <c r="B193" s="205" t="s">
        <v>2337</v>
      </c>
      <c r="C193" s="204" t="s">
        <v>6864</v>
      </c>
      <c r="D193" s="227"/>
      <c r="E193" s="227"/>
      <c r="F193" s="227"/>
      <c r="G193" s="227"/>
      <c r="H193" s="227"/>
      <c r="I193" s="227"/>
      <c r="J193" s="293" t="e">
        <v>#N/A</v>
      </c>
      <c r="K193" s="39" t="s">
        <v>6866</v>
      </c>
      <c r="L193" s="204" t="s">
        <v>6860</v>
      </c>
      <c r="M193" s="206" t="s">
        <v>6862</v>
      </c>
      <c r="N193" s="204" t="s">
        <v>6861</v>
      </c>
      <c r="O193" s="295"/>
      <c r="P193" s="204" t="s">
        <v>6860</v>
      </c>
      <c r="Q193" t="e">
        <v>#N/A</v>
      </c>
      <c r="U193" t="e">
        <f t="shared" si="2"/>
        <v>#N/A</v>
      </c>
      <c r="X193" t="s">
        <v>117</v>
      </c>
    </row>
    <row r="194" spans="1:24" ht="86.35" hidden="1" thickBot="1" x14ac:dyDescent="0.55000000000000004">
      <c r="A194" s="206"/>
      <c r="B194" s="205" t="s">
        <v>2249</v>
      </c>
      <c r="C194" s="204" t="s">
        <v>6864</v>
      </c>
      <c r="D194" s="227"/>
      <c r="E194" s="227"/>
      <c r="F194" s="227"/>
      <c r="G194" s="227"/>
      <c r="H194" s="227"/>
      <c r="I194" s="227"/>
      <c r="J194" s="293" t="e">
        <v>#N/A</v>
      </c>
      <c r="K194" s="39" t="s">
        <v>6865</v>
      </c>
      <c r="L194" s="204" t="s">
        <v>6860</v>
      </c>
      <c r="M194" s="206" t="s">
        <v>6862</v>
      </c>
      <c r="N194" s="204" t="s">
        <v>6861</v>
      </c>
      <c r="O194" s="295"/>
      <c r="P194" s="204" t="s">
        <v>6860</v>
      </c>
      <c r="Q194" t="e">
        <v>#N/A</v>
      </c>
      <c r="U194" t="e">
        <f t="shared" si="2"/>
        <v>#N/A</v>
      </c>
      <c r="X194" t="s">
        <v>117</v>
      </c>
    </row>
    <row r="195" spans="1:24" ht="62.35" thickBot="1" x14ac:dyDescent="0.55000000000000004">
      <c r="A195" s="206"/>
      <c r="B195" s="205" t="s">
        <v>1643</v>
      </c>
      <c r="C195" s="204" t="s">
        <v>6864</v>
      </c>
      <c r="D195" s="227"/>
      <c r="E195" s="227"/>
      <c r="F195" s="227"/>
      <c r="G195" s="227"/>
      <c r="H195" s="227"/>
      <c r="I195" s="227"/>
      <c r="J195" s="223" t="s">
        <v>7510</v>
      </c>
      <c r="K195" s="39" t="s">
        <v>6863</v>
      </c>
      <c r="L195" s="204" t="s">
        <v>6860</v>
      </c>
      <c r="M195" s="206" t="s">
        <v>6862</v>
      </c>
      <c r="N195" s="204" t="s">
        <v>6861</v>
      </c>
      <c r="O195" s="296"/>
      <c r="P195" s="204" t="s">
        <v>6860</v>
      </c>
      <c r="Q195" t="e">
        <v>#N/A</v>
      </c>
      <c r="U195" t="e">
        <f t="shared" ref="U195:U219" si="3">Q195&amp;";"&amp;J195</f>
        <v>#N/A</v>
      </c>
      <c r="X195" t="s">
        <v>117</v>
      </c>
    </row>
    <row r="196" spans="1:24" ht="93.35" hidden="1" thickBot="1" x14ac:dyDescent="0.55000000000000004">
      <c r="A196" s="206"/>
      <c r="B196" s="205" t="s">
        <v>6859</v>
      </c>
      <c r="C196" s="204" t="s">
        <v>6842</v>
      </c>
      <c r="D196" s="227"/>
      <c r="E196" s="227"/>
      <c r="F196" s="227"/>
      <c r="G196" s="227"/>
      <c r="H196" s="227"/>
      <c r="I196" s="227"/>
      <c r="J196" s="293" t="e">
        <v>#N/A</v>
      </c>
      <c r="K196" s="204" t="s">
        <v>6797</v>
      </c>
      <c r="L196" s="204" t="s">
        <v>88</v>
      </c>
      <c r="M196" s="206" t="s">
        <v>6858</v>
      </c>
      <c r="N196" s="206" t="s">
        <v>6857</v>
      </c>
      <c r="O196" s="294"/>
      <c r="P196" s="204" t="s">
        <v>88</v>
      </c>
      <c r="Q196" t="e">
        <v>#N/A</v>
      </c>
      <c r="U196" t="e">
        <f t="shared" si="3"/>
        <v>#N/A</v>
      </c>
      <c r="X196" t="s">
        <v>117</v>
      </c>
    </row>
    <row r="197" spans="1:24" ht="53.45" hidden="1" customHeight="1" thickBot="1" x14ac:dyDescent="0.55000000000000004">
      <c r="A197" s="297"/>
      <c r="B197" s="300" t="s">
        <v>6856</v>
      </c>
      <c r="C197" s="294" t="s">
        <v>6842</v>
      </c>
      <c r="D197" s="228"/>
      <c r="E197" s="228"/>
      <c r="F197" s="228"/>
      <c r="G197" s="228"/>
      <c r="H197" s="228"/>
      <c r="I197" s="228"/>
      <c r="J197" s="293" t="e">
        <v>#N/A</v>
      </c>
      <c r="K197" s="303" t="s">
        <v>6855</v>
      </c>
      <c r="L197" s="294" t="s">
        <v>88</v>
      </c>
      <c r="M197" s="212" t="s">
        <v>6854</v>
      </c>
      <c r="N197" s="297" t="s">
        <v>6853</v>
      </c>
      <c r="O197" s="295"/>
      <c r="P197" s="294" t="s">
        <v>88</v>
      </c>
      <c r="Q197" t="e">
        <v>#N/A</v>
      </c>
      <c r="U197" t="e">
        <f t="shared" si="3"/>
        <v>#N/A</v>
      </c>
      <c r="X197" t="s">
        <v>117</v>
      </c>
    </row>
    <row r="198" spans="1:24" ht="83" hidden="1" thickBot="1" x14ac:dyDescent="0.55000000000000004">
      <c r="A198" s="299"/>
      <c r="B198" s="302"/>
      <c r="C198" s="296"/>
      <c r="D198" s="229"/>
      <c r="E198" s="229"/>
      <c r="F198" s="229"/>
      <c r="G198" s="229"/>
      <c r="H198" s="229"/>
      <c r="I198" s="229"/>
      <c r="J198" s="223" t="e">
        <v>#N/A</v>
      </c>
      <c r="K198" s="305"/>
      <c r="L198" s="296"/>
      <c r="M198" s="208" t="s">
        <v>6852</v>
      </c>
      <c r="N198" s="299"/>
      <c r="O198" s="295"/>
      <c r="P198" s="296"/>
      <c r="Q198" t="e">
        <v>#N/A</v>
      </c>
      <c r="U198" t="e">
        <f t="shared" si="3"/>
        <v>#N/A</v>
      </c>
      <c r="X198" t="s">
        <v>117</v>
      </c>
    </row>
    <row r="199" spans="1:24" ht="86.35" hidden="1" thickBot="1" x14ac:dyDescent="0.55000000000000004">
      <c r="A199" s="206"/>
      <c r="B199" s="205" t="s">
        <v>2475</v>
      </c>
      <c r="C199" s="204" t="s">
        <v>6842</v>
      </c>
      <c r="D199" s="227"/>
      <c r="E199" s="227"/>
      <c r="F199" s="227"/>
      <c r="G199" s="227"/>
      <c r="H199" s="227"/>
      <c r="I199" s="227"/>
      <c r="J199" s="293" t="e">
        <v>#N/A</v>
      </c>
      <c r="K199" s="39" t="s">
        <v>6851</v>
      </c>
      <c r="L199" s="204" t="s">
        <v>2452</v>
      </c>
      <c r="M199" s="206" t="s">
        <v>6840</v>
      </c>
      <c r="N199" s="204" t="s">
        <v>6850</v>
      </c>
      <c r="O199" s="295"/>
      <c r="P199" s="204" t="s">
        <v>2452</v>
      </c>
      <c r="Q199" t="e">
        <v>#N/A</v>
      </c>
      <c r="U199" t="e">
        <f t="shared" si="3"/>
        <v>#N/A</v>
      </c>
      <c r="X199" t="s">
        <v>117</v>
      </c>
    </row>
    <row r="200" spans="1:24" ht="155.35" hidden="1" thickBot="1" x14ac:dyDescent="0.55000000000000004">
      <c r="A200" s="206"/>
      <c r="B200" s="205" t="s">
        <v>6849</v>
      </c>
      <c r="C200" s="204" t="s">
        <v>6842</v>
      </c>
      <c r="D200" s="227"/>
      <c r="E200" s="227"/>
      <c r="F200" s="227"/>
      <c r="G200" s="227"/>
      <c r="H200" s="227"/>
      <c r="I200" s="227"/>
      <c r="J200" s="293" t="e">
        <v>#N/A</v>
      </c>
      <c r="K200" s="39" t="s">
        <v>6848</v>
      </c>
      <c r="L200" s="204" t="s">
        <v>2032</v>
      </c>
      <c r="M200" s="206" t="s">
        <v>6847</v>
      </c>
      <c r="N200" s="206" t="s">
        <v>6846</v>
      </c>
      <c r="O200" s="296"/>
      <c r="P200" s="204" t="s">
        <v>2032</v>
      </c>
      <c r="Q200" t="e">
        <v>#N/A</v>
      </c>
      <c r="U200" t="e">
        <f t="shared" si="3"/>
        <v>#N/A</v>
      </c>
      <c r="X200" t="s">
        <v>117</v>
      </c>
    </row>
    <row r="201" spans="1:24" ht="93.35" hidden="1" thickBot="1" x14ac:dyDescent="0.55000000000000004">
      <c r="A201" s="206"/>
      <c r="B201" s="205" t="s">
        <v>2188</v>
      </c>
      <c r="C201" s="204" t="s">
        <v>6842</v>
      </c>
      <c r="D201" s="227"/>
      <c r="E201" s="227"/>
      <c r="F201" s="227"/>
      <c r="G201" s="227"/>
      <c r="H201" s="227"/>
      <c r="I201" s="227"/>
      <c r="J201" s="293" t="e">
        <v>#N/A</v>
      </c>
      <c r="K201" s="204" t="s">
        <v>6797</v>
      </c>
      <c r="L201" s="204" t="s">
        <v>2032</v>
      </c>
      <c r="M201" s="206" t="s">
        <v>6845</v>
      </c>
      <c r="N201" s="206" t="s">
        <v>6844</v>
      </c>
      <c r="O201" s="294"/>
      <c r="P201" s="204" t="s">
        <v>2032</v>
      </c>
      <c r="Q201" t="e">
        <v>#N/A</v>
      </c>
      <c r="U201" t="e">
        <f t="shared" si="3"/>
        <v>#N/A</v>
      </c>
      <c r="X201" t="s">
        <v>117</v>
      </c>
    </row>
    <row r="202" spans="1:24" ht="100.7" hidden="1" thickBot="1" x14ac:dyDescent="0.55000000000000004">
      <c r="A202" s="206"/>
      <c r="B202" s="205" t="s">
        <v>6843</v>
      </c>
      <c r="C202" s="204" t="s">
        <v>6842</v>
      </c>
      <c r="D202" s="227"/>
      <c r="E202" s="227"/>
      <c r="F202" s="227"/>
      <c r="G202" s="227"/>
      <c r="H202" s="227"/>
      <c r="I202" s="227"/>
      <c r="J202" s="293" t="e">
        <v>#N/A</v>
      </c>
      <c r="K202" s="39" t="s">
        <v>6841</v>
      </c>
      <c r="L202" s="204" t="s">
        <v>2032</v>
      </c>
      <c r="M202" s="206" t="s">
        <v>6840</v>
      </c>
      <c r="N202" s="206" t="s">
        <v>6839</v>
      </c>
      <c r="O202" s="295"/>
      <c r="P202" s="204" t="s">
        <v>2032</v>
      </c>
      <c r="Q202" t="e">
        <v>#N/A</v>
      </c>
      <c r="U202" t="e">
        <f t="shared" si="3"/>
        <v>#N/A</v>
      </c>
      <c r="X202" t="s">
        <v>117</v>
      </c>
    </row>
    <row r="203" spans="1:24" ht="207" hidden="1" thickBot="1" x14ac:dyDescent="0.55000000000000004">
      <c r="A203" s="206"/>
      <c r="B203" s="205" t="s">
        <v>2022</v>
      </c>
      <c r="C203" s="204" t="s">
        <v>6832</v>
      </c>
      <c r="D203" s="227"/>
      <c r="E203" s="227"/>
      <c r="F203" s="227"/>
      <c r="G203" s="227"/>
      <c r="H203" s="227"/>
      <c r="I203" s="227"/>
      <c r="J203" s="293" t="e">
        <v>#N/A</v>
      </c>
      <c r="K203" s="204" t="s">
        <v>6797</v>
      </c>
      <c r="L203" s="204" t="s">
        <v>1964</v>
      </c>
      <c r="M203" s="206" t="s">
        <v>6838</v>
      </c>
      <c r="N203" s="39" t="s">
        <v>6828</v>
      </c>
      <c r="O203" s="295"/>
      <c r="P203" s="204" t="s">
        <v>1964</v>
      </c>
      <c r="Q203" t="e">
        <v>#N/A</v>
      </c>
      <c r="U203" t="e">
        <f t="shared" si="3"/>
        <v>#N/A</v>
      </c>
      <c r="X203" t="s">
        <v>117</v>
      </c>
    </row>
    <row r="204" spans="1:24" ht="134.35" x14ac:dyDescent="0.5">
      <c r="A204" s="297"/>
      <c r="B204" s="300" t="s">
        <v>4296</v>
      </c>
      <c r="C204" s="294" t="s">
        <v>6832</v>
      </c>
      <c r="D204" s="228"/>
      <c r="E204" s="228"/>
      <c r="F204" s="211" t="s">
        <v>4296</v>
      </c>
      <c r="G204" s="209" t="s">
        <v>6832</v>
      </c>
      <c r="H204" s="228"/>
      <c r="I204" s="228"/>
      <c r="J204" s="223" t="s">
        <v>7191</v>
      </c>
      <c r="K204" s="303" t="s">
        <v>6837</v>
      </c>
      <c r="L204" s="294" t="s">
        <v>1964</v>
      </c>
      <c r="M204" s="209" t="s">
        <v>6836</v>
      </c>
      <c r="N204" s="297" t="s">
        <v>6835</v>
      </c>
      <c r="O204" s="295"/>
      <c r="P204" s="294" t="s">
        <v>1964</v>
      </c>
      <c r="Q204" t="s">
        <v>7759</v>
      </c>
      <c r="R204" t="s">
        <v>7025</v>
      </c>
      <c r="U204" t="str">
        <f t="shared" si="3"/>
        <v>manichean;180;100;100</v>
      </c>
      <c r="V204" t="str">
        <f>Q204&amp;";"&amp;F204&amp;";;;;;;;;;;;;;x"</f>
        <v>manichean;Manichaean;;;;;;;;;;;;;x</v>
      </c>
      <c r="W204" t="str">
        <f>R204&amp;";"&amp;G204&amp;";;;;;;;;;;;;;x"</f>
        <v>mazdan;Mazdan;;;;;;;;;;;;;x</v>
      </c>
      <c r="X204" t="s">
        <v>117</v>
      </c>
    </row>
    <row r="205" spans="1:24" ht="115" hidden="1" thickBot="1" x14ac:dyDescent="0.55000000000000004">
      <c r="A205" s="298"/>
      <c r="B205" s="301"/>
      <c r="C205" s="295"/>
      <c r="D205" s="230"/>
      <c r="E205" s="230"/>
      <c r="F205" s="230"/>
      <c r="G205" s="230"/>
      <c r="H205" s="230"/>
      <c r="I205" s="230"/>
      <c r="J205" s="223" t="e">
        <v>#N/A</v>
      </c>
      <c r="K205" s="304"/>
      <c r="L205" s="295"/>
      <c r="M205" s="43" t="s">
        <v>6834</v>
      </c>
      <c r="N205" s="298"/>
      <c r="O205" s="296"/>
      <c r="P205" s="295"/>
      <c r="Q205" t="e">
        <v>#N/A</v>
      </c>
      <c r="U205" t="e">
        <f t="shared" si="3"/>
        <v>#N/A</v>
      </c>
    </row>
    <row r="206" spans="1:24" ht="103.7" hidden="1" thickBot="1" x14ac:dyDescent="0.55000000000000004">
      <c r="A206" s="299"/>
      <c r="B206" s="302"/>
      <c r="C206" s="296"/>
      <c r="D206" s="229"/>
      <c r="E206" s="229"/>
      <c r="F206" s="229"/>
      <c r="G206" s="229"/>
      <c r="H206" s="229"/>
      <c r="I206" s="229"/>
      <c r="J206" s="223" t="e">
        <v>#N/A</v>
      </c>
      <c r="K206" s="305"/>
      <c r="L206" s="296"/>
      <c r="M206" s="208" t="s">
        <v>6833</v>
      </c>
      <c r="N206" s="299"/>
      <c r="O206" s="294"/>
      <c r="P206" s="296"/>
      <c r="Q206" t="e">
        <v>#N/A</v>
      </c>
      <c r="U206" t="e">
        <f t="shared" si="3"/>
        <v>#N/A</v>
      </c>
    </row>
    <row r="207" spans="1:24" ht="52" hidden="1" thickBot="1" x14ac:dyDescent="0.55000000000000004">
      <c r="A207" s="206"/>
      <c r="B207" s="205" t="s">
        <v>2939</v>
      </c>
      <c r="C207" s="204" t="s">
        <v>6832</v>
      </c>
      <c r="D207" s="227"/>
      <c r="E207" s="227"/>
      <c r="F207" s="227"/>
      <c r="G207" s="227"/>
      <c r="H207" s="227"/>
      <c r="I207" s="227"/>
      <c r="J207" s="293" t="e">
        <v>#N/A</v>
      </c>
      <c r="K207" s="204" t="s">
        <v>6797</v>
      </c>
      <c r="L207" s="204" t="s">
        <v>1964</v>
      </c>
      <c r="M207" s="204" t="s">
        <v>6831</v>
      </c>
      <c r="N207" s="39" t="s">
        <v>6828</v>
      </c>
      <c r="O207" s="295"/>
      <c r="P207" s="204" t="s">
        <v>1964</v>
      </c>
      <c r="Q207" t="e">
        <v>#N/A</v>
      </c>
      <c r="U207" t="e">
        <f t="shared" si="3"/>
        <v>#N/A</v>
      </c>
      <c r="X207" t="s">
        <v>117</v>
      </c>
    </row>
    <row r="208" spans="1:24" ht="14.7" hidden="1" thickBot="1" x14ac:dyDescent="0.55000000000000004">
      <c r="A208" s="206"/>
      <c r="B208" s="205" t="s">
        <v>6830</v>
      </c>
      <c r="C208" s="204" t="s">
        <v>6659</v>
      </c>
      <c r="D208" s="227"/>
      <c r="E208" s="227"/>
      <c r="F208" s="227"/>
      <c r="G208" s="227"/>
      <c r="H208" s="227"/>
      <c r="I208" s="227"/>
      <c r="J208" s="293" t="e">
        <v>#N/A</v>
      </c>
      <c r="K208" s="204" t="s">
        <v>6797</v>
      </c>
      <c r="L208" s="204" t="s">
        <v>6827</v>
      </c>
      <c r="M208" s="204" t="s">
        <v>6797</v>
      </c>
      <c r="N208" s="39" t="s">
        <v>6828</v>
      </c>
      <c r="O208" s="295"/>
      <c r="P208" s="204" t="s">
        <v>6827</v>
      </c>
      <c r="Q208" t="e">
        <v>#N/A</v>
      </c>
      <c r="U208" t="e">
        <f t="shared" si="3"/>
        <v>#N/A</v>
      </c>
      <c r="X208" t="s">
        <v>117</v>
      </c>
    </row>
    <row r="209" spans="1:24" ht="14.7" hidden="1" thickBot="1" x14ac:dyDescent="0.55000000000000004">
      <c r="A209" s="206"/>
      <c r="B209" s="207" t="s">
        <v>6829</v>
      </c>
      <c r="C209" s="204" t="s">
        <v>6659</v>
      </c>
      <c r="D209" s="227"/>
      <c r="E209" s="227"/>
      <c r="F209" s="227"/>
      <c r="G209" s="227"/>
      <c r="H209" s="227"/>
      <c r="I209" s="227"/>
      <c r="J209" s="293" t="e">
        <v>#N/A</v>
      </c>
      <c r="K209" s="204" t="s">
        <v>6797</v>
      </c>
      <c r="L209" s="204" t="s">
        <v>6827</v>
      </c>
      <c r="M209" s="204" t="s">
        <v>6797</v>
      </c>
      <c r="N209" s="39" t="s">
        <v>6828</v>
      </c>
      <c r="O209" s="295"/>
      <c r="P209" s="204" t="s">
        <v>6827</v>
      </c>
      <c r="Q209" t="e">
        <v>#N/A</v>
      </c>
      <c r="U209" t="e">
        <f t="shared" si="3"/>
        <v>#N/A</v>
      </c>
      <c r="X209" t="s">
        <v>117</v>
      </c>
    </row>
    <row r="210" spans="1:24" ht="21" hidden="1" thickBot="1" x14ac:dyDescent="0.55000000000000004">
      <c r="A210" s="206"/>
      <c r="B210" s="205" t="s">
        <v>6826</v>
      </c>
      <c r="C210" s="204" t="s">
        <v>6798</v>
      </c>
      <c r="D210" s="227"/>
      <c r="E210" s="223" t="s">
        <v>6798</v>
      </c>
      <c r="F210" s="227"/>
      <c r="G210" s="223" t="s">
        <v>6798</v>
      </c>
      <c r="H210" s="227"/>
      <c r="I210" s="223" t="s">
        <v>6798</v>
      </c>
      <c r="J210" s="223" t="e">
        <v>#N/A</v>
      </c>
      <c r="K210" s="204" t="s">
        <v>6797</v>
      </c>
      <c r="L210" s="204" t="s">
        <v>6824</v>
      </c>
      <c r="M210" s="204" t="s">
        <v>6825</v>
      </c>
      <c r="N210" s="204" t="s">
        <v>6825</v>
      </c>
      <c r="O210" s="296"/>
      <c r="P210" s="204" t="s">
        <v>6824</v>
      </c>
      <c r="Q210" t="e">
        <v>#N/A</v>
      </c>
      <c r="U210" t="e">
        <f t="shared" si="3"/>
        <v>#N/A</v>
      </c>
    </row>
    <row r="211" spans="1:24" ht="21" hidden="1" thickBot="1" x14ac:dyDescent="0.55000000000000004">
      <c r="A211" s="206"/>
      <c r="B211" s="205" t="s">
        <v>6823</v>
      </c>
      <c r="C211" s="204" t="s">
        <v>6798</v>
      </c>
      <c r="D211" s="227"/>
      <c r="E211" s="223" t="s">
        <v>6798</v>
      </c>
      <c r="F211" s="227"/>
      <c r="G211" s="223" t="s">
        <v>6798</v>
      </c>
      <c r="H211" s="227"/>
      <c r="I211" s="223" t="s">
        <v>6798</v>
      </c>
      <c r="J211" s="223" t="e">
        <v>#N/A</v>
      </c>
      <c r="K211" s="204" t="s">
        <v>6797</v>
      </c>
      <c r="L211" s="204" t="s">
        <v>6821</v>
      </c>
      <c r="M211" s="204" t="s">
        <v>6822</v>
      </c>
      <c r="N211" s="204" t="s">
        <v>6822</v>
      </c>
      <c r="O211" s="294"/>
      <c r="P211" s="204" t="s">
        <v>6821</v>
      </c>
      <c r="Q211" t="e">
        <v>#N/A</v>
      </c>
      <c r="U211" t="e">
        <f t="shared" si="3"/>
        <v>#N/A</v>
      </c>
    </row>
    <row r="212" spans="1:24" ht="21" hidden="1" thickBot="1" x14ac:dyDescent="0.55000000000000004">
      <c r="A212" s="206"/>
      <c r="B212" s="205" t="s">
        <v>6820</v>
      </c>
      <c r="C212" s="204" t="s">
        <v>6798</v>
      </c>
      <c r="D212" s="227"/>
      <c r="E212" s="223" t="s">
        <v>6798</v>
      </c>
      <c r="F212" s="227"/>
      <c r="G212" s="223" t="s">
        <v>6798</v>
      </c>
      <c r="H212" s="227"/>
      <c r="I212" s="223" t="s">
        <v>6798</v>
      </c>
      <c r="J212" s="223" t="e">
        <v>#N/A</v>
      </c>
      <c r="K212" s="204" t="s">
        <v>6797</v>
      </c>
      <c r="L212" s="204" t="s">
        <v>6818</v>
      </c>
      <c r="M212" s="204" t="s">
        <v>6819</v>
      </c>
      <c r="N212" s="204" t="s">
        <v>6819</v>
      </c>
      <c r="O212" s="295"/>
      <c r="P212" s="204" t="s">
        <v>6818</v>
      </c>
      <c r="Q212" t="e">
        <v>#N/A</v>
      </c>
      <c r="U212" t="e">
        <f t="shared" si="3"/>
        <v>#N/A</v>
      </c>
    </row>
    <row r="213" spans="1:24" ht="21" hidden="1" thickBot="1" x14ac:dyDescent="0.55000000000000004">
      <c r="A213" s="206"/>
      <c r="B213" s="205" t="s">
        <v>6817</v>
      </c>
      <c r="C213" s="204" t="s">
        <v>6798</v>
      </c>
      <c r="D213" s="227"/>
      <c r="E213" s="223" t="s">
        <v>6798</v>
      </c>
      <c r="F213" s="227"/>
      <c r="G213" s="223" t="s">
        <v>6798</v>
      </c>
      <c r="H213" s="227"/>
      <c r="I213" s="223" t="s">
        <v>6798</v>
      </c>
      <c r="J213" s="223" t="e">
        <v>#N/A</v>
      </c>
      <c r="K213" s="204" t="s">
        <v>6797</v>
      </c>
      <c r="L213" s="204" t="s">
        <v>6815</v>
      </c>
      <c r="M213" s="204" t="s">
        <v>6816</v>
      </c>
      <c r="N213" s="204" t="s">
        <v>6816</v>
      </c>
      <c r="O213" s="295"/>
      <c r="P213" s="204" t="s">
        <v>6815</v>
      </c>
      <c r="Q213" t="e">
        <v>#N/A</v>
      </c>
      <c r="U213" t="e">
        <f t="shared" si="3"/>
        <v>#N/A</v>
      </c>
    </row>
    <row r="214" spans="1:24" ht="31.35" hidden="1" thickBot="1" x14ac:dyDescent="0.55000000000000004">
      <c r="A214" s="206"/>
      <c r="B214" s="205" t="s">
        <v>6814</v>
      </c>
      <c r="C214" s="204" t="s">
        <v>6798</v>
      </c>
      <c r="D214" s="227"/>
      <c r="E214" s="223" t="s">
        <v>6798</v>
      </c>
      <c r="F214" s="227"/>
      <c r="G214" s="223" t="s">
        <v>6798</v>
      </c>
      <c r="H214" s="227"/>
      <c r="I214" s="223" t="s">
        <v>6798</v>
      </c>
      <c r="J214" s="223" t="e">
        <v>#N/A</v>
      </c>
      <c r="K214" s="204" t="s">
        <v>6797</v>
      </c>
      <c r="L214" s="204" t="s">
        <v>6812</v>
      </c>
      <c r="M214" s="204" t="s">
        <v>6813</v>
      </c>
      <c r="N214" s="204" t="s">
        <v>6813</v>
      </c>
      <c r="O214" s="295"/>
      <c r="P214" s="204" t="s">
        <v>6812</v>
      </c>
      <c r="Q214" t="e">
        <v>#N/A</v>
      </c>
      <c r="U214" t="e">
        <f t="shared" si="3"/>
        <v>#N/A</v>
      </c>
    </row>
    <row r="215" spans="1:24" ht="21" hidden="1" thickBot="1" x14ac:dyDescent="0.55000000000000004">
      <c r="A215" s="206"/>
      <c r="B215" s="205" t="s">
        <v>6811</v>
      </c>
      <c r="C215" s="204" t="s">
        <v>6798</v>
      </c>
      <c r="D215" s="227"/>
      <c r="E215" s="223" t="s">
        <v>6798</v>
      </c>
      <c r="F215" s="227"/>
      <c r="G215" s="223" t="s">
        <v>6798</v>
      </c>
      <c r="H215" s="227"/>
      <c r="I215" s="223" t="s">
        <v>6798</v>
      </c>
      <c r="J215" s="223" t="e">
        <v>#N/A</v>
      </c>
      <c r="K215" s="204" t="s">
        <v>6797</v>
      </c>
      <c r="L215" s="204" t="s">
        <v>6809</v>
      </c>
      <c r="M215" s="204" t="s">
        <v>6810</v>
      </c>
      <c r="N215" s="204" t="s">
        <v>6810</v>
      </c>
      <c r="O215" s="296"/>
      <c r="P215" s="204" t="s">
        <v>6809</v>
      </c>
      <c r="Q215" t="e">
        <v>#N/A</v>
      </c>
      <c r="U215" t="e">
        <f t="shared" si="3"/>
        <v>#N/A</v>
      </c>
    </row>
    <row r="216" spans="1:24" ht="21" hidden="1" thickBot="1" x14ac:dyDescent="0.55000000000000004">
      <c r="A216" s="206"/>
      <c r="B216" s="205" t="s">
        <v>6808</v>
      </c>
      <c r="C216" s="204" t="s">
        <v>6798</v>
      </c>
      <c r="D216" s="227"/>
      <c r="E216" s="223" t="s">
        <v>6798</v>
      </c>
      <c r="F216" s="227"/>
      <c r="G216" s="223" t="s">
        <v>6798</v>
      </c>
      <c r="H216" s="227"/>
      <c r="I216" s="223" t="s">
        <v>6798</v>
      </c>
      <c r="J216" s="223" t="e">
        <v>#N/A</v>
      </c>
      <c r="K216" s="204" t="s">
        <v>6797</v>
      </c>
      <c r="L216" s="204" t="s">
        <v>6806</v>
      </c>
      <c r="M216" s="204" t="s">
        <v>6807</v>
      </c>
      <c r="N216" s="204" t="s">
        <v>6807</v>
      </c>
      <c r="O216" s="294"/>
      <c r="P216" s="204" t="s">
        <v>6806</v>
      </c>
      <c r="Q216" t="e">
        <v>#N/A</v>
      </c>
      <c r="U216" t="e">
        <f t="shared" si="3"/>
        <v>#N/A</v>
      </c>
    </row>
    <row r="217" spans="1:24" ht="21" hidden="1" thickBot="1" x14ac:dyDescent="0.55000000000000004">
      <c r="A217" s="206"/>
      <c r="B217" s="205" t="s">
        <v>6805</v>
      </c>
      <c r="C217" s="204" t="s">
        <v>6798</v>
      </c>
      <c r="D217" s="227"/>
      <c r="E217" s="223" t="s">
        <v>6798</v>
      </c>
      <c r="F217" s="227"/>
      <c r="G217" s="223" t="s">
        <v>6798</v>
      </c>
      <c r="H217" s="227"/>
      <c r="I217" s="223" t="s">
        <v>6798</v>
      </c>
      <c r="J217" s="223" t="e">
        <v>#N/A</v>
      </c>
      <c r="K217" s="204" t="s">
        <v>6797</v>
      </c>
      <c r="L217" s="204" t="s">
        <v>6803</v>
      </c>
      <c r="M217" s="204" t="s">
        <v>6804</v>
      </c>
      <c r="N217" s="204" t="s">
        <v>6804</v>
      </c>
      <c r="O217" s="295"/>
      <c r="P217" s="204" t="s">
        <v>6803</v>
      </c>
      <c r="Q217" t="e">
        <v>#N/A</v>
      </c>
      <c r="U217" t="e">
        <f t="shared" si="3"/>
        <v>#N/A</v>
      </c>
    </row>
    <row r="218" spans="1:24" ht="21" hidden="1" thickBot="1" x14ac:dyDescent="0.55000000000000004">
      <c r="A218" s="206"/>
      <c r="B218" s="205" t="s">
        <v>6802</v>
      </c>
      <c r="C218" s="204" t="s">
        <v>6798</v>
      </c>
      <c r="D218" s="227"/>
      <c r="E218" s="223" t="s">
        <v>6798</v>
      </c>
      <c r="F218" s="227"/>
      <c r="G218" s="223" t="s">
        <v>6798</v>
      </c>
      <c r="H218" s="227"/>
      <c r="I218" s="223" t="s">
        <v>6798</v>
      </c>
      <c r="J218" s="223" t="e">
        <v>#N/A</v>
      </c>
      <c r="K218" s="204" t="s">
        <v>6797</v>
      </c>
      <c r="L218" s="204" t="s">
        <v>6800</v>
      </c>
      <c r="M218" s="204" t="s">
        <v>6801</v>
      </c>
      <c r="N218" s="204" t="s">
        <v>6801</v>
      </c>
      <c r="O218" s="295"/>
      <c r="P218" s="204" t="s">
        <v>6800</v>
      </c>
      <c r="Q218" t="e">
        <v>#N/A</v>
      </c>
      <c r="U218" t="e">
        <f t="shared" si="3"/>
        <v>#N/A</v>
      </c>
    </row>
    <row r="219" spans="1:24" ht="21" hidden="1" thickBot="1" x14ac:dyDescent="0.55000000000000004">
      <c r="A219" s="206"/>
      <c r="B219" s="205" t="s">
        <v>6799</v>
      </c>
      <c r="C219" s="204" t="s">
        <v>6798</v>
      </c>
      <c r="D219" s="227"/>
      <c r="E219" s="223" t="s">
        <v>6798</v>
      </c>
      <c r="F219" s="227"/>
      <c r="G219" s="223" t="s">
        <v>6798</v>
      </c>
      <c r="H219" s="227"/>
      <c r="I219" s="223" t="s">
        <v>6798</v>
      </c>
      <c r="J219" s="223" t="e">
        <v>#N/A</v>
      </c>
      <c r="K219" s="204" t="s">
        <v>6797</v>
      </c>
      <c r="L219" s="204" t="s">
        <v>6795</v>
      </c>
      <c r="M219" s="204" t="s">
        <v>6796</v>
      </c>
      <c r="N219" s="204" t="s">
        <v>6796</v>
      </c>
      <c r="O219" s="295"/>
      <c r="P219" s="204" t="s">
        <v>6795</v>
      </c>
      <c r="Q219" t="e">
        <v>#N/A</v>
      </c>
      <c r="U219" t="e">
        <f t="shared" si="3"/>
        <v>#N/A</v>
      </c>
    </row>
  </sheetData>
  <autoFilter ref="A1:X219" xr:uid="{F12CEF5F-807D-4BF8-927F-47B9D681B0A0}">
    <filterColumn colId="9">
      <filters>
        <filter val="0;64;91"/>
        <filter val="100;0;0"/>
        <filter val="150;0;150"/>
        <filter val="150;150;150"/>
        <filter val="150;200;0"/>
        <filter val="153;0;0"/>
        <filter val="179;0;0"/>
        <filter val="180;100;100"/>
        <filter val="180;130;0"/>
        <filter val="184;104;126"/>
        <filter val="200;100;200"/>
        <filter val="200;200;100"/>
        <filter val="200;200;200"/>
        <filter val="250;0;0"/>
        <filter val="250;200;100"/>
        <filter val="250;200;200"/>
        <filter val="250;250;150"/>
        <filter val="250;250;250"/>
        <filter val="252;255;0"/>
        <filter val="255;0;0"/>
        <filter val="350;0;0"/>
        <filter val="43;0;0"/>
        <filter val="45;65;65"/>
      </filters>
    </filterColumn>
  </autoFilter>
  <mergeCells count="205">
    <mergeCell ref="F47:F51"/>
    <mergeCell ref="G47:G51"/>
    <mergeCell ref="F52:F56"/>
    <mergeCell ref="G52:G56"/>
    <mergeCell ref="F57:F66"/>
    <mergeCell ref="G57:G66"/>
    <mergeCell ref="F67:F75"/>
    <mergeCell ref="G67:G75"/>
    <mergeCell ref="A204:A206"/>
    <mergeCell ref="B204:B206"/>
    <mergeCell ref="A93:A98"/>
    <mergeCell ref="B93:B98"/>
    <mergeCell ref="C93:C98"/>
    <mergeCell ref="L204:L206"/>
    <mergeCell ref="C204:C206"/>
    <mergeCell ref="K204:K206"/>
    <mergeCell ref="N204:N206"/>
    <mergeCell ref="A197:A198"/>
    <mergeCell ref="B197:B198"/>
    <mergeCell ref="P197:P198"/>
    <mergeCell ref="P204:P206"/>
    <mergeCell ref="L197:L198"/>
    <mergeCell ref="C197:C198"/>
    <mergeCell ref="K197:K198"/>
    <mergeCell ref="N197:N198"/>
    <mergeCell ref="O172:O180"/>
    <mergeCell ref="A181:A185"/>
    <mergeCell ref="B181:B185"/>
    <mergeCell ref="C181:C185"/>
    <mergeCell ref="K181:K185"/>
    <mergeCell ref="M181:M185"/>
    <mergeCell ref="N181:N185"/>
    <mergeCell ref="N163:N170"/>
    <mergeCell ref="A172:A179"/>
    <mergeCell ref="B172:B179"/>
    <mergeCell ref="C172:C179"/>
    <mergeCell ref="K172:K179"/>
    <mergeCell ref="M172:M179"/>
    <mergeCell ref="N172:N179"/>
    <mergeCell ref="A163:A170"/>
    <mergeCell ref="B163:B170"/>
    <mergeCell ref="C163:C170"/>
    <mergeCell ref="K163:K170"/>
    <mergeCell ref="M163:M170"/>
    <mergeCell ref="O145:O153"/>
    <mergeCell ref="A154:A161"/>
    <mergeCell ref="B154:B161"/>
    <mergeCell ref="C154:C161"/>
    <mergeCell ref="K154:K161"/>
    <mergeCell ref="M154:M161"/>
    <mergeCell ref="N154:N161"/>
    <mergeCell ref="A145:A152"/>
    <mergeCell ref="B145:B152"/>
    <mergeCell ref="C145:C152"/>
    <mergeCell ref="K145:K152"/>
    <mergeCell ref="M145:M152"/>
    <mergeCell ref="N145:N152"/>
    <mergeCell ref="N136:N143"/>
    <mergeCell ref="B116:B121"/>
    <mergeCell ref="C116:C121"/>
    <mergeCell ref="K116:K121"/>
    <mergeCell ref="M116:M121"/>
    <mergeCell ref="N116:N121"/>
    <mergeCell ref="A136:A143"/>
    <mergeCell ref="B136:B143"/>
    <mergeCell ref="C136:C143"/>
    <mergeCell ref="A122:A129"/>
    <mergeCell ref="B122:B129"/>
    <mergeCell ref="C122:C129"/>
    <mergeCell ref="K122:K129"/>
    <mergeCell ref="M122:M129"/>
    <mergeCell ref="A116:A121"/>
    <mergeCell ref="K136:K143"/>
    <mergeCell ref="M136:M143"/>
    <mergeCell ref="N99:N106"/>
    <mergeCell ref="A108:A115"/>
    <mergeCell ref="B108:B115"/>
    <mergeCell ref="C108:C115"/>
    <mergeCell ref="K108:K115"/>
    <mergeCell ref="M108:M115"/>
    <mergeCell ref="N108:N115"/>
    <mergeCell ref="N122:N129"/>
    <mergeCell ref="A130:A135"/>
    <mergeCell ref="B130:B135"/>
    <mergeCell ref="C130:C135"/>
    <mergeCell ref="K130:K135"/>
    <mergeCell ref="M130:M135"/>
    <mergeCell ref="N130:N135"/>
    <mergeCell ref="A99:A106"/>
    <mergeCell ref="B99:B106"/>
    <mergeCell ref="C99:C106"/>
    <mergeCell ref="K99:K106"/>
    <mergeCell ref="M99:M106"/>
    <mergeCell ref="K93:K98"/>
    <mergeCell ref="M93:M98"/>
    <mergeCell ref="N93:N98"/>
    <mergeCell ref="A85:A92"/>
    <mergeCell ref="B85:B92"/>
    <mergeCell ref="C85:C92"/>
    <mergeCell ref="N52:N56"/>
    <mergeCell ref="K52:K56"/>
    <mergeCell ref="M52:M56"/>
    <mergeCell ref="K85:K92"/>
    <mergeCell ref="M85:M92"/>
    <mergeCell ref="N67:N75"/>
    <mergeCell ref="A67:A75"/>
    <mergeCell ref="B67:B75"/>
    <mergeCell ref="C67:C75"/>
    <mergeCell ref="K67:K75"/>
    <mergeCell ref="M67:M75"/>
    <mergeCell ref="O52:O56"/>
    <mergeCell ref="A57:A66"/>
    <mergeCell ref="B57:B66"/>
    <mergeCell ref="C57:C66"/>
    <mergeCell ref="K57:K66"/>
    <mergeCell ref="M57:M66"/>
    <mergeCell ref="N57:N66"/>
    <mergeCell ref="A52:A56"/>
    <mergeCell ref="B52:B56"/>
    <mergeCell ref="C52:C56"/>
    <mergeCell ref="O67:O75"/>
    <mergeCell ref="A76:A83"/>
    <mergeCell ref="B76:B83"/>
    <mergeCell ref="C76:C83"/>
    <mergeCell ref="K76:K83"/>
    <mergeCell ref="M76:M83"/>
    <mergeCell ref="N76:N83"/>
    <mergeCell ref="N85:N92"/>
    <mergeCell ref="O32:O36"/>
    <mergeCell ref="O37:O41"/>
    <mergeCell ref="N42:N46"/>
    <mergeCell ref="O42:O46"/>
    <mergeCell ref="A47:A51"/>
    <mergeCell ref="B47:B51"/>
    <mergeCell ref="C47:C51"/>
    <mergeCell ref="K47:K51"/>
    <mergeCell ref="M47:M51"/>
    <mergeCell ref="N47:N51"/>
    <mergeCell ref="O47:O51"/>
    <mergeCell ref="A42:A46"/>
    <mergeCell ref="A37:A41"/>
    <mergeCell ref="B37:B41"/>
    <mergeCell ref="C37:C41"/>
    <mergeCell ref="K37:K41"/>
    <mergeCell ref="M37:M41"/>
    <mergeCell ref="N37:N41"/>
    <mergeCell ref="B42:B46"/>
    <mergeCell ref="C42:C46"/>
    <mergeCell ref="K42:K46"/>
    <mergeCell ref="M42:M46"/>
    <mergeCell ref="A32:A36"/>
    <mergeCell ref="B32:B36"/>
    <mergeCell ref="K32:K36"/>
    <mergeCell ref="M32:M36"/>
    <mergeCell ref="N22:N26"/>
    <mergeCell ref="C22:C26"/>
    <mergeCell ref="K22:K26"/>
    <mergeCell ref="M22:M26"/>
    <mergeCell ref="N32:N36"/>
    <mergeCell ref="A27:A31"/>
    <mergeCell ref="B27:B31"/>
    <mergeCell ref="C27:C31"/>
    <mergeCell ref="K27:K31"/>
    <mergeCell ref="M27:M31"/>
    <mergeCell ref="N27:N31"/>
    <mergeCell ref="N2:N6"/>
    <mergeCell ref="O2:O6"/>
    <mergeCell ref="O7:O11"/>
    <mergeCell ref="N12:N16"/>
    <mergeCell ref="O12:O16"/>
    <mergeCell ref="A2:A6"/>
    <mergeCell ref="B2:B6"/>
    <mergeCell ref="C2:C6"/>
    <mergeCell ref="K2:K6"/>
    <mergeCell ref="M2:M6"/>
    <mergeCell ref="A7:A11"/>
    <mergeCell ref="B7:B11"/>
    <mergeCell ref="C7:C11"/>
    <mergeCell ref="K7:K11"/>
    <mergeCell ref="M7:M11"/>
    <mergeCell ref="N7:N11"/>
    <mergeCell ref="O186:O190"/>
    <mergeCell ref="O191:O195"/>
    <mergeCell ref="O196:O200"/>
    <mergeCell ref="O201:O205"/>
    <mergeCell ref="O206:O210"/>
    <mergeCell ref="O211:O215"/>
    <mergeCell ref="O216:O219"/>
    <mergeCell ref="A12:A16"/>
    <mergeCell ref="O22:O26"/>
    <mergeCell ref="B12:B16"/>
    <mergeCell ref="C12:C16"/>
    <mergeCell ref="K12:K16"/>
    <mergeCell ref="M12:M16"/>
    <mergeCell ref="O27:O31"/>
    <mergeCell ref="A22:A26"/>
    <mergeCell ref="B22:B26"/>
    <mergeCell ref="A17:A21"/>
    <mergeCell ref="B17:B21"/>
    <mergeCell ref="C17:C21"/>
    <mergeCell ref="K17:K21"/>
    <mergeCell ref="M17:M21"/>
    <mergeCell ref="N17:N21"/>
    <mergeCell ref="O17:O21"/>
    <mergeCell ref="C32:C36"/>
  </mergeCells>
  <hyperlinks>
    <hyperlink ref="C2" r:id="rId1" tooltip="Christianity" display="https://ck2.paradoxwikis.com/Christianity" xr:uid="{FCE7F9A9-4CD0-46E4-B969-6735F42662F2}"/>
    <hyperlink ref="K2" r:id="rId2" display="https://ck2.paradoxwikis.com/File:K_papal_state.png" xr:uid="{5CC93B46-0539-4E38-9547-C3161927698D}"/>
    <hyperlink ref="C7" r:id="rId3" tooltip="Christianity" display="https://ck2.paradoxwikis.com/Christianity" xr:uid="{EAFE88EF-CE3A-4DAF-A0B6-F016347C9E7E}"/>
    <hyperlink ref="K7" r:id="rId4" display="https://ck2.paradoxwikis.com/File:K_orthodox.png" xr:uid="{E1840515-8EEB-4C5D-A887-2364F70E2E7C}"/>
    <hyperlink ref="C12" r:id="rId5" tooltip="Christianity" display="https://ck2.paradoxwikis.com/Christianity" xr:uid="{60C9C32E-DBFE-4F5B-A425-02C13397625B}"/>
    <hyperlink ref="K12" r:id="rId6" display="https://ck2.paradoxwikis.com/File:D_miaphysite.png" xr:uid="{A5F72B54-A9EB-4D7F-94FE-F4E8AB7F456D}"/>
    <hyperlink ref="C17" r:id="rId7" tooltip="Christianity" display="https://ck2.paradoxwikis.com/Christianity" xr:uid="{A2B3448E-CEE2-4FC5-8B10-191D9AD15972}"/>
    <hyperlink ref="K17" r:id="rId8" display="https://ck2.paradoxwikis.com/File:D_nestorian.png" xr:uid="{50B41544-7837-472E-88DD-1A6C4277EE7F}"/>
    <hyperlink ref="C22" r:id="rId9" tooltip="Muslims" display="https://ck2.paradoxwikis.com/Muslims" xr:uid="{077AA862-A69C-4B4D-B75F-28F058BCE46B}"/>
    <hyperlink ref="K22" r:id="rId10" display="https://ck2.paradoxwikis.com/File:D_sunni.png" xr:uid="{31816F5B-A7B9-4C5D-BF17-8BA5D2209CC1}"/>
    <hyperlink ref="C27" r:id="rId11" tooltip="Muslims" display="https://ck2.paradoxwikis.com/Muslims" xr:uid="{C85B32BC-53C9-4D19-B72F-A47EDD7A4CCD}"/>
    <hyperlink ref="K27" r:id="rId12" display="https://ck2.paradoxwikis.com/File:D_shiite.png" xr:uid="{35DAA554-4A66-4733-8D88-B0CF1D75235B}"/>
    <hyperlink ref="C32" r:id="rId13" tooltip="Muslims" display="https://ck2.paradoxwikis.com/Muslims" xr:uid="{653D25E7-67C7-4932-82A1-BB8EF5821EC0}"/>
    <hyperlink ref="K32" r:id="rId14" display="https://ck2.paradoxwikis.com/File:D_ibadi.png" xr:uid="{1406453E-CAAB-44DF-B135-A74497119505}"/>
    <hyperlink ref="C37" r:id="rId15" tooltip="Judaism" display="https://ck2.paradoxwikis.com/Judaism" xr:uid="{64805488-C2C2-4AC4-9578-CCCFFEFC3DAF}"/>
    <hyperlink ref="K37" r:id="rId16" display="https://ck2.paradoxwikis.com/File:D_jewish.png" xr:uid="{BF3F88C7-66E6-4E78-A99E-A88B837C904F}"/>
    <hyperlink ref="C42" r:id="rId17" tooltip="Zoroastrian" display="https://ck2.paradoxwikis.com/Zoroastrian" xr:uid="{4715B03C-14F8-4012-A61A-D16A355390EF}"/>
    <hyperlink ref="K42" r:id="rId18" display="https://ck2.paradoxwikis.com/File:D_zoroastrian.png" xr:uid="{522D20E4-57F8-40D7-BE20-9C78746EA316}"/>
    <hyperlink ref="C47" r:id="rId19" tooltip="Eastern religions" display="https://ck2.paradoxwikis.com/Eastern_religions" xr:uid="{8ADFF62D-CC47-4DB9-861F-F6CBC9692EA8}"/>
    <hyperlink ref="C52" r:id="rId20" tooltip="Eastern religions" display="https://ck2.paradoxwikis.com/Eastern_religions" xr:uid="{F340CF84-9261-435D-AA10-147E782D6A21}"/>
    <hyperlink ref="C57" r:id="rId21" tooltip="Eastern religions" display="https://ck2.paradoxwikis.com/Eastern_religions" xr:uid="{CEF2D811-0649-4A9D-B635-EBBD1D479937}"/>
    <hyperlink ref="O57" r:id="rId22" location="Demesne_limit" tooltip="Demesne" display="https://ck2.paradoxwikis.com/Demesne - Demesne_limit" xr:uid="{17722E16-0DC1-4634-A7B4-B86AC767C1DD}"/>
    <hyperlink ref="O66" r:id="rId23" tooltip="Piety" display="https://ck2.paradoxwikis.com/Piety" xr:uid="{2D575B02-1E20-4550-AEBE-3D600EC01EB3}"/>
    <hyperlink ref="C67" r:id="rId24" tooltip="Eastern religions" display="https://ck2.paradoxwikis.com/Eastern_religions" xr:uid="{DC753ABE-739A-43EF-BF6E-CDAAA9F29469}"/>
    <hyperlink ref="C76" r:id="rId25" tooltip="Pagans" display="https://ck2.paradoxwikis.com/Pagans" xr:uid="{1B44119B-9F36-46D9-B166-4A4D8F3CE27C}"/>
    <hyperlink ref="C84" r:id="rId26" tooltip="Pagans" display="https://ck2.paradoxwikis.com/Pagans" xr:uid="{7D6FC76D-77EF-4D4D-AC40-E5806C7D6AF5}"/>
    <hyperlink ref="K84" r:id="rId27" display="https://ck2.paradoxwikis.com/File:D_norse_pagan_reformed.png" xr:uid="{5DFDBAE3-6B98-446D-901F-4854013C9570}"/>
    <hyperlink ref="C85" r:id="rId28" tooltip="Pagans" display="https://ck2.paradoxwikis.com/Pagans" xr:uid="{AAB1384A-57CB-4CCC-839F-FE6F74848783}"/>
    <hyperlink ref="C93" r:id="rId29" tooltip="Pagans" display="https://ck2.paradoxwikis.com/Pagans" xr:uid="{FA87743F-73DB-44B5-A6E5-3C352BDCD4E1}"/>
    <hyperlink ref="K93" r:id="rId30" display="https://ck2.paradoxwikis.com/File:D_slavic_pagan_reformed.png" xr:uid="{0E172642-3B05-46D9-9B49-E074711B81D7}"/>
    <hyperlink ref="C99" r:id="rId31" tooltip="Pagans" display="https://ck2.paradoxwikis.com/Pagans" xr:uid="{FD55565C-D106-422E-806A-1E9EB392B15A}"/>
    <hyperlink ref="C107" r:id="rId32" tooltip="Pagans" display="https://ck2.paradoxwikis.com/Pagans" xr:uid="{4BB2D1D1-7287-443B-BBBB-4ACCD08FF36F}"/>
    <hyperlink ref="K107" r:id="rId33" display="https://ck2.paradoxwikis.com/File:D_tengri_pagan_reformed.png" xr:uid="{FB360589-2046-4666-B285-5FC67593FA89}"/>
    <hyperlink ref="C108" r:id="rId34" tooltip="Pagans" display="https://ck2.paradoxwikis.com/Pagans" xr:uid="{FFD7028C-E50B-447F-AA35-2FB50FD10068}"/>
    <hyperlink ref="C116" r:id="rId35" tooltip="Pagans" display="https://ck2.paradoxwikis.com/Pagans" xr:uid="{9BDEFB98-23C1-41A8-842E-03E119E039BA}"/>
    <hyperlink ref="K116" r:id="rId36" display="https://ck2.paradoxwikis.com/File:D_baltic_pagan_reformed.png" xr:uid="{51A13C73-0BED-4FCF-8FB6-B3DDEC95E8DB}"/>
    <hyperlink ref="C122" r:id="rId37" tooltip="Pagans" display="https://ck2.paradoxwikis.com/Pagans" xr:uid="{B64B55FB-32A1-4044-9726-0B2C9DABC795}"/>
    <hyperlink ref="C130" r:id="rId38" tooltip="Pagans" display="https://ck2.paradoxwikis.com/Pagans" xr:uid="{F666FB0F-5F61-4592-8ACE-D03BE96B9E09}"/>
    <hyperlink ref="K130" r:id="rId39" display="https://ck2.paradoxwikis.com/File:D_finnish_pagan_reformed.png" xr:uid="{2B76AD31-A0B2-46FB-ACF8-AC3AE50067AD}"/>
    <hyperlink ref="C136" r:id="rId40" tooltip="Pagans" display="https://ck2.paradoxwikis.com/Pagans" xr:uid="{E9C8D1A8-AB1D-456C-8ADC-320476660EEE}"/>
    <hyperlink ref="C144" r:id="rId41" tooltip="Pagans" display="https://ck2.paradoxwikis.com/Pagans" xr:uid="{1A76A49C-5082-4C84-AD8F-919E61E33BFC}"/>
    <hyperlink ref="K144" r:id="rId42" display="https://ck2.paradoxwikis.com/File:D_west_african_pagan_reformed.png" xr:uid="{C52B029B-57A2-453B-8D40-2D6B9887C999}"/>
    <hyperlink ref="C145" r:id="rId43" tooltip="Pagans" display="https://ck2.paradoxwikis.com/Pagans" xr:uid="{3D6D3EEF-CCAA-450C-A306-EA4391D37AD6}"/>
    <hyperlink ref="C153" r:id="rId44" tooltip="Pagans" display="https://ck2.paradoxwikis.com/Pagans" xr:uid="{3817DDD1-84C5-41CD-925C-B93751ABDEE2}"/>
    <hyperlink ref="K153" r:id="rId45" display="https://ck2.paradoxwikis.com/File:D_aztec_reformed.png" xr:uid="{681A051F-9460-409A-952F-58381C058FD0}"/>
    <hyperlink ref="C154" r:id="rId46" tooltip="Pagans" display="https://ck2.paradoxwikis.com/Pagans" xr:uid="{50B594D5-8BD0-45A4-9653-063AEFB90955}"/>
    <hyperlink ref="C162" r:id="rId47" tooltip="Pagans" display="https://ck2.paradoxwikis.com/Pagans" xr:uid="{964F2625-3008-49CD-BA5D-0CB4108C68E4}"/>
    <hyperlink ref="K162" r:id="rId48" display="https://ck2.paradoxwikis.com/File:D_zun_pagan_reformed.png" xr:uid="{962F08AE-FC55-49AE-827E-417547A8E910}"/>
    <hyperlink ref="C163" r:id="rId49" tooltip="Pagans" display="https://ck2.paradoxwikis.com/Pagans" xr:uid="{89809B07-3D0F-4450-BB3B-DECD6F0EECF0}"/>
    <hyperlink ref="C171" r:id="rId50" tooltip="Pagans" display="https://ck2.paradoxwikis.com/Pagans" xr:uid="{F77F93AA-DBAB-4BD1-AAEC-0D7E90BCF97E}"/>
    <hyperlink ref="K171" r:id="rId51" display="https://ck2.paradoxwikis.com/File:D_bon_reformed.png" xr:uid="{B2151122-C5E5-44D6-9341-7963387B5B0D}"/>
    <hyperlink ref="C172" r:id="rId52" tooltip="Pagans" display="https://ck2.paradoxwikis.com/Pagans" xr:uid="{03DF8BDB-FA80-4BED-A09E-72B8D3995F63}"/>
    <hyperlink ref="C180" r:id="rId53" tooltip="Pagans" display="https://ck2.paradoxwikis.com/Pagans" xr:uid="{CD5F5CF8-75AB-44E0-A4BD-EE552CCACB90}"/>
    <hyperlink ref="K180" r:id="rId54" display="https://ck2.paradoxwikis.com/File:K_hellenic_pagan.png" xr:uid="{4A1E5EC6-302A-4437-B17C-344BAE364542}"/>
    <hyperlink ref="C181" r:id="rId55" tooltip="Pagans" display="https://ck2.paradoxwikis.com/Pagans" xr:uid="{E64ECC5F-D2CA-494B-9442-3083C87EC74B}"/>
    <hyperlink ref="M162" r:id="rId56" tooltip="Concubinage" display="https://ck2.paradoxwikis.com/Concubinage" xr:uid="{665F14BD-6495-43F5-89CE-22CCDE0342DE}"/>
    <hyperlink ref="M153" r:id="rId57" tooltip="Concubinage" display="https://ck2.paradoxwikis.com/Concubinage" xr:uid="{E16E4586-FEEE-49DD-AE21-3C4AC59A1CE2}"/>
    <hyperlink ref="M67" r:id="rId58" tooltip="Concubinage" display="https://ck2.paradoxwikis.com/Concubinage" xr:uid="{E4839DE4-6649-4B04-9EB2-9984F4DF3533}"/>
    <hyperlink ref="N57" r:id="rId59" location="Indian_Subjugation" tooltip="Casus Belli" display="https://ck2.paradoxwikis.com/Casus_Belli - Indian_Subjugation" xr:uid="{0C8A584A-7EAC-426F-AF80-98B9B201EF4A}"/>
    <hyperlink ref="M57" r:id="rId60" tooltip="Concubinage" display="https://ck2.paradoxwikis.com/Concubinage" xr:uid="{1623A8C3-44F1-4A4C-B04E-B67D112D4AB8}"/>
    <hyperlink ref="M52" r:id="rId61" tooltip="Concubinage" display="https://ck2.paradoxwikis.com/Concubinage" xr:uid="{CD56B822-6E95-4EC8-9943-84D92A9EECB6}"/>
    <hyperlink ref="O1" r:id="rId62" tooltip="Christianity" display="https://ck2.paradoxwikis.com/Christianity" xr:uid="{39DBF46D-8C3B-427A-9563-316E2BB24229}"/>
    <hyperlink ref="N186" r:id="rId63" location="Holy_War" tooltip="Casus Belli" display="https://ck2.paradoxwikis.com/Casus_Belli - Holy_War" xr:uid="{3D487EAB-2479-4533-87DF-3E9A0BA1C7AB}"/>
    <hyperlink ref="K187" r:id="rId64" display="https://ck2.paradoxwikis.com/File:D_fraticelli.png" xr:uid="{DC7DB75D-3A1F-4722-804E-99CD5BC9CDE3}"/>
    <hyperlink ref="N188" r:id="rId65" location="Holy_War" tooltip="Casus Belli" display="https://ck2.paradoxwikis.com/Casus_Belli - Holy_War" xr:uid="{5FC4762E-F21E-4294-82DA-584EEAA7A99C}"/>
    <hyperlink ref="N189" r:id="rId66" location="Holy_War" tooltip="Casus Belli" display="https://ck2.paradoxwikis.com/Casus_Belli - Holy_War" xr:uid="{9BCAFFEA-0D80-442F-925E-E759F6464333}"/>
    <hyperlink ref="K190" r:id="rId67" display="https://ck2.paradoxwikis.com/File:D_monophysite.png" xr:uid="{D511F3B1-0377-4B27-A0A3-AF2F9B8AF9C5}"/>
    <hyperlink ref="N191" r:id="rId68" location="Holy_War" tooltip="Casus Belli" display="https://ck2.paradoxwikis.com/Casus_Belli - Holy_War" xr:uid="{A1444D11-11F3-4228-917A-FCB85FA025DF}"/>
    <hyperlink ref="N192" r:id="rId69" location="Holy_War" tooltip="Casus Belli" display="https://ck2.paradoxwikis.com/Casus_Belli - Holy_War" xr:uid="{49B21B30-0358-4797-ABD1-3CD8FCB33D6D}"/>
    <hyperlink ref="K193" r:id="rId70" display="https://ck2.paradoxwikis.com/File:D_monothelite.png" xr:uid="{1B3CCA5B-5A9C-4CF0-8BE1-BC5FAFB5EE19}"/>
    <hyperlink ref="K194" r:id="rId71" display="https://ck2.paradoxwikis.com/File:D_iconoclast.png" xr:uid="{FC2E11F6-82A8-4362-950A-D92EB5C7DC68}"/>
    <hyperlink ref="K195" r:id="rId72" display="https://ck2.paradoxwikis.com/File:D_paulician.png" xr:uid="{377CE95F-242C-4B9A-A58D-6150EB1B9266}"/>
    <hyperlink ref="K197" r:id="rId73" display="https://ck2.paradoxwikis.com/File:D_yazidi.png" xr:uid="{D04F98C8-0539-4633-8A0B-A1A020847364}"/>
    <hyperlink ref="K199" r:id="rId74" display="https://ck2.paradoxwikis.com/File:D_kharijite.png" xr:uid="{E2781CB5-D34D-4ED2-8659-B98FBDF6A95B}"/>
    <hyperlink ref="K200" r:id="rId75" display="https://ck2.paradoxwikis.com/File:D_qarmatian.png" xr:uid="{C1F11509-B30B-4324-958E-E4D478230D11}"/>
    <hyperlink ref="K202" r:id="rId76" display="https://ck2.paradoxwikis.com/File:D_hurufi.png" xr:uid="{149EAC82-2788-4ED6-B282-692EEC59C6AF}"/>
    <hyperlink ref="N203" r:id="rId77" location="Holy_War" tooltip="Casus Belli" display="https://ck2.paradoxwikis.com/Casus_Belli - Holy_War" xr:uid="{069B994F-E79F-4FB8-A764-B8654086253C}"/>
    <hyperlink ref="K204" r:id="rId78" display="https://ck2.paradoxwikis.com/File:D_army_light.png" xr:uid="{9EC29FC0-133D-4175-ABBF-022E697C1387}"/>
    <hyperlink ref="M205" r:id="rId79" tooltip="Holy orders" display="https://ck2.paradoxwikis.com/Holy_orders" xr:uid="{D8BE0E36-3D75-4F1B-B78D-8EE16F6ABF88}"/>
    <hyperlink ref="N207" r:id="rId80" location="Holy_War" tooltip="Casus Belli" display="https://ck2.paradoxwikis.com/Casus_Belli - Holy_War" xr:uid="{9C64631B-228E-4E90-BE94-73CBE44F4B86}"/>
    <hyperlink ref="N208" r:id="rId81" location="Holy_War" tooltip="Casus Belli" display="https://ck2.paradoxwikis.com/Casus_Belli - Holy_War" xr:uid="{CC821BE1-892F-485B-85C0-06C7AAFF1F11}"/>
    <hyperlink ref="N209" r:id="rId82" location="Holy_War" tooltip="Casus Belli" display="https://ck2.paradoxwikis.com/Casus_Belli - Holy_War" xr:uid="{C0DC2C9C-6299-43FB-9FA4-3724D6AB18AB}"/>
    <hyperlink ref="G42" r:id="rId83" tooltip="Zoroastrian" display="https://ck2.paradoxwikis.com/Zoroastrian" xr:uid="{F3E431C9-25B8-4A12-B050-D4D0452C64DB}"/>
    <hyperlink ref="G47" r:id="rId84" tooltip="Eastern religions" display="https://ck2.paradoxwikis.com/Eastern_religions" xr:uid="{C99DA01B-1533-427D-AB69-076EA3AC34D4}"/>
    <hyperlink ref="G52" r:id="rId85" tooltip="Eastern religions" display="https://ck2.paradoxwikis.com/Eastern_religions" xr:uid="{C07B0463-F114-4CD7-9AC1-8155CAC828C5}"/>
    <hyperlink ref="G57" r:id="rId86" tooltip="Eastern religions" display="https://ck2.paradoxwikis.com/Eastern_religions" xr:uid="{53DC682A-2EC6-49C1-BF1A-7E8D479047DD}"/>
    <hyperlink ref="G67" r:id="rId87" tooltip="Eastern religions" display="https://ck2.paradoxwikis.com/Eastern_religions" xr:uid="{36F8CDC5-0FB8-4886-A3B3-943DEB2EB17F}"/>
  </hyperlinks>
  <pageMargins left="0.7" right="0.7" top="0.75" bottom="0.75" header="0.3" footer="0.3"/>
  <pageSetup orientation="portrait" horizontalDpi="0" verticalDpi="0" r:id="rId88"/>
  <drawing r:id="rId89"/>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59D3A1-E93E-4A0A-BE63-371A725584F2}">
  <dimension ref="A1:Q53"/>
  <sheetViews>
    <sheetView workbookViewId="0">
      <selection activeCell="A2" sqref="A2:A53"/>
    </sheetView>
  </sheetViews>
  <sheetFormatPr defaultRowHeight="14.35" x14ac:dyDescent="0.5"/>
  <sheetData>
    <row r="1" spans="1:17" x14ac:dyDescent="0.5">
      <c r="A1" t="s">
        <v>117</v>
      </c>
      <c r="B1" t="s">
        <v>117</v>
      </c>
    </row>
    <row r="2" spans="1:17" x14ac:dyDescent="0.5">
      <c r="A2" t="s">
        <v>8468</v>
      </c>
      <c r="B2">
        <v>1</v>
      </c>
      <c r="C2" t="s">
        <v>49</v>
      </c>
      <c r="D2" t="s">
        <v>105</v>
      </c>
      <c r="E2" t="str">
        <f t="shared" ref="E2:E27" si="0">C2&amp;"_desc;;;;;;;;;;;;;;x"</f>
        <v>catholic_desc;;;;;;;;;;;;;;x</v>
      </c>
      <c r="Q2" t="s">
        <v>117</v>
      </c>
    </row>
    <row r="3" spans="1:17" x14ac:dyDescent="0.5">
      <c r="A3" t="s">
        <v>8503</v>
      </c>
      <c r="B3">
        <v>1</v>
      </c>
      <c r="C3" t="s">
        <v>61</v>
      </c>
      <c r="D3" t="s">
        <v>104</v>
      </c>
      <c r="E3" t="str">
        <f t="shared" si="0"/>
        <v>orthodox_desc;;;;;;;;;;;;;;x</v>
      </c>
      <c r="Q3" t="s">
        <v>117</v>
      </c>
    </row>
    <row r="4" spans="1:17" x14ac:dyDescent="0.5">
      <c r="A4" t="s">
        <v>8469</v>
      </c>
      <c r="B4">
        <v>2</v>
      </c>
      <c r="C4" t="s">
        <v>63</v>
      </c>
      <c r="D4" t="s">
        <v>88</v>
      </c>
      <c r="E4" t="str">
        <f t="shared" si="0"/>
        <v>sunni_desc;;;;;;;;;;;;;;x</v>
      </c>
      <c r="Q4" t="s">
        <v>117</v>
      </c>
    </row>
    <row r="5" spans="1:17" x14ac:dyDescent="0.5">
      <c r="A5" t="s">
        <v>8504</v>
      </c>
      <c r="B5">
        <v>2</v>
      </c>
      <c r="C5" t="s">
        <v>71</v>
      </c>
      <c r="D5" t="s">
        <v>1964</v>
      </c>
      <c r="E5" t="str">
        <f t="shared" si="0"/>
        <v>zoroastrian_desc;;;;;;;;;;;;;;x</v>
      </c>
      <c r="Q5" t="s">
        <v>117</v>
      </c>
    </row>
    <row r="6" spans="1:17" x14ac:dyDescent="0.5">
      <c r="A6" t="s">
        <v>8470</v>
      </c>
      <c r="B6">
        <v>3</v>
      </c>
      <c r="C6" t="s">
        <v>66</v>
      </c>
      <c r="D6" t="s">
        <v>6991</v>
      </c>
      <c r="E6" t="str">
        <f t="shared" si="0"/>
        <v>norse_pagan_desc;;;;;;;;;;;;;;x</v>
      </c>
      <c r="Q6" t="s">
        <v>117</v>
      </c>
    </row>
    <row r="7" spans="1:17" x14ac:dyDescent="0.5">
      <c r="A7" t="s">
        <v>8505</v>
      </c>
      <c r="B7">
        <v>3</v>
      </c>
      <c r="C7" t="s">
        <v>7490</v>
      </c>
      <c r="D7" t="s">
        <v>6991</v>
      </c>
      <c r="E7" t="str">
        <f t="shared" si="0"/>
        <v>norse_pagan_reformed_desc;;;;;;;;;;;;;;x</v>
      </c>
      <c r="Q7" t="s">
        <v>117</v>
      </c>
    </row>
    <row r="8" spans="1:17" x14ac:dyDescent="0.5">
      <c r="A8" t="s">
        <v>8471</v>
      </c>
      <c r="B8">
        <v>4</v>
      </c>
      <c r="C8" t="s">
        <v>72</v>
      </c>
      <c r="D8" t="s">
        <v>6990</v>
      </c>
      <c r="E8" t="str">
        <f t="shared" si="0"/>
        <v>west_african_pagan_desc;;;;;;;;;;;;;;x</v>
      </c>
      <c r="Q8" t="s">
        <v>117</v>
      </c>
    </row>
    <row r="9" spans="1:17" x14ac:dyDescent="0.5">
      <c r="A9" t="s">
        <v>8506</v>
      </c>
      <c r="B9">
        <v>4</v>
      </c>
      <c r="C9" t="s">
        <v>7491</v>
      </c>
      <c r="D9" t="s">
        <v>6990</v>
      </c>
      <c r="E9" t="str">
        <f t="shared" si="0"/>
        <v>west_african_pagan_reformed_desc;;;;;;;;;;;;;;x</v>
      </c>
      <c r="Q9" t="s">
        <v>117</v>
      </c>
    </row>
    <row r="10" spans="1:17" x14ac:dyDescent="0.5">
      <c r="A10" t="s">
        <v>8472</v>
      </c>
      <c r="B10">
        <v>5</v>
      </c>
      <c r="C10" t="s">
        <v>75</v>
      </c>
      <c r="D10" t="s">
        <v>7760</v>
      </c>
      <c r="E10" t="str">
        <f t="shared" si="0"/>
        <v>aztec_desc;;;;;;;;;;;;;;x</v>
      </c>
      <c r="Q10" t="s">
        <v>117</v>
      </c>
    </row>
    <row r="11" spans="1:17" x14ac:dyDescent="0.5">
      <c r="A11" t="s">
        <v>8507</v>
      </c>
      <c r="B11">
        <v>5</v>
      </c>
      <c r="C11" t="s">
        <v>7492</v>
      </c>
      <c r="D11" t="s">
        <v>7760</v>
      </c>
      <c r="E11" t="str">
        <f t="shared" si="0"/>
        <v>aztec_reformed_desc;;;;;;;;;;;;;;x</v>
      </c>
      <c r="Q11" t="s">
        <v>117</v>
      </c>
    </row>
    <row r="12" spans="1:17" x14ac:dyDescent="0.5">
      <c r="A12" t="s">
        <v>8473</v>
      </c>
      <c r="B12">
        <v>6</v>
      </c>
      <c r="C12" t="s">
        <v>70</v>
      </c>
      <c r="D12" t="s">
        <v>6993</v>
      </c>
      <c r="E12" t="str">
        <f t="shared" si="0"/>
        <v>zun_pagan_desc;;;;;;;;;;;;;;x</v>
      </c>
      <c r="Q12" t="s">
        <v>117</v>
      </c>
    </row>
    <row r="13" spans="1:17" x14ac:dyDescent="0.5">
      <c r="A13" t="s">
        <v>8508</v>
      </c>
      <c r="B13">
        <v>6</v>
      </c>
      <c r="C13" t="s">
        <v>7493</v>
      </c>
      <c r="D13" t="s">
        <v>6993</v>
      </c>
      <c r="E13" t="str">
        <f t="shared" si="0"/>
        <v>zun_pagan_reformed_desc;;;;;;;;;;;;;;x</v>
      </c>
      <c r="Q13" t="s">
        <v>117</v>
      </c>
    </row>
    <row r="14" spans="1:17" x14ac:dyDescent="0.5">
      <c r="A14" t="s">
        <v>8474</v>
      </c>
      <c r="B14">
        <v>7</v>
      </c>
      <c r="C14" t="s">
        <v>65</v>
      </c>
      <c r="D14" t="s">
        <v>7033</v>
      </c>
      <c r="E14" t="str">
        <f t="shared" si="0"/>
        <v>bon_desc;;;;;;;;;;;;;;x</v>
      </c>
      <c r="Q14" t="s">
        <v>117</v>
      </c>
    </row>
    <row r="15" spans="1:17" x14ac:dyDescent="0.5">
      <c r="A15" t="s">
        <v>8509</v>
      </c>
      <c r="B15">
        <v>7</v>
      </c>
      <c r="C15" t="s">
        <v>7494</v>
      </c>
      <c r="D15" t="s">
        <v>7033</v>
      </c>
      <c r="E15" t="str">
        <f t="shared" si="0"/>
        <v>bon_reformed_desc;;;;;;;;;;;;;;x</v>
      </c>
      <c r="Q15" t="s">
        <v>117</v>
      </c>
    </row>
    <row r="16" spans="1:17" x14ac:dyDescent="0.5">
      <c r="A16" t="s">
        <v>8475</v>
      </c>
      <c r="B16">
        <v>8</v>
      </c>
      <c r="C16" t="s">
        <v>7192</v>
      </c>
      <c r="D16" t="s">
        <v>7034</v>
      </c>
      <c r="E16" t="str">
        <f t="shared" si="0"/>
        <v>messalian_desc;;;;;;;;;;;;;;x</v>
      </c>
      <c r="Q16" t="s">
        <v>117</v>
      </c>
    </row>
    <row r="17" spans="1:17" x14ac:dyDescent="0.5">
      <c r="A17" t="s">
        <v>8510</v>
      </c>
      <c r="B17">
        <v>8</v>
      </c>
      <c r="C17" t="s">
        <v>8493</v>
      </c>
      <c r="D17" t="s">
        <v>4296</v>
      </c>
      <c r="E17" t="str">
        <f t="shared" si="0"/>
        <v>manichaean_desc;;;;;;;;;;;;;;x</v>
      </c>
      <c r="Q17" t="s">
        <v>117</v>
      </c>
    </row>
    <row r="18" spans="1:17" x14ac:dyDescent="0.5">
      <c r="A18" t="s">
        <v>8476</v>
      </c>
      <c r="B18">
        <v>9</v>
      </c>
      <c r="C18" t="s">
        <v>67</v>
      </c>
      <c r="D18" t="s">
        <v>7505</v>
      </c>
      <c r="E18" t="str">
        <f t="shared" si="0"/>
        <v>tengri_pagan_desc;;;;;;;;;;;;;;x</v>
      </c>
      <c r="Q18" t="s">
        <v>117</v>
      </c>
    </row>
    <row r="19" spans="1:17" x14ac:dyDescent="0.5">
      <c r="A19" t="s">
        <v>8511</v>
      </c>
      <c r="B19">
        <v>9</v>
      </c>
      <c r="C19" t="s">
        <v>66</v>
      </c>
      <c r="D19" t="s">
        <v>6991</v>
      </c>
      <c r="E19" t="str">
        <f t="shared" si="0"/>
        <v>norse_pagan_desc;;;;;;;;;;;;;;x</v>
      </c>
      <c r="Q19" t="s">
        <v>117</v>
      </c>
    </row>
    <row r="20" spans="1:17" x14ac:dyDescent="0.5">
      <c r="A20" t="s">
        <v>8477</v>
      </c>
      <c r="B20">
        <v>10</v>
      </c>
      <c r="C20" t="s">
        <v>26</v>
      </c>
      <c r="D20" t="s">
        <v>89</v>
      </c>
      <c r="E20" t="str">
        <f t="shared" si="0"/>
        <v>christian_desc;;;;;;;;;;;;;;x</v>
      </c>
      <c r="Q20" t="s">
        <v>117</v>
      </c>
    </row>
    <row r="21" spans="1:17" x14ac:dyDescent="0.5">
      <c r="A21" t="s">
        <v>8512</v>
      </c>
      <c r="B21">
        <v>10</v>
      </c>
      <c r="C21" t="s">
        <v>26</v>
      </c>
      <c r="D21" t="s">
        <v>6968</v>
      </c>
      <c r="E21" t="str">
        <f t="shared" si="0"/>
        <v>christian_desc;;;;;;;;;;;;;;x</v>
      </c>
      <c r="Q21" t="s">
        <v>117</v>
      </c>
    </row>
    <row r="22" spans="1:17" x14ac:dyDescent="0.5">
      <c r="A22" t="s">
        <v>8478</v>
      </c>
      <c r="B22">
        <v>11</v>
      </c>
      <c r="C22" t="s">
        <v>7025</v>
      </c>
      <c r="D22" t="s">
        <v>6832</v>
      </c>
      <c r="E22" t="str">
        <f t="shared" si="0"/>
        <v>mazdan_desc;;;;;;;;;;;;;;x</v>
      </c>
      <c r="Q22" t="s">
        <v>117</v>
      </c>
    </row>
    <row r="23" spans="1:17" x14ac:dyDescent="0.5">
      <c r="A23" t="s">
        <v>8513</v>
      </c>
      <c r="B23">
        <v>11</v>
      </c>
      <c r="C23" t="s">
        <v>76</v>
      </c>
      <c r="D23" t="s">
        <v>8494</v>
      </c>
      <c r="E23" t="str">
        <f t="shared" si="0"/>
        <v>pagan_desc;;;;;;;;;;;;;;x</v>
      </c>
      <c r="Q23" t="s">
        <v>117</v>
      </c>
    </row>
    <row r="24" spans="1:17" x14ac:dyDescent="0.5">
      <c r="A24" t="s">
        <v>8479</v>
      </c>
      <c r="B24">
        <v>12</v>
      </c>
      <c r="C24" t="s">
        <v>7495</v>
      </c>
      <c r="D24" t="s">
        <v>89</v>
      </c>
      <c r="E24" t="str">
        <f t="shared" si="0"/>
        <v>christianity_desc;;;;;;;;;;;;;;x</v>
      </c>
      <c r="Q24" t="s">
        <v>117</v>
      </c>
    </row>
    <row r="25" spans="1:17" x14ac:dyDescent="0.5">
      <c r="A25" t="s">
        <v>8514</v>
      </c>
      <c r="B25">
        <v>12</v>
      </c>
      <c r="C25" t="s">
        <v>7506</v>
      </c>
      <c r="D25" t="s">
        <v>7507</v>
      </c>
      <c r="E25" t="str">
        <f t="shared" si="0"/>
        <v>fraticelli_desc;;;;;;;;;;;;;;x</v>
      </c>
      <c r="Q25" t="s">
        <v>117</v>
      </c>
    </row>
    <row r="26" spans="1:17" x14ac:dyDescent="0.5">
      <c r="A26" t="s">
        <v>8480</v>
      </c>
      <c r="B26">
        <v>13</v>
      </c>
      <c r="C26" t="s">
        <v>2077</v>
      </c>
      <c r="D26" t="s">
        <v>8466</v>
      </c>
      <c r="E26" t="str">
        <f t="shared" si="0"/>
        <v>Miaphysite_desc;;;;;;;;;;;;;;x</v>
      </c>
      <c r="Q26" t="s">
        <v>117</v>
      </c>
    </row>
    <row r="27" spans="1:17" x14ac:dyDescent="0.5">
      <c r="A27" t="s">
        <v>8515</v>
      </c>
      <c r="B27">
        <v>13</v>
      </c>
      <c r="C27" t="s">
        <v>6872</v>
      </c>
      <c r="D27" t="s">
        <v>8495</v>
      </c>
      <c r="E27" t="str">
        <f t="shared" si="0"/>
        <v>Monophysite_desc;;;;;;;;;;;;;;x</v>
      </c>
      <c r="Q27" t="s">
        <v>117</v>
      </c>
    </row>
    <row r="28" spans="1:17" x14ac:dyDescent="0.5">
      <c r="A28" t="s">
        <v>8481</v>
      </c>
      <c r="B28">
        <v>14</v>
      </c>
      <c r="Q28" t="s">
        <v>117</v>
      </c>
    </row>
    <row r="29" spans="1:17" x14ac:dyDescent="0.5">
      <c r="A29" t="s">
        <v>8516</v>
      </c>
      <c r="B29">
        <v>14</v>
      </c>
      <c r="Q29" t="s">
        <v>117</v>
      </c>
    </row>
    <row r="30" spans="1:17" x14ac:dyDescent="0.5">
      <c r="A30" t="s">
        <v>8482</v>
      </c>
      <c r="B30">
        <v>15</v>
      </c>
      <c r="Q30" t="s">
        <v>117</v>
      </c>
    </row>
    <row r="31" spans="1:17" x14ac:dyDescent="0.5">
      <c r="A31" t="s">
        <v>8517</v>
      </c>
      <c r="B31">
        <v>15</v>
      </c>
      <c r="Q31" t="s">
        <v>117</v>
      </c>
    </row>
    <row r="32" spans="1:17" x14ac:dyDescent="0.5">
      <c r="A32" t="s">
        <v>8483</v>
      </c>
      <c r="B32">
        <v>16</v>
      </c>
      <c r="Q32" t="s">
        <v>117</v>
      </c>
    </row>
    <row r="33" spans="1:17" x14ac:dyDescent="0.5">
      <c r="A33" t="s">
        <v>8518</v>
      </c>
      <c r="B33">
        <v>16</v>
      </c>
      <c r="Q33" t="s">
        <v>117</v>
      </c>
    </row>
    <row r="34" spans="1:17" x14ac:dyDescent="0.5">
      <c r="A34" t="s">
        <v>8484</v>
      </c>
      <c r="B34">
        <v>17</v>
      </c>
      <c r="Q34" t="s">
        <v>117</v>
      </c>
    </row>
    <row r="35" spans="1:17" x14ac:dyDescent="0.5">
      <c r="A35" t="s">
        <v>8519</v>
      </c>
      <c r="B35">
        <v>17</v>
      </c>
      <c r="Q35" t="s">
        <v>117</v>
      </c>
    </row>
    <row r="36" spans="1:17" x14ac:dyDescent="0.5">
      <c r="A36" t="s">
        <v>8472</v>
      </c>
      <c r="B36">
        <v>18</v>
      </c>
      <c r="Q36" t="s">
        <v>117</v>
      </c>
    </row>
    <row r="37" spans="1:17" x14ac:dyDescent="0.5">
      <c r="A37" t="s">
        <v>8507</v>
      </c>
      <c r="B37">
        <v>18</v>
      </c>
      <c r="Q37" t="s">
        <v>117</v>
      </c>
    </row>
    <row r="38" spans="1:17" x14ac:dyDescent="0.5">
      <c r="A38" t="s">
        <v>8485</v>
      </c>
      <c r="B38">
        <v>19</v>
      </c>
      <c r="Q38" t="s">
        <v>117</v>
      </c>
    </row>
    <row r="39" spans="1:17" x14ac:dyDescent="0.5">
      <c r="A39" t="s">
        <v>8496</v>
      </c>
      <c r="B39">
        <v>19</v>
      </c>
      <c r="Q39" t="s">
        <v>117</v>
      </c>
    </row>
    <row r="40" spans="1:17" x14ac:dyDescent="0.5">
      <c r="A40" t="s">
        <v>8486</v>
      </c>
      <c r="B40">
        <v>20</v>
      </c>
      <c r="Q40" t="s">
        <v>117</v>
      </c>
    </row>
    <row r="41" spans="1:17" x14ac:dyDescent="0.5">
      <c r="A41" t="s">
        <v>8496</v>
      </c>
      <c r="B41">
        <v>20</v>
      </c>
      <c r="Q41" t="s">
        <v>117</v>
      </c>
    </row>
    <row r="42" spans="1:17" x14ac:dyDescent="0.5">
      <c r="A42" t="s">
        <v>8487</v>
      </c>
      <c r="B42">
        <v>21</v>
      </c>
      <c r="Q42" t="s">
        <v>117</v>
      </c>
    </row>
    <row r="43" spans="1:17" x14ac:dyDescent="0.5">
      <c r="A43" t="s">
        <v>8497</v>
      </c>
      <c r="B43">
        <v>21</v>
      </c>
      <c r="Q43" t="s">
        <v>117</v>
      </c>
    </row>
    <row r="44" spans="1:17" x14ac:dyDescent="0.5">
      <c r="A44" t="s">
        <v>8488</v>
      </c>
      <c r="B44">
        <v>22</v>
      </c>
      <c r="Q44" t="s">
        <v>117</v>
      </c>
    </row>
    <row r="45" spans="1:17" x14ac:dyDescent="0.5">
      <c r="A45" t="s">
        <v>8498</v>
      </c>
      <c r="B45">
        <v>22</v>
      </c>
      <c r="Q45" t="s">
        <v>117</v>
      </c>
    </row>
    <row r="46" spans="1:17" x14ac:dyDescent="0.5">
      <c r="A46" t="s">
        <v>8489</v>
      </c>
      <c r="B46">
        <v>23</v>
      </c>
      <c r="Q46" t="s">
        <v>117</v>
      </c>
    </row>
    <row r="47" spans="1:17" x14ac:dyDescent="0.5">
      <c r="A47" t="s">
        <v>8499</v>
      </c>
      <c r="B47">
        <v>23</v>
      </c>
      <c r="Q47" t="s">
        <v>117</v>
      </c>
    </row>
    <row r="48" spans="1:17" x14ac:dyDescent="0.5">
      <c r="A48" t="s">
        <v>8490</v>
      </c>
      <c r="B48">
        <v>24</v>
      </c>
      <c r="Q48" t="s">
        <v>117</v>
      </c>
    </row>
    <row r="49" spans="1:17" x14ac:dyDescent="0.5">
      <c r="A49" t="s">
        <v>8500</v>
      </c>
      <c r="B49">
        <v>24</v>
      </c>
      <c r="Q49" t="s">
        <v>117</v>
      </c>
    </row>
    <row r="50" spans="1:17" x14ac:dyDescent="0.5">
      <c r="A50" t="s">
        <v>8491</v>
      </c>
      <c r="B50">
        <v>25</v>
      </c>
      <c r="Q50" t="s">
        <v>117</v>
      </c>
    </row>
    <row r="51" spans="1:17" x14ac:dyDescent="0.5">
      <c r="A51" t="s">
        <v>8501</v>
      </c>
      <c r="B51">
        <v>25</v>
      </c>
      <c r="Q51" t="s">
        <v>117</v>
      </c>
    </row>
    <row r="52" spans="1:17" x14ac:dyDescent="0.5">
      <c r="A52" t="s">
        <v>8492</v>
      </c>
      <c r="B52">
        <v>26</v>
      </c>
      <c r="Q52" t="s">
        <v>117</v>
      </c>
    </row>
    <row r="53" spans="1:17" x14ac:dyDescent="0.5">
      <c r="A53" t="s">
        <v>8502</v>
      </c>
      <c r="B53">
        <v>26</v>
      </c>
      <c r="Q53" t="s">
        <v>117</v>
      </c>
    </row>
  </sheetData>
  <autoFilter ref="A1:B53" xr:uid="{A759D3A1-E93E-4A0A-BE63-371A725584F2}">
    <sortState xmlns:xlrd2="http://schemas.microsoft.com/office/spreadsheetml/2017/richdata2" ref="A2:B53">
      <sortCondition ref="B1:B53"/>
    </sortState>
  </autoFilter>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E4432F-6358-411F-A96D-FD1EEF206256}">
  <dimension ref="A1:B4"/>
  <sheetViews>
    <sheetView workbookViewId="0">
      <selection activeCell="A5" sqref="A5"/>
    </sheetView>
  </sheetViews>
  <sheetFormatPr defaultRowHeight="14.35" x14ac:dyDescent="0.5"/>
  <sheetData>
    <row r="1" spans="1:2" x14ac:dyDescent="0.5">
      <c r="A1" t="s">
        <v>7496</v>
      </c>
      <c r="B1" t="s">
        <v>7497</v>
      </c>
    </row>
    <row r="2" spans="1:2" x14ac:dyDescent="0.5">
      <c r="A2" t="s">
        <v>7498</v>
      </c>
      <c r="B2" t="s">
        <v>7500</v>
      </c>
    </row>
    <row r="3" spans="1:2" x14ac:dyDescent="0.5">
      <c r="A3" t="s">
        <v>7499</v>
      </c>
      <c r="B3" t="s">
        <v>7500</v>
      </c>
    </row>
    <row r="4" spans="1:2" x14ac:dyDescent="0.5">
      <c r="A4" t="s">
        <v>7501</v>
      </c>
      <c r="B4" t="s">
        <v>7502</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418A19-D056-4990-9A88-EA4A08C45505}">
  <sheetPr codeName="Sheet5"/>
  <dimension ref="A1:K66"/>
  <sheetViews>
    <sheetView zoomScaleNormal="100" workbookViewId="0">
      <selection activeCell="B9" sqref="B9"/>
    </sheetView>
  </sheetViews>
  <sheetFormatPr defaultRowHeight="14.35" x14ac:dyDescent="0.5"/>
  <cols>
    <col min="1" max="1" width="19.41015625" bestFit="1" customWidth="1"/>
    <col min="2" max="2" width="17" bestFit="1" customWidth="1"/>
    <col min="3" max="4" width="17" customWidth="1"/>
    <col min="5" max="5" width="20.52734375" bestFit="1" customWidth="1"/>
    <col min="6" max="6" width="20.52734375" customWidth="1"/>
    <col min="10" max="10" width="9.1171875" customWidth="1"/>
    <col min="11" max="11" width="11" bestFit="1" customWidth="1"/>
  </cols>
  <sheetData>
    <row r="1" spans="1:11" x14ac:dyDescent="0.5">
      <c r="A1" s="24" t="s">
        <v>203</v>
      </c>
      <c r="B1" s="24" t="s">
        <v>190</v>
      </c>
      <c r="C1" s="24" t="s">
        <v>4568</v>
      </c>
      <c r="D1" s="24" t="s">
        <v>4570</v>
      </c>
      <c r="E1" s="24" t="s">
        <v>4567</v>
      </c>
      <c r="F1" s="24" t="s">
        <v>4571</v>
      </c>
      <c r="G1" s="24" t="s">
        <v>54</v>
      </c>
      <c r="H1" s="24" t="s">
        <v>55</v>
      </c>
      <c r="I1" s="24" t="s">
        <v>56</v>
      </c>
      <c r="J1" s="24" t="s">
        <v>223</v>
      </c>
      <c r="K1" s="26" t="s">
        <v>6751</v>
      </c>
    </row>
    <row r="2" spans="1:11" x14ac:dyDescent="0.5">
      <c r="A2" s="1" t="s">
        <v>221</v>
      </c>
      <c r="B2" s="1" t="s">
        <v>169</v>
      </c>
      <c r="C2" s="1"/>
      <c r="D2" s="1"/>
      <c r="E2" s="1" t="s">
        <v>191</v>
      </c>
      <c r="F2" s="29" t="s">
        <v>218</v>
      </c>
      <c r="G2" s="1">
        <v>142</v>
      </c>
      <c r="H2" s="1">
        <v>91</v>
      </c>
      <c r="I2" s="1">
        <v>209</v>
      </c>
      <c r="J2" s="1" t="s">
        <v>117</v>
      </c>
      <c r="K2" t="str">
        <f>G2&amp;", "&amp;H2&amp;", "&amp;I2</f>
        <v>142, 91, 209</v>
      </c>
    </row>
    <row r="3" spans="1:11" x14ac:dyDescent="0.5">
      <c r="A3" s="1" t="s">
        <v>221</v>
      </c>
      <c r="B3" s="1" t="s">
        <v>170</v>
      </c>
      <c r="C3" s="1"/>
      <c r="D3" s="1"/>
      <c r="E3" s="1" t="s">
        <v>191</v>
      </c>
      <c r="F3" s="29" t="s">
        <v>192</v>
      </c>
      <c r="G3" s="1">
        <v>142</v>
      </c>
      <c r="H3" s="1">
        <v>37</v>
      </c>
      <c r="I3" s="1">
        <v>209</v>
      </c>
      <c r="J3" s="1" t="s">
        <v>117</v>
      </c>
      <c r="K3" t="str">
        <f t="shared" ref="K3:K66" si="0">G3&amp;", "&amp;H3&amp;", "&amp;I3</f>
        <v>142, 37, 209</v>
      </c>
    </row>
    <row r="4" spans="1:11" x14ac:dyDescent="0.5">
      <c r="A4" s="1" t="s">
        <v>221</v>
      </c>
      <c r="B4" s="1" t="s">
        <v>171</v>
      </c>
      <c r="C4" s="1"/>
      <c r="D4" s="1"/>
      <c r="E4" s="1" t="s">
        <v>191</v>
      </c>
      <c r="F4" s="29" t="s">
        <v>188</v>
      </c>
      <c r="G4" s="1">
        <v>142</v>
      </c>
      <c r="H4" s="1">
        <v>0</v>
      </c>
      <c r="I4" s="1">
        <v>209</v>
      </c>
      <c r="J4" s="1" t="s">
        <v>117</v>
      </c>
      <c r="K4" t="str">
        <f t="shared" si="0"/>
        <v>142, 0, 209</v>
      </c>
    </row>
    <row r="5" spans="1:11" x14ac:dyDescent="0.5">
      <c r="A5" s="1" t="s">
        <v>220</v>
      </c>
      <c r="B5" s="1" t="s">
        <v>164</v>
      </c>
      <c r="C5" s="1"/>
      <c r="D5" s="1"/>
      <c r="E5" s="1" t="s">
        <v>191</v>
      </c>
      <c r="F5" s="29" t="s">
        <v>193</v>
      </c>
      <c r="G5" s="1">
        <v>255</v>
      </c>
      <c r="H5" s="1">
        <v>214</v>
      </c>
      <c r="I5" s="1">
        <v>236</v>
      </c>
      <c r="J5" s="1" t="s">
        <v>117</v>
      </c>
      <c r="K5" t="str">
        <f t="shared" si="0"/>
        <v>255, 214, 236</v>
      </c>
    </row>
    <row r="6" spans="1:11" x14ac:dyDescent="0.5">
      <c r="A6" s="1" t="s">
        <v>220</v>
      </c>
      <c r="B6" s="1" t="s">
        <v>226</v>
      </c>
      <c r="C6" s="1"/>
      <c r="D6" s="1"/>
      <c r="E6" s="1" t="s">
        <v>191</v>
      </c>
      <c r="F6" s="29" t="s">
        <v>224</v>
      </c>
      <c r="G6" s="1">
        <v>255</v>
      </c>
      <c r="H6" s="1">
        <v>255</v>
      </c>
      <c r="I6" s="1">
        <v>155</v>
      </c>
      <c r="J6" s="1" t="s">
        <v>117</v>
      </c>
      <c r="K6" t="str">
        <f t="shared" si="0"/>
        <v>255, 255, 155</v>
      </c>
    </row>
    <row r="7" spans="1:11" x14ac:dyDescent="0.5">
      <c r="A7" s="1" t="s">
        <v>239</v>
      </c>
      <c r="B7" s="1" t="s">
        <v>136</v>
      </c>
      <c r="C7" s="1"/>
      <c r="D7" s="1"/>
      <c r="E7" s="1" t="s">
        <v>230</v>
      </c>
      <c r="F7" s="25" t="s">
        <v>231</v>
      </c>
      <c r="G7" s="1">
        <v>153</v>
      </c>
      <c r="H7" s="1">
        <v>38</v>
      </c>
      <c r="I7" s="1">
        <v>0</v>
      </c>
      <c r="J7" s="1" t="s">
        <v>117</v>
      </c>
      <c r="K7" t="str">
        <f t="shared" si="0"/>
        <v>153, 38, 0</v>
      </c>
    </row>
    <row r="8" spans="1:11" x14ac:dyDescent="0.5">
      <c r="A8" s="1" t="s">
        <v>209</v>
      </c>
      <c r="B8" s="1" t="s">
        <v>210</v>
      </c>
      <c r="C8" s="1" t="s">
        <v>4572</v>
      </c>
      <c r="D8" s="1" t="s">
        <v>4574</v>
      </c>
      <c r="E8" s="1" t="s">
        <v>230</v>
      </c>
      <c r="F8" s="25" t="s">
        <v>232</v>
      </c>
      <c r="G8" s="1">
        <v>200</v>
      </c>
      <c r="H8" s="1">
        <v>100</v>
      </c>
      <c r="I8" s="1">
        <v>100</v>
      </c>
      <c r="J8" s="1" t="s">
        <v>117</v>
      </c>
      <c r="K8" t="str">
        <f t="shared" si="0"/>
        <v>200, 100, 100</v>
      </c>
    </row>
    <row r="9" spans="1:11" x14ac:dyDescent="0.5">
      <c r="A9" s="1" t="s">
        <v>185</v>
      </c>
      <c r="B9" s="1" t="s">
        <v>185</v>
      </c>
      <c r="C9" s="1"/>
      <c r="D9" s="1" t="s">
        <v>4573</v>
      </c>
      <c r="E9" s="1" t="s">
        <v>225</v>
      </c>
      <c r="F9" s="25" t="s">
        <v>187</v>
      </c>
      <c r="G9" s="1">
        <v>255</v>
      </c>
      <c r="H9" s="1">
        <v>255</v>
      </c>
      <c r="I9" s="1">
        <v>179</v>
      </c>
      <c r="J9" s="1" t="s">
        <v>117</v>
      </c>
      <c r="K9" t="str">
        <f t="shared" si="0"/>
        <v>255, 255, 179</v>
      </c>
    </row>
    <row r="10" spans="1:11" x14ac:dyDescent="0.5">
      <c r="A10" s="1" t="s">
        <v>220</v>
      </c>
      <c r="B10" s="1" t="s">
        <v>227</v>
      </c>
      <c r="C10" s="1"/>
      <c r="D10" s="1"/>
      <c r="E10" s="1" t="s">
        <v>225</v>
      </c>
      <c r="F10" s="29" t="s">
        <v>228</v>
      </c>
      <c r="G10" s="1">
        <v>255</v>
      </c>
      <c r="H10" s="1">
        <v>255</v>
      </c>
      <c r="I10" s="1">
        <v>0</v>
      </c>
      <c r="J10" s="1" t="s">
        <v>117</v>
      </c>
      <c r="K10" t="str">
        <f t="shared" si="0"/>
        <v>255, 255, 0</v>
      </c>
    </row>
    <row r="11" spans="1:11" x14ac:dyDescent="0.5">
      <c r="A11" s="1" t="s">
        <v>219</v>
      </c>
      <c r="B11" s="1" t="s">
        <v>154</v>
      </c>
      <c r="C11" s="1"/>
      <c r="D11" s="1"/>
      <c r="E11" s="1" t="s">
        <v>225</v>
      </c>
      <c r="F11" s="29" t="s">
        <v>229</v>
      </c>
      <c r="G11" s="1">
        <v>252</v>
      </c>
      <c r="H11" s="1">
        <v>170</v>
      </c>
      <c r="I11" s="1">
        <v>0</v>
      </c>
      <c r="J11" s="1" t="s">
        <v>117</v>
      </c>
      <c r="K11" t="str">
        <f t="shared" si="0"/>
        <v>252, 170, 0</v>
      </c>
    </row>
    <row r="12" spans="1:11" x14ac:dyDescent="0.5">
      <c r="A12" s="1" t="s">
        <v>215</v>
      </c>
      <c r="B12" s="1" t="s">
        <v>217</v>
      </c>
      <c r="C12" s="1"/>
      <c r="D12" s="1"/>
      <c r="E12" s="1" t="s">
        <v>189</v>
      </c>
      <c r="F12" s="25" t="s">
        <v>214</v>
      </c>
      <c r="G12" s="1">
        <v>252</v>
      </c>
      <c r="H12" s="1">
        <v>100</v>
      </c>
      <c r="I12" s="1">
        <v>0</v>
      </c>
      <c r="J12" s="1" t="s">
        <v>117</v>
      </c>
      <c r="K12" t="str">
        <f t="shared" si="0"/>
        <v>252, 100, 0</v>
      </c>
    </row>
    <row r="13" spans="1:11" x14ac:dyDescent="0.5">
      <c r="A13" s="30" t="s">
        <v>215</v>
      </c>
      <c r="B13" s="30" t="s">
        <v>216</v>
      </c>
      <c r="C13" s="30"/>
      <c r="D13" s="30"/>
      <c r="E13" s="30" t="s">
        <v>189</v>
      </c>
      <c r="F13" s="31" t="s">
        <v>213</v>
      </c>
      <c r="G13" s="30">
        <v>252</v>
      </c>
      <c r="H13" s="30">
        <v>150</v>
      </c>
      <c r="I13" s="30">
        <v>0</v>
      </c>
      <c r="J13" s="32" t="s">
        <v>117</v>
      </c>
      <c r="K13" t="str">
        <f t="shared" si="0"/>
        <v>252, 150, 0</v>
      </c>
    </row>
    <row r="14" spans="1:11" x14ac:dyDescent="0.5">
      <c r="A14" s="11" t="s">
        <v>215</v>
      </c>
      <c r="B14" s="11" t="s">
        <v>155</v>
      </c>
      <c r="C14" s="11"/>
      <c r="D14" s="11"/>
      <c r="E14" s="11" t="s">
        <v>189</v>
      </c>
      <c r="F14" s="28" t="s">
        <v>212</v>
      </c>
      <c r="G14" s="11">
        <v>252</v>
      </c>
      <c r="H14" s="11">
        <v>201</v>
      </c>
      <c r="I14" s="11">
        <v>0</v>
      </c>
      <c r="J14" s="1" t="s">
        <v>117</v>
      </c>
      <c r="K14" t="str">
        <f t="shared" si="0"/>
        <v>252, 201, 0</v>
      </c>
    </row>
    <row r="15" spans="1:11" x14ac:dyDescent="0.5">
      <c r="A15" s="1" t="s">
        <v>222</v>
      </c>
      <c r="B15" s="1" t="s">
        <v>168</v>
      </c>
      <c r="C15" s="1"/>
      <c r="D15" s="1"/>
      <c r="E15" s="1" t="s">
        <v>243</v>
      </c>
      <c r="F15" s="1" t="s">
        <v>241</v>
      </c>
      <c r="G15" s="1">
        <v>142</v>
      </c>
      <c r="H15" s="1">
        <v>0</v>
      </c>
      <c r="I15" s="1">
        <v>170</v>
      </c>
      <c r="K15" t="str">
        <f t="shared" si="0"/>
        <v>142, 0, 170</v>
      </c>
    </row>
    <row r="16" spans="1:11" x14ac:dyDescent="0.5">
      <c r="A16" s="1" t="s">
        <v>222</v>
      </c>
      <c r="B16" s="1" t="s">
        <v>240</v>
      </c>
      <c r="C16" s="1"/>
      <c r="D16" s="1"/>
      <c r="E16" s="1" t="s">
        <v>243</v>
      </c>
      <c r="F16" s="1" t="s">
        <v>242</v>
      </c>
      <c r="G16" s="1">
        <v>142</v>
      </c>
      <c r="H16" s="1">
        <v>100</v>
      </c>
      <c r="I16" s="1">
        <v>170</v>
      </c>
      <c r="K16" t="str">
        <f t="shared" si="0"/>
        <v>142, 100, 170</v>
      </c>
    </row>
    <row r="17" spans="1:11" x14ac:dyDescent="0.5">
      <c r="A17" s="30" t="s">
        <v>206</v>
      </c>
      <c r="B17" s="30" t="s">
        <v>152</v>
      </c>
      <c r="C17" s="30"/>
      <c r="D17" s="30"/>
      <c r="E17" s="30" t="s">
        <v>194</v>
      </c>
      <c r="F17" s="30" t="s">
        <v>238</v>
      </c>
      <c r="G17" s="30">
        <v>234</v>
      </c>
      <c r="H17" s="30">
        <v>201</v>
      </c>
      <c r="I17" s="30">
        <v>165</v>
      </c>
      <c r="J17" s="27" t="s">
        <v>234</v>
      </c>
      <c r="K17" t="str">
        <f t="shared" si="0"/>
        <v>234, 201, 165</v>
      </c>
    </row>
    <row r="18" spans="1:11" x14ac:dyDescent="0.5">
      <c r="A18" s="30" t="s">
        <v>207</v>
      </c>
      <c r="B18" s="30" t="s">
        <v>160</v>
      </c>
      <c r="C18" s="30"/>
      <c r="D18" s="30"/>
      <c r="E18" s="30" t="s">
        <v>208</v>
      </c>
      <c r="F18" s="27" t="s">
        <v>194</v>
      </c>
      <c r="G18" s="30">
        <v>255</v>
      </c>
      <c r="H18" s="30">
        <v>196</v>
      </c>
      <c r="I18" s="30">
        <v>194</v>
      </c>
      <c r="J18" s="30" t="s">
        <v>117</v>
      </c>
      <c r="K18" t="str">
        <f t="shared" si="0"/>
        <v>255, 196, 194</v>
      </c>
    </row>
    <row r="19" spans="1:11" x14ac:dyDescent="0.5">
      <c r="A19" s="33" t="s">
        <v>205</v>
      </c>
      <c r="B19" s="33"/>
      <c r="C19" s="33"/>
      <c r="D19" s="33"/>
      <c r="E19" s="33" t="s">
        <v>107</v>
      </c>
      <c r="F19" s="33" t="s">
        <v>198</v>
      </c>
      <c r="G19" s="33">
        <v>252</v>
      </c>
      <c r="H19" s="33">
        <v>100</v>
      </c>
      <c r="I19" s="33">
        <v>100</v>
      </c>
      <c r="J19" s="33"/>
      <c r="K19" t="str">
        <f t="shared" si="0"/>
        <v>252, 100, 100</v>
      </c>
    </row>
    <row r="20" spans="1:11" x14ac:dyDescent="0.5">
      <c r="A20" s="1" t="s">
        <v>209</v>
      </c>
      <c r="B20" s="1" t="s">
        <v>211</v>
      </c>
      <c r="C20" s="1"/>
      <c r="D20" s="1"/>
      <c r="E20" s="1" t="s">
        <v>107</v>
      </c>
      <c r="F20" s="25" t="s">
        <v>195</v>
      </c>
      <c r="G20" s="1">
        <v>200</v>
      </c>
      <c r="H20" s="1">
        <v>0</v>
      </c>
      <c r="I20" s="1">
        <v>100</v>
      </c>
      <c r="J20" s="27" t="s">
        <v>117</v>
      </c>
      <c r="K20" t="str">
        <f t="shared" si="0"/>
        <v>200, 0, 100</v>
      </c>
    </row>
    <row r="21" spans="1:11" x14ac:dyDescent="0.5">
      <c r="A21" s="33" t="s">
        <v>204</v>
      </c>
      <c r="B21" s="33"/>
      <c r="C21" s="33"/>
      <c r="D21" s="33"/>
      <c r="E21" s="33" t="s">
        <v>107</v>
      </c>
      <c r="F21" s="33" t="s">
        <v>200</v>
      </c>
      <c r="G21" s="33">
        <v>179</v>
      </c>
      <c r="H21" s="33">
        <v>0</v>
      </c>
      <c r="I21" s="33">
        <v>50</v>
      </c>
      <c r="J21" s="33"/>
      <c r="K21" t="str">
        <f t="shared" si="0"/>
        <v>179, 0, 50</v>
      </c>
    </row>
    <row r="22" spans="1:11" x14ac:dyDescent="0.5">
      <c r="A22" s="33" t="s">
        <v>204</v>
      </c>
      <c r="B22" s="33"/>
      <c r="C22" s="33"/>
      <c r="D22" s="33"/>
      <c r="E22" s="33" t="s">
        <v>107</v>
      </c>
      <c r="F22" s="33" t="s">
        <v>201</v>
      </c>
      <c r="G22" s="33">
        <v>179</v>
      </c>
      <c r="H22" s="33">
        <v>0</v>
      </c>
      <c r="I22" s="33">
        <v>100</v>
      </c>
      <c r="J22" s="33"/>
      <c r="K22" t="str">
        <f t="shared" si="0"/>
        <v>179, 0, 100</v>
      </c>
    </row>
    <row r="23" spans="1:11" x14ac:dyDescent="0.5">
      <c r="A23" s="33" t="s">
        <v>204</v>
      </c>
      <c r="B23" s="33"/>
      <c r="C23" s="33"/>
      <c r="D23" s="33"/>
      <c r="E23" s="33" t="s">
        <v>107</v>
      </c>
      <c r="F23" s="33" t="s">
        <v>202</v>
      </c>
      <c r="G23" s="33">
        <v>179</v>
      </c>
      <c r="H23" s="33">
        <v>0</v>
      </c>
      <c r="I23" s="33">
        <v>150</v>
      </c>
      <c r="J23" s="33"/>
      <c r="K23" t="str">
        <f t="shared" si="0"/>
        <v>179, 0, 150</v>
      </c>
    </row>
    <row r="24" spans="1:11" x14ac:dyDescent="0.5">
      <c r="A24" s="1" t="s">
        <v>205</v>
      </c>
      <c r="B24" s="1" t="s">
        <v>140</v>
      </c>
      <c r="C24" s="1"/>
      <c r="D24" s="1"/>
      <c r="E24" s="1" t="s">
        <v>107</v>
      </c>
      <c r="F24" s="25" t="s">
        <v>196</v>
      </c>
      <c r="G24" s="1">
        <v>252</v>
      </c>
      <c r="H24" s="1">
        <v>170</v>
      </c>
      <c r="I24" s="1">
        <v>100</v>
      </c>
      <c r="J24" s="27" t="s">
        <v>117</v>
      </c>
      <c r="K24" t="str">
        <f t="shared" si="0"/>
        <v>252, 170, 100</v>
      </c>
    </row>
    <row r="25" spans="1:11" x14ac:dyDescent="0.5">
      <c r="A25" s="30" t="s">
        <v>204</v>
      </c>
      <c r="B25" s="30" t="s">
        <v>139</v>
      </c>
      <c r="C25" s="30"/>
      <c r="D25" s="30"/>
      <c r="E25" s="30" t="s">
        <v>107</v>
      </c>
      <c r="F25" s="31" t="s">
        <v>197</v>
      </c>
      <c r="G25" s="30">
        <v>179</v>
      </c>
      <c r="H25" s="30">
        <v>0</v>
      </c>
      <c r="I25" s="30">
        <v>0</v>
      </c>
      <c r="J25" t="s">
        <v>117</v>
      </c>
      <c r="K25" t="str">
        <f t="shared" si="0"/>
        <v>179, 0, 0</v>
      </c>
    </row>
    <row r="26" spans="1:11" x14ac:dyDescent="0.5">
      <c r="A26" s="34"/>
      <c r="B26" s="34"/>
      <c r="C26" s="34"/>
      <c r="D26" s="34"/>
      <c r="E26" s="34"/>
      <c r="F26" s="34"/>
      <c r="G26" s="34">
        <v>252</v>
      </c>
      <c r="H26" s="34">
        <v>50</v>
      </c>
      <c r="I26" s="34">
        <v>100</v>
      </c>
      <c r="J26" s="33"/>
      <c r="K26" t="str">
        <f>G26&amp;", "&amp;H26&amp;", "&amp;I26</f>
        <v>252, 50, 100</v>
      </c>
    </row>
    <row r="27" spans="1:11" x14ac:dyDescent="0.5">
      <c r="A27" s="33"/>
      <c r="B27" s="33"/>
      <c r="C27" s="33"/>
      <c r="D27" s="33"/>
      <c r="E27" s="33"/>
      <c r="F27" s="33"/>
      <c r="G27" s="33">
        <v>252</v>
      </c>
      <c r="H27" s="33">
        <v>0</v>
      </c>
      <c r="I27" s="33">
        <v>100</v>
      </c>
      <c r="J27" s="33"/>
      <c r="K27" t="str">
        <f t="shared" si="0"/>
        <v>252, 0, 100</v>
      </c>
    </row>
    <row r="28" spans="1:11" x14ac:dyDescent="0.5">
      <c r="A28" s="1" t="s">
        <v>237</v>
      </c>
      <c r="B28" s="1" t="s">
        <v>147</v>
      </c>
      <c r="C28" s="1"/>
      <c r="D28" s="1"/>
      <c r="E28" s="1" t="s">
        <v>107</v>
      </c>
      <c r="F28" s="1" t="s">
        <v>199</v>
      </c>
      <c r="G28" s="1">
        <v>26</v>
      </c>
      <c r="H28" s="1">
        <v>0</v>
      </c>
      <c r="I28" s="1">
        <v>0</v>
      </c>
      <c r="J28" s="1" t="s">
        <v>117</v>
      </c>
      <c r="K28" t="str">
        <f t="shared" si="0"/>
        <v>26, 0, 0</v>
      </c>
    </row>
    <row r="29" spans="1:11" x14ac:dyDescent="0.5">
      <c r="A29" t="s">
        <v>236</v>
      </c>
      <c r="B29" t="s">
        <v>186</v>
      </c>
      <c r="E29" t="s">
        <v>107</v>
      </c>
      <c r="F29" t="s">
        <v>235</v>
      </c>
      <c r="G29">
        <v>255</v>
      </c>
      <c r="H29">
        <v>255</v>
      </c>
      <c r="I29">
        <v>235</v>
      </c>
      <c r="J29" t="s">
        <v>117</v>
      </c>
      <c r="K29" t="str">
        <f t="shared" si="0"/>
        <v>255, 255, 235</v>
      </c>
    </row>
    <row r="30" spans="1:11" x14ac:dyDescent="0.5">
      <c r="A30" s="30" t="s">
        <v>204</v>
      </c>
      <c r="B30" s="30" t="s">
        <v>137</v>
      </c>
      <c r="C30" s="30"/>
      <c r="D30" s="30"/>
      <c r="E30" s="30"/>
      <c r="F30" s="30"/>
      <c r="G30" s="30">
        <v>153</v>
      </c>
      <c r="H30" s="30">
        <v>0</v>
      </c>
      <c r="I30" s="30">
        <v>0</v>
      </c>
      <c r="J30" s="30"/>
      <c r="K30" t="str">
        <f t="shared" si="0"/>
        <v>153, 0, 0</v>
      </c>
    </row>
    <row r="31" spans="1:11" x14ac:dyDescent="0.5">
      <c r="B31" t="s">
        <v>138</v>
      </c>
      <c r="G31">
        <v>207</v>
      </c>
      <c r="H31">
        <v>0</v>
      </c>
      <c r="I31">
        <v>0</v>
      </c>
      <c r="K31" t="str">
        <f t="shared" si="0"/>
        <v>207, 0, 0</v>
      </c>
    </row>
    <row r="32" spans="1:11" x14ac:dyDescent="0.5">
      <c r="A32" s="30" t="s">
        <v>222</v>
      </c>
      <c r="B32" s="30" t="s">
        <v>165</v>
      </c>
      <c r="C32" s="30"/>
      <c r="D32" s="30"/>
      <c r="G32" s="30">
        <v>255</v>
      </c>
      <c r="H32" s="30">
        <v>239</v>
      </c>
      <c r="I32" s="30">
        <v>237</v>
      </c>
      <c r="J32" s="30" t="s">
        <v>117</v>
      </c>
      <c r="K32" t="str">
        <f t="shared" si="0"/>
        <v>255, 239, 237</v>
      </c>
    </row>
    <row r="33" spans="2:11" x14ac:dyDescent="0.5">
      <c r="B33" t="s">
        <v>141</v>
      </c>
      <c r="G33">
        <v>252</v>
      </c>
      <c r="H33">
        <v>0</v>
      </c>
      <c r="I33">
        <v>0</v>
      </c>
      <c r="K33" t="str">
        <f t="shared" si="0"/>
        <v>252, 0, 0</v>
      </c>
    </row>
    <row r="34" spans="2:11" x14ac:dyDescent="0.5">
      <c r="B34" t="s">
        <v>142</v>
      </c>
      <c r="G34">
        <v>94</v>
      </c>
      <c r="H34">
        <v>0</v>
      </c>
      <c r="I34">
        <v>0</v>
      </c>
      <c r="K34" t="str">
        <f t="shared" si="0"/>
        <v>94, 0, 0</v>
      </c>
    </row>
    <row r="35" spans="2:11" x14ac:dyDescent="0.5">
      <c r="B35" t="s">
        <v>143</v>
      </c>
      <c r="G35">
        <v>26</v>
      </c>
      <c r="H35">
        <v>26</v>
      </c>
      <c r="I35">
        <v>0</v>
      </c>
      <c r="K35" t="str">
        <f t="shared" si="0"/>
        <v>26, 26, 0</v>
      </c>
    </row>
    <row r="36" spans="2:11" x14ac:dyDescent="0.5">
      <c r="B36" t="s">
        <v>144</v>
      </c>
      <c r="G36">
        <v>26</v>
      </c>
      <c r="H36">
        <v>100</v>
      </c>
      <c r="I36">
        <v>0</v>
      </c>
      <c r="K36" t="str">
        <f t="shared" si="0"/>
        <v>26, 100, 0</v>
      </c>
    </row>
    <row r="37" spans="2:11" x14ac:dyDescent="0.5">
      <c r="B37" t="s">
        <v>145</v>
      </c>
      <c r="G37">
        <v>252</v>
      </c>
      <c r="H37">
        <v>170</v>
      </c>
      <c r="I37">
        <v>170</v>
      </c>
      <c r="K37" t="str">
        <f t="shared" si="0"/>
        <v>252, 170, 170</v>
      </c>
    </row>
    <row r="38" spans="2:11" x14ac:dyDescent="0.5">
      <c r="B38" t="s">
        <v>146</v>
      </c>
      <c r="G38">
        <v>43</v>
      </c>
      <c r="H38">
        <v>0</v>
      </c>
      <c r="I38">
        <v>0</v>
      </c>
      <c r="K38" t="str">
        <f t="shared" si="0"/>
        <v>43, 0, 0</v>
      </c>
    </row>
    <row r="39" spans="2:11" x14ac:dyDescent="0.5">
      <c r="B39" t="s">
        <v>148</v>
      </c>
      <c r="G39">
        <v>43</v>
      </c>
      <c r="H39">
        <v>45</v>
      </c>
      <c r="I39">
        <v>0</v>
      </c>
      <c r="K39" t="str">
        <f t="shared" si="0"/>
        <v>43, 45, 0</v>
      </c>
    </row>
    <row r="40" spans="2:11" x14ac:dyDescent="0.5">
      <c r="B40" t="s">
        <v>149</v>
      </c>
      <c r="G40">
        <v>0</v>
      </c>
      <c r="H40">
        <v>64</v>
      </c>
      <c r="I40">
        <v>91</v>
      </c>
      <c r="K40" t="str">
        <f t="shared" si="0"/>
        <v>0, 64, 91</v>
      </c>
    </row>
    <row r="41" spans="2:11" x14ac:dyDescent="0.5">
      <c r="B41" t="s">
        <v>150</v>
      </c>
      <c r="G41">
        <v>184</v>
      </c>
      <c r="H41">
        <v>104</v>
      </c>
      <c r="I41">
        <v>126</v>
      </c>
      <c r="K41" t="str">
        <f t="shared" si="0"/>
        <v>184, 104, 126</v>
      </c>
    </row>
    <row r="42" spans="2:11" x14ac:dyDescent="0.5">
      <c r="B42" t="s">
        <v>151</v>
      </c>
      <c r="G42">
        <v>225</v>
      </c>
      <c r="H42">
        <v>141</v>
      </c>
      <c r="I42">
        <v>163</v>
      </c>
      <c r="K42" t="str">
        <f t="shared" si="0"/>
        <v>225, 141, 163</v>
      </c>
    </row>
    <row r="43" spans="2:11" x14ac:dyDescent="0.5">
      <c r="B43" t="s">
        <v>153</v>
      </c>
      <c r="G43">
        <v>255</v>
      </c>
      <c r="H43">
        <v>116</v>
      </c>
      <c r="I43">
        <v>173</v>
      </c>
      <c r="K43" t="str">
        <f t="shared" si="0"/>
        <v>255, 116, 173</v>
      </c>
    </row>
    <row r="44" spans="2:11" x14ac:dyDescent="0.5">
      <c r="B44" t="s">
        <v>156</v>
      </c>
      <c r="G44">
        <v>252</v>
      </c>
      <c r="H44">
        <v>255</v>
      </c>
      <c r="I44">
        <v>0</v>
      </c>
      <c r="K44" t="str">
        <f t="shared" si="0"/>
        <v>252, 255, 0</v>
      </c>
    </row>
    <row r="45" spans="2:11" x14ac:dyDescent="0.5">
      <c r="B45" t="s">
        <v>157</v>
      </c>
      <c r="G45">
        <v>181</v>
      </c>
      <c r="H45">
        <v>131</v>
      </c>
      <c r="I45">
        <v>0</v>
      </c>
      <c r="K45" t="str">
        <f t="shared" si="0"/>
        <v>181, 131, 0</v>
      </c>
    </row>
    <row r="46" spans="2:11" x14ac:dyDescent="0.5">
      <c r="B46" t="s">
        <v>158</v>
      </c>
      <c r="G46">
        <v>255</v>
      </c>
      <c r="H46">
        <v>148</v>
      </c>
      <c r="I46">
        <v>72</v>
      </c>
      <c r="K46" t="str">
        <f t="shared" si="0"/>
        <v>255, 148, 72</v>
      </c>
    </row>
    <row r="47" spans="2:11" x14ac:dyDescent="0.5">
      <c r="B47" t="s">
        <v>159</v>
      </c>
      <c r="G47">
        <v>255</v>
      </c>
      <c r="H47">
        <v>195</v>
      </c>
      <c r="I47">
        <v>122</v>
      </c>
      <c r="K47" t="str">
        <f t="shared" si="0"/>
        <v>255, 195, 122</v>
      </c>
    </row>
    <row r="48" spans="2:11" x14ac:dyDescent="0.5">
      <c r="B48" t="s">
        <v>161</v>
      </c>
      <c r="G48">
        <v>204</v>
      </c>
      <c r="H48">
        <v>172</v>
      </c>
      <c r="I48">
        <v>137</v>
      </c>
      <c r="K48" t="str">
        <f t="shared" si="0"/>
        <v>204, 172, 137</v>
      </c>
    </row>
    <row r="49" spans="1:11" x14ac:dyDescent="0.5">
      <c r="B49" t="s">
        <v>162</v>
      </c>
      <c r="G49">
        <v>225</v>
      </c>
      <c r="H49">
        <v>141</v>
      </c>
      <c r="I49">
        <v>163</v>
      </c>
      <c r="K49" t="str">
        <f t="shared" si="0"/>
        <v>225, 141, 163</v>
      </c>
    </row>
    <row r="50" spans="1:11" x14ac:dyDescent="0.5">
      <c r="B50" t="s">
        <v>163</v>
      </c>
      <c r="G50">
        <v>255</v>
      </c>
      <c r="H50">
        <v>180</v>
      </c>
      <c r="I50">
        <v>202</v>
      </c>
      <c r="K50" t="str">
        <f t="shared" si="0"/>
        <v>255, 180, 202</v>
      </c>
    </row>
    <row r="51" spans="1:11" x14ac:dyDescent="0.5">
      <c r="B51" t="s">
        <v>166</v>
      </c>
      <c r="G51">
        <v>179</v>
      </c>
      <c r="H51">
        <v>206</v>
      </c>
      <c r="I51">
        <v>209</v>
      </c>
      <c r="K51" t="str">
        <f t="shared" si="0"/>
        <v>179, 206, 209</v>
      </c>
    </row>
    <row r="52" spans="1:11" x14ac:dyDescent="0.5">
      <c r="A52" s="30" t="s">
        <v>222</v>
      </c>
      <c r="B52" t="s">
        <v>167</v>
      </c>
      <c r="E52" s="1" t="s">
        <v>243</v>
      </c>
      <c r="F52" s="30" t="s">
        <v>165</v>
      </c>
      <c r="G52">
        <v>179</v>
      </c>
      <c r="H52">
        <v>91</v>
      </c>
      <c r="I52">
        <v>209</v>
      </c>
      <c r="K52" t="str">
        <f t="shared" si="0"/>
        <v>179, 91, 209</v>
      </c>
    </row>
    <row r="53" spans="1:11" x14ac:dyDescent="0.5">
      <c r="A53" s="30" t="s">
        <v>222</v>
      </c>
      <c r="B53" t="s">
        <v>244</v>
      </c>
      <c r="E53" s="1" t="s">
        <v>243</v>
      </c>
      <c r="F53" t="s">
        <v>244</v>
      </c>
      <c r="G53">
        <v>179</v>
      </c>
      <c r="H53">
        <v>91</v>
      </c>
      <c r="I53">
        <v>250</v>
      </c>
      <c r="K53" t="str">
        <f t="shared" si="0"/>
        <v>179, 91, 250</v>
      </c>
    </row>
    <row r="54" spans="1:11" x14ac:dyDescent="0.5">
      <c r="B54" t="s">
        <v>172</v>
      </c>
      <c r="E54" s="1" t="s">
        <v>243</v>
      </c>
      <c r="F54" t="s">
        <v>172</v>
      </c>
      <c r="G54">
        <v>142</v>
      </c>
      <c r="H54">
        <v>0</v>
      </c>
      <c r="I54">
        <v>207</v>
      </c>
      <c r="K54" t="str">
        <f t="shared" si="0"/>
        <v>142, 0, 207</v>
      </c>
    </row>
    <row r="55" spans="1:11" x14ac:dyDescent="0.5">
      <c r="B55" t="s">
        <v>173</v>
      </c>
      <c r="G55">
        <v>162</v>
      </c>
      <c r="H55">
        <v>0</v>
      </c>
      <c r="I55">
        <v>164</v>
      </c>
      <c r="K55" t="str">
        <f t="shared" si="0"/>
        <v>162, 0, 164</v>
      </c>
    </row>
    <row r="56" spans="1:11" x14ac:dyDescent="0.5">
      <c r="B56" t="s">
        <v>174</v>
      </c>
      <c r="G56">
        <v>162</v>
      </c>
      <c r="H56">
        <v>65</v>
      </c>
      <c r="I56">
        <v>164</v>
      </c>
      <c r="K56" t="str">
        <f t="shared" si="0"/>
        <v>162, 65, 164</v>
      </c>
    </row>
    <row r="57" spans="1:11" x14ac:dyDescent="0.5">
      <c r="B57" t="s">
        <v>175</v>
      </c>
      <c r="G57">
        <v>88</v>
      </c>
      <c r="H57">
        <v>20</v>
      </c>
      <c r="I57">
        <v>65</v>
      </c>
      <c r="K57" t="str">
        <f t="shared" si="0"/>
        <v>88, 20, 65</v>
      </c>
    </row>
    <row r="58" spans="1:11" x14ac:dyDescent="0.5">
      <c r="B58" t="s">
        <v>176</v>
      </c>
      <c r="G58">
        <v>45</v>
      </c>
      <c r="H58">
        <v>65</v>
      </c>
      <c r="I58">
        <v>65</v>
      </c>
      <c r="K58" t="str">
        <f t="shared" si="0"/>
        <v>45, 65, 65</v>
      </c>
    </row>
    <row r="59" spans="1:11" x14ac:dyDescent="0.5">
      <c r="B59" t="s">
        <v>177</v>
      </c>
      <c r="G59">
        <v>125</v>
      </c>
      <c r="H59">
        <v>65</v>
      </c>
      <c r="I59">
        <v>65</v>
      </c>
      <c r="K59" t="str">
        <f t="shared" si="0"/>
        <v>125, 65, 65</v>
      </c>
    </row>
    <row r="60" spans="1:11" x14ac:dyDescent="0.5">
      <c r="B60" t="s">
        <v>178</v>
      </c>
      <c r="G60">
        <v>221</v>
      </c>
      <c r="H60">
        <v>163</v>
      </c>
      <c r="I60">
        <v>161</v>
      </c>
      <c r="K60" t="str">
        <f t="shared" si="0"/>
        <v>221, 163, 161</v>
      </c>
    </row>
    <row r="61" spans="1:11" x14ac:dyDescent="0.5">
      <c r="B61" t="s">
        <v>179</v>
      </c>
      <c r="G61">
        <v>40</v>
      </c>
      <c r="H61">
        <v>76</v>
      </c>
      <c r="I61">
        <v>125</v>
      </c>
      <c r="K61" t="str">
        <f t="shared" si="0"/>
        <v>40, 76, 125</v>
      </c>
    </row>
    <row r="62" spans="1:11" x14ac:dyDescent="0.5">
      <c r="B62" t="s">
        <v>180</v>
      </c>
      <c r="G62">
        <v>0</v>
      </c>
      <c r="H62">
        <v>65</v>
      </c>
      <c r="I62">
        <v>68</v>
      </c>
      <c r="K62" t="str">
        <f t="shared" si="0"/>
        <v>0, 65, 68</v>
      </c>
    </row>
    <row r="63" spans="1:11" x14ac:dyDescent="0.5">
      <c r="B63" t="s">
        <v>181</v>
      </c>
      <c r="G63">
        <v>67</v>
      </c>
      <c r="H63">
        <v>100</v>
      </c>
      <c r="I63">
        <v>151</v>
      </c>
      <c r="K63" t="str">
        <f t="shared" si="0"/>
        <v>67, 100, 151</v>
      </c>
    </row>
    <row r="64" spans="1:11" x14ac:dyDescent="0.5">
      <c r="B64" t="s">
        <v>182</v>
      </c>
      <c r="G64">
        <v>162</v>
      </c>
      <c r="H64">
        <v>65</v>
      </c>
      <c r="I64">
        <v>65</v>
      </c>
      <c r="K64" t="str">
        <f t="shared" si="0"/>
        <v>162, 65, 65</v>
      </c>
    </row>
    <row r="65" spans="2:11" x14ac:dyDescent="0.5">
      <c r="B65" t="s">
        <v>183</v>
      </c>
      <c r="G65">
        <v>162</v>
      </c>
      <c r="H65">
        <v>65</v>
      </c>
      <c r="I65">
        <v>116</v>
      </c>
      <c r="K65" t="str">
        <f t="shared" si="0"/>
        <v>162, 65, 116</v>
      </c>
    </row>
    <row r="66" spans="2:11" x14ac:dyDescent="0.5">
      <c r="B66" t="s">
        <v>184</v>
      </c>
      <c r="G66">
        <v>88</v>
      </c>
      <c r="H66">
        <v>65</v>
      </c>
      <c r="I66">
        <v>65</v>
      </c>
      <c r="K66" t="str">
        <f t="shared" si="0"/>
        <v>88, 65, 65</v>
      </c>
    </row>
  </sheetData>
  <autoFilter ref="A1:K66" xr:uid="{AC418A19-D056-4990-9A88-EA4A08C45505}"/>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C0002D-F7A3-46EB-8DF4-15CFE0C6002A}">
  <dimension ref="A1:B271"/>
  <sheetViews>
    <sheetView workbookViewId="0">
      <selection sqref="A1:A1048576"/>
    </sheetView>
  </sheetViews>
  <sheetFormatPr defaultRowHeight="14.35" x14ac:dyDescent="0.5"/>
  <sheetData>
    <row r="1" spans="1:1" x14ac:dyDescent="0.5">
      <c r="A1" t="s">
        <v>7614</v>
      </c>
    </row>
    <row r="2" spans="1:1" x14ac:dyDescent="0.5">
      <c r="A2" t="s">
        <v>7615</v>
      </c>
    </row>
    <row r="3" spans="1:1" x14ac:dyDescent="0.5">
      <c r="A3" t="s">
        <v>7511</v>
      </c>
    </row>
    <row r="4" spans="1:1" x14ac:dyDescent="0.5">
      <c r="A4" t="s">
        <v>7512</v>
      </c>
    </row>
    <row r="5" spans="1:1" x14ac:dyDescent="0.5">
      <c r="A5" t="s">
        <v>7513</v>
      </c>
    </row>
    <row r="6" spans="1:1" x14ac:dyDescent="0.5">
      <c r="A6" t="s">
        <v>7514</v>
      </c>
    </row>
    <row r="7" spans="1:1" x14ac:dyDescent="0.5">
      <c r="A7" t="s">
        <v>7515</v>
      </c>
    </row>
    <row r="8" spans="1:1" x14ac:dyDescent="0.5">
      <c r="A8" t="s">
        <v>7516</v>
      </c>
    </row>
    <row r="9" spans="1:1" x14ac:dyDescent="0.5">
      <c r="A9" t="s">
        <v>7517</v>
      </c>
    </row>
    <row r="10" spans="1:1" x14ac:dyDescent="0.5">
      <c r="A10" t="s">
        <v>7518</v>
      </c>
    </row>
    <row r="11" spans="1:1" x14ac:dyDescent="0.5">
      <c r="A11" t="s">
        <v>7616</v>
      </c>
    </row>
    <row r="12" spans="1:1" x14ac:dyDescent="0.5">
      <c r="A12" t="s">
        <v>7617</v>
      </c>
    </row>
    <row r="13" spans="1:1" x14ac:dyDescent="0.5">
      <c r="A13" t="s">
        <v>7519</v>
      </c>
    </row>
    <row r="14" spans="1:1" x14ac:dyDescent="0.5">
      <c r="A14" t="s">
        <v>7520</v>
      </c>
    </row>
    <row r="15" spans="1:1" x14ac:dyDescent="0.5">
      <c r="A15" t="s">
        <v>7521</v>
      </c>
    </row>
    <row r="16" spans="1:1" x14ac:dyDescent="0.5">
      <c r="A16" t="s">
        <v>7618</v>
      </c>
    </row>
    <row r="17" spans="1:1" x14ac:dyDescent="0.5">
      <c r="A17" t="s">
        <v>7619</v>
      </c>
    </row>
    <row r="18" spans="1:1" x14ac:dyDescent="0.5">
      <c r="A18" t="s">
        <v>7620</v>
      </c>
    </row>
    <row r="19" spans="1:1" x14ac:dyDescent="0.5">
      <c r="A19" t="s">
        <v>7621</v>
      </c>
    </row>
    <row r="20" spans="1:1" x14ac:dyDescent="0.5">
      <c r="A20" t="s">
        <v>7622</v>
      </c>
    </row>
    <row r="21" spans="1:1" x14ac:dyDescent="0.5">
      <c r="A21" t="s">
        <v>7623</v>
      </c>
    </row>
    <row r="22" spans="1:1" x14ac:dyDescent="0.5">
      <c r="A22" t="s">
        <v>7624</v>
      </c>
    </row>
    <row r="23" spans="1:1" x14ac:dyDescent="0.5">
      <c r="A23" t="s">
        <v>7625</v>
      </c>
    </row>
    <row r="24" spans="1:1" x14ac:dyDescent="0.5">
      <c r="A24" t="s">
        <v>7626</v>
      </c>
    </row>
    <row r="25" spans="1:1" x14ac:dyDescent="0.5">
      <c r="A25" t="s">
        <v>7627</v>
      </c>
    </row>
    <row r="26" spans="1:1" x14ac:dyDescent="0.5">
      <c r="A26" t="s">
        <v>7628</v>
      </c>
    </row>
    <row r="27" spans="1:1" x14ac:dyDescent="0.5">
      <c r="A27" t="s">
        <v>7629</v>
      </c>
    </row>
    <row r="28" spans="1:1" x14ac:dyDescent="0.5">
      <c r="A28" t="s">
        <v>7630</v>
      </c>
    </row>
    <row r="29" spans="1:1" x14ac:dyDescent="0.5">
      <c r="A29" t="s">
        <v>7522</v>
      </c>
    </row>
    <row r="30" spans="1:1" x14ac:dyDescent="0.5">
      <c r="A30" t="s">
        <v>7523</v>
      </c>
    </row>
    <row r="31" spans="1:1" x14ac:dyDescent="0.5">
      <c r="A31" t="s">
        <v>7631</v>
      </c>
    </row>
    <row r="32" spans="1:1" x14ac:dyDescent="0.5">
      <c r="A32" t="s">
        <v>7632</v>
      </c>
    </row>
    <row r="33" spans="1:1" x14ac:dyDescent="0.5">
      <c r="A33" t="s">
        <v>7633</v>
      </c>
    </row>
    <row r="34" spans="1:1" x14ac:dyDescent="0.5">
      <c r="A34" t="s">
        <v>7524</v>
      </c>
    </row>
    <row r="35" spans="1:1" x14ac:dyDescent="0.5">
      <c r="A35" t="s">
        <v>7525</v>
      </c>
    </row>
    <row r="36" spans="1:1" x14ac:dyDescent="0.5">
      <c r="A36" t="s">
        <v>7634</v>
      </c>
    </row>
    <row r="37" spans="1:1" x14ac:dyDescent="0.5">
      <c r="A37" t="s">
        <v>7526</v>
      </c>
    </row>
    <row r="38" spans="1:1" x14ac:dyDescent="0.5">
      <c r="A38" t="s">
        <v>7635</v>
      </c>
    </row>
    <row r="39" spans="1:1" x14ac:dyDescent="0.5">
      <c r="A39" t="s">
        <v>7636</v>
      </c>
    </row>
    <row r="40" spans="1:1" x14ac:dyDescent="0.5">
      <c r="A40" t="s">
        <v>7637</v>
      </c>
    </row>
    <row r="41" spans="1:1" x14ac:dyDescent="0.5">
      <c r="A41" t="s">
        <v>7638</v>
      </c>
    </row>
    <row r="42" spans="1:1" x14ac:dyDescent="0.5">
      <c r="A42" t="s">
        <v>7527</v>
      </c>
    </row>
    <row r="43" spans="1:1" x14ac:dyDescent="0.5">
      <c r="A43" t="s">
        <v>7639</v>
      </c>
    </row>
    <row r="44" spans="1:1" x14ac:dyDescent="0.5">
      <c r="A44" t="s">
        <v>7640</v>
      </c>
    </row>
    <row r="45" spans="1:1" x14ac:dyDescent="0.5">
      <c r="A45" t="s">
        <v>7641</v>
      </c>
    </row>
    <row r="46" spans="1:1" x14ac:dyDescent="0.5">
      <c r="A46" t="s">
        <v>7642</v>
      </c>
    </row>
    <row r="47" spans="1:1" x14ac:dyDescent="0.5">
      <c r="A47" t="s">
        <v>7643</v>
      </c>
    </row>
    <row r="48" spans="1:1" x14ac:dyDescent="0.5">
      <c r="A48" t="s">
        <v>7644</v>
      </c>
    </row>
    <row r="49" spans="1:1" x14ac:dyDescent="0.5">
      <c r="A49" t="s">
        <v>7645</v>
      </c>
    </row>
    <row r="50" spans="1:1" x14ac:dyDescent="0.5">
      <c r="A50" t="s">
        <v>7646</v>
      </c>
    </row>
    <row r="51" spans="1:1" x14ac:dyDescent="0.5">
      <c r="A51" t="s">
        <v>7647</v>
      </c>
    </row>
    <row r="52" spans="1:1" x14ac:dyDescent="0.5">
      <c r="A52" t="s">
        <v>7648</v>
      </c>
    </row>
    <row r="53" spans="1:1" x14ac:dyDescent="0.5">
      <c r="A53" t="s">
        <v>7649</v>
      </c>
    </row>
    <row r="54" spans="1:1" x14ac:dyDescent="0.5">
      <c r="A54" t="s">
        <v>7650</v>
      </c>
    </row>
    <row r="55" spans="1:1" x14ac:dyDescent="0.5">
      <c r="A55" t="s">
        <v>7651</v>
      </c>
    </row>
    <row r="56" spans="1:1" x14ac:dyDescent="0.5">
      <c r="A56" t="s">
        <v>7652</v>
      </c>
    </row>
    <row r="57" spans="1:1" x14ac:dyDescent="0.5">
      <c r="A57" t="s">
        <v>7653</v>
      </c>
    </row>
    <row r="58" spans="1:1" x14ac:dyDescent="0.5">
      <c r="A58" t="s">
        <v>7654</v>
      </c>
    </row>
    <row r="59" spans="1:1" x14ac:dyDescent="0.5">
      <c r="A59" t="s">
        <v>7655</v>
      </c>
    </row>
    <row r="60" spans="1:1" x14ac:dyDescent="0.5">
      <c r="A60" t="s">
        <v>7656</v>
      </c>
    </row>
    <row r="61" spans="1:1" x14ac:dyDescent="0.5">
      <c r="A61" t="s">
        <v>7657</v>
      </c>
    </row>
    <row r="62" spans="1:1" x14ac:dyDescent="0.5">
      <c r="A62" t="s">
        <v>7658</v>
      </c>
    </row>
    <row r="63" spans="1:1" x14ac:dyDescent="0.5">
      <c r="A63" t="s">
        <v>7659</v>
      </c>
    </row>
    <row r="64" spans="1:1" x14ac:dyDescent="0.5">
      <c r="A64" t="s">
        <v>7660</v>
      </c>
    </row>
    <row r="65" spans="1:2" x14ac:dyDescent="0.5">
      <c r="A65" t="s">
        <v>7661</v>
      </c>
    </row>
    <row r="66" spans="1:2" x14ac:dyDescent="0.5">
      <c r="A66" t="s">
        <v>7662</v>
      </c>
    </row>
    <row r="67" spans="1:2" x14ac:dyDescent="0.5">
      <c r="A67" t="s">
        <v>7663</v>
      </c>
    </row>
    <row r="68" spans="1:2" x14ac:dyDescent="0.5">
      <c r="A68" t="s">
        <v>7664</v>
      </c>
    </row>
    <row r="69" spans="1:2" x14ac:dyDescent="0.5">
      <c r="A69" t="s">
        <v>7665</v>
      </c>
    </row>
    <row r="70" spans="1:2" x14ac:dyDescent="0.5">
      <c r="A70" t="s">
        <v>7666</v>
      </c>
      <c r="B70" t="s">
        <v>7667</v>
      </c>
    </row>
    <row r="71" spans="1:2" x14ac:dyDescent="0.5">
      <c r="A71" t="s">
        <v>7668</v>
      </c>
    </row>
    <row r="72" spans="1:2" x14ac:dyDescent="0.5">
      <c r="A72" t="s">
        <v>7670</v>
      </c>
    </row>
    <row r="73" spans="1:2" x14ac:dyDescent="0.5">
      <c r="A73" t="s">
        <v>7671</v>
      </c>
    </row>
    <row r="74" spans="1:2" x14ac:dyDescent="0.5">
      <c r="A74" t="s">
        <v>7672</v>
      </c>
    </row>
    <row r="75" spans="1:2" x14ac:dyDescent="0.5">
      <c r="A75" t="s">
        <v>7673</v>
      </c>
    </row>
    <row r="77" spans="1:2" x14ac:dyDescent="0.5">
      <c r="A77" t="s">
        <v>7674</v>
      </c>
    </row>
    <row r="78" spans="1:2" x14ac:dyDescent="0.5">
      <c r="A78" t="s">
        <v>7675</v>
      </c>
    </row>
    <row r="79" spans="1:2" x14ac:dyDescent="0.5">
      <c r="A79" t="s">
        <v>7676</v>
      </c>
    </row>
    <row r="80" spans="1:2" x14ac:dyDescent="0.5">
      <c r="A80" t="s">
        <v>7677</v>
      </c>
    </row>
    <row r="81" spans="1:2" x14ac:dyDescent="0.5">
      <c r="A81" t="s">
        <v>7678</v>
      </c>
    </row>
    <row r="83" spans="1:2" x14ac:dyDescent="0.5">
      <c r="A83" t="s">
        <v>7679</v>
      </c>
    </row>
    <row r="84" spans="1:2" x14ac:dyDescent="0.5">
      <c r="A84" t="s">
        <v>7680</v>
      </c>
    </row>
    <row r="85" spans="1:2" x14ac:dyDescent="0.5">
      <c r="A85" t="s">
        <v>7681</v>
      </c>
    </row>
    <row r="86" spans="1:2" x14ac:dyDescent="0.5">
      <c r="A86" t="s">
        <v>7682</v>
      </c>
    </row>
    <row r="87" spans="1:2" x14ac:dyDescent="0.5">
      <c r="A87" t="s">
        <v>7683</v>
      </c>
      <c r="B87" t="s">
        <v>7667</v>
      </c>
    </row>
    <row r="89" spans="1:2" x14ac:dyDescent="0.5">
      <c r="A89" t="s">
        <v>7684</v>
      </c>
    </row>
    <row r="90" spans="1:2" x14ac:dyDescent="0.5">
      <c r="A90" t="s">
        <v>7685</v>
      </c>
    </row>
    <row r="91" spans="1:2" x14ac:dyDescent="0.5">
      <c r="A91" t="s">
        <v>7686</v>
      </c>
    </row>
    <row r="92" spans="1:2" x14ac:dyDescent="0.5">
      <c r="A92" t="s">
        <v>7687</v>
      </c>
    </row>
    <row r="93" spans="1:2" x14ac:dyDescent="0.5">
      <c r="A93" t="s">
        <v>7688</v>
      </c>
      <c r="B93" t="s">
        <v>7667</v>
      </c>
    </row>
    <row r="95" spans="1:2" x14ac:dyDescent="0.5">
      <c r="A95" t="s">
        <v>7689</v>
      </c>
    </row>
    <row r="96" spans="1:2" x14ac:dyDescent="0.5">
      <c r="A96" t="s">
        <v>7690</v>
      </c>
    </row>
    <row r="97" spans="1:2" x14ac:dyDescent="0.5">
      <c r="A97" t="s">
        <v>7691</v>
      </c>
    </row>
    <row r="98" spans="1:2" x14ac:dyDescent="0.5">
      <c r="A98" t="s">
        <v>7692</v>
      </c>
    </row>
    <row r="99" spans="1:2" x14ac:dyDescent="0.5">
      <c r="A99" t="s">
        <v>7693</v>
      </c>
      <c r="B99" t="s">
        <v>7667</v>
      </c>
    </row>
    <row r="102" spans="1:2" x14ac:dyDescent="0.5">
      <c r="A102" t="s">
        <v>7694</v>
      </c>
    </row>
    <row r="103" spans="1:2" x14ac:dyDescent="0.5">
      <c r="A103" t="s">
        <v>7695</v>
      </c>
    </row>
    <row r="104" spans="1:2" x14ac:dyDescent="0.5">
      <c r="A104" t="s">
        <v>7696</v>
      </c>
    </row>
    <row r="105" spans="1:2" x14ac:dyDescent="0.5">
      <c r="A105" t="s">
        <v>7697</v>
      </c>
    </row>
    <row r="106" spans="1:2" x14ac:dyDescent="0.5">
      <c r="A106" t="s">
        <v>7698</v>
      </c>
      <c r="B106" t="s">
        <v>7667</v>
      </c>
    </row>
    <row r="108" spans="1:2" x14ac:dyDescent="0.5">
      <c r="A108" t="s">
        <v>7699</v>
      </c>
    </row>
    <row r="109" spans="1:2" x14ac:dyDescent="0.5">
      <c r="A109" t="s">
        <v>7700</v>
      </c>
    </row>
    <row r="110" spans="1:2" x14ac:dyDescent="0.5">
      <c r="A110" t="s">
        <v>7701</v>
      </c>
    </row>
    <row r="111" spans="1:2" x14ac:dyDescent="0.5">
      <c r="A111" t="s">
        <v>7528</v>
      </c>
    </row>
    <row r="112" spans="1:2" x14ac:dyDescent="0.5">
      <c r="A112" t="s">
        <v>7702</v>
      </c>
    </row>
    <row r="114" spans="1:1" x14ac:dyDescent="0.5">
      <c r="A114" t="s">
        <v>7703</v>
      </c>
    </row>
    <row r="115" spans="1:1" x14ac:dyDescent="0.5">
      <c r="A115" t="s">
        <v>7704</v>
      </c>
    </row>
    <row r="116" spans="1:1" x14ac:dyDescent="0.5">
      <c r="A116" t="s">
        <v>7705</v>
      </c>
    </row>
    <row r="117" spans="1:1" x14ac:dyDescent="0.5">
      <c r="A117" t="s">
        <v>7706</v>
      </c>
    </row>
    <row r="118" spans="1:1" x14ac:dyDescent="0.5">
      <c r="A118" t="s">
        <v>7707</v>
      </c>
    </row>
    <row r="120" spans="1:1" x14ac:dyDescent="0.5">
      <c r="A120" t="s">
        <v>7708</v>
      </c>
    </row>
    <row r="121" spans="1:1" x14ac:dyDescent="0.5">
      <c r="A121" t="s">
        <v>7709</v>
      </c>
    </row>
    <row r="122" spans="1:1" x14ac:dyDescent="0.5">
      <c r="A122" t="s">
        <v>7710</v>
      </c>
    </row>
    <row r="123" spans="1:1" x14ac:dyDescent="0.5">
      <c r="A123" t="s">
        <v>7711</v>
      </c>
    </row>
    <row r="124" spans="1:1" x14ac:dyDescent="0.5">
      <c r="A124" t="s">
        <v>7712</v>
      </c>
    </row>
    <row r="126" spans="1:1" x14ac:dyDescent="0.5">
      <c r="A126" t="s">
        <v>7713</v>
      </c>
    </row>
    <row r="127" spans="1:1" x14ac:dyDescent="0.5">
      <c r="A127" t="s">
        <v>7714</v>
      </c>
    </row>
    <row r="128" spans="1:1" x14ac:dyDescent="0.5">
      <c r="A128" t="s">
        <v>7715</v>
      </c>
    </row>
    <row r="129" spans="1:2" x14ac:dyDescent="0.5">
      <c r="A129" t="s">
        <v>7716</v>
      </c>
    </row>
    <row r="130" spans="1:2" x14ac:dyDescent="0.5">
      <c r="A130" t="s">
        <v>7717</v>
      </c>
    </row>
    <row r="132" spans="1:2" x14ac:dyDescent="0.5">
      <c r="A132" t="s">
        <v>7718</v>
      </c>
    </row>
    <row r="133" spans="1:2" x14ac:dyDescent="0.5">
      <c r="A133" t="s">
        <v>7719</v>
      </c>
    </row>
    <row r="134" spans="1:2" x14ac:dyDescent="0.5">
      <c r="A134" t="s">
        <v>7720</v>
      </c>
    </row>
    <row r="135" spans="1:2" x14ac:dyDescent="0.5">
      <c r="A135" t="s">
        <v>7721</v>
      </c>
    </row>
    <row r="136" spans="1:2" x14ac:dyDescent="0.5">
      <c r="A136" t="s">
        <v>7722</v>
      </c>
    </row>
    <row r="138" spans="1:2" x14ac:dyDescent="0.5">
      <c r="A138" t="s">
        <v>7723</v>
      </c>
    </row>
    <row r="139" spans="1:2" x14ac:dyDescent="0.5">
      <c r="A139" t="s">
        <v>7724</v>
      </c>
    </row>
    <row r="140" spans="1:2" x14ac:dyDescent="0.5">
      <c r="A140" t="s">
        <v>7725</v>
      </c>
    </row>
    <row r="141" spans="1:2" x14ac:dyDescent="0.5">
      <c r="A141" t="s">
        <v>7726</v>
      </c>
    </row>
    <row r="142" spans="1:2" x14ac:dyDescent="0.5">
      <c r="A142" t="s">
        <v>7727</v>
      </c>
    </row>
    <row r="144" spans="1:2" x14ac:dyDescent="0.5">
      <c r="A144" t="s">
        <v>7728</v>
      </c>
      <c r="B144" t="s">
        <v>7669</v>
      </c>
    </row>
    <row r="145" spans="1:2" x14ac:dyDescent="0.5">
      <c r="A145" t="s">
        <v>7729</v>
      </c>
    </row>
    <row r="146" spans="1:2" x14ac:dyDescent="0.5">
      <c r="A146" t="s">
        <v>7730</v>
      </c>
    </row>
    <row r="147" spans="1:2" x14ac:dyDescent="0.5">
      <c r="A147" t="s">
        <v>7731</v>
      </c>
    </row>
    <row r="148" spans="1:2" x14ac:dyDescent="0.5">
      <c r="A148" t="s">
        <v>7732</v>
      </c>
      <c r="B148" t="s">
        <v>7667</v>
      </c>
    </row>
    <row r="150" spans="1:2" x14ac:dyDescent="0.5">
      <c r="A150" t="s">
        <v>7733</v>
      </c>
    </row>
    <row r="151" spans="1:2" x14ac:dyDescent="0.5">
      <c r="A151" t="s">
        <v>7734</v>
      </c>
    </row>
    <row r="152" spans="1:2" x14ac:dyDescent="0.5">
      <c r="A152" t="s">
        <v>7735</v>
      </c>
    </row>
    <row r="153" spans="1:2" x14ac:dyDescent="0.5">
      <c r="A153" t="s">
        <v>7736</v>
      </c>
    </row>
    <row r="154" spans="1:2" x14ac:dyDescent="0.5">
      <c r="A154" t="s">
        <v>7737</v>
      </c>
    </row>
    <row r="156" spans="1:2" x14ac:dyDescent="0.5">
      <c r="A156" t="s">
        <v>7738</v>
      </c>
    </row>
    <row r="157" spans="1:2" x14ac:dyDescent="0.5">
      <c r="A157" t="s">
        <v>7739</v>
      </c>
    </row>
    <row r="158" spans="1:2" x14ac:dyDescent="0.5">
      <c r="A158" t="s">
        <v>7740</v>
      </c>
    </row>
    <row r="159" spans="1:2" x14ac:dyDescent="0.5">
      <c r="A159" t="s">
        <v>7741</v>
      </c>
    </row>
    <row r="160" spans="1:2" x14ac:dyDescent="0.5">
      <c r="A160" t="s">
        <v>7742</v>
      </c>
    </row>
    <row r="161" spans="1:1" x14ac:dyDescent="0.5">
      <c r="A161" t="s">
        <v>7743</v>
      </c>
    </row>
    <row r="162" spans="1:1" x14ac:dyDescent="0.5">
      <c r="A162" t="s">
        <v>7744</v>
      </c>
    </row>
    <row r="163" spans="1:1" x14ac:dyDescent="0.5">
      <c r="A163" t="s">
        <v>7745</v>
      </c>
    </row>
    <row r="164" spans="1:1" x14ac:dyDescent="0.5">
      <c r="A164" t="s">
        <v>7746</v>
      </c>
    </row>
    <row r="165" spans="1:1" x14ac:dyDescent="0.5">
      <c r="A165" t="s">
        <v>7747</v>
      </c>
    </row>
    <row r="167" spans="1:1" x14ac:dyDescent="0.5">
      <c r="A167" t="s">
        <v>7529</v>
      </c>
    </row>
    <row r="168" spans="1:1" x14ac:dyDescent="0.5">
      <c r="A168" t="s">
        <v>7530</v>
      </c>
    </row>
    <row r="169" spans="1:1" x14ac:dyDescent="0.5">
      <c r="A169" t="s">
        <v>7531</v>
      </c>
    </row>
    <row r="170" spans="1:1" x14ac:dyDescent="0.5">
      <c r="A170" t="s">
        <v>7532</v>
      </c>
    </row>
    <row r="171" spans="1:1" x14ac:dyDescent="0.5">
      <c r="A171" t="s">
        <v>7533</v>
      </c>
    </row>
    <row r="173" spans="1:1" x14ac:dyDescent="0.5">
      <c r="A173" t="s">
        <v>7534</v>
      </c>
    </row>
    <row r="174" spans="1:1" x14ac:dyDescent="0.5">
      <c r="A174" t="s">
        <v>7535</v>
      </c>
    </row>
    <row r="175" spans="1:1" x14ac:dyDescent="0.5">
      <c r="A175" t="s">
        <v>7536</v>
      </c>
    </row>
    <row r="176" spans="1:1" x14ac:dyDescent="0.5">
      <c r="A176" t="s">
        <v>7537</v>
      </c>
    </row>
    <row r="177" spans="1:1" x14ac:dyDescent="0.5">
      <c r="A177" t="s">
        <v>7538</v>
      </c>
    </row>
    <row r="179" spans="1:1" x14ac:dyDescent="0.5">
      <c r="A179" t="s">
        <v>7539</v>
      </c>
    </row>
    <row r="180" spans="1:1" x14ac:dyDescent="0.5">
      <c r="A180" t="s">
        <v>7540</v>
      </c>
    </row>
    <row r="181" spans="1:1" x14ac:dyDescent="0.5">
      <c r="A181" t="s">
        <v>7541</v>
      </c>
    </row>
    <row r="182" spans="1:1" x14ac:dyDescent="0.5">
      <c r="A182" t="s">
        <v>7542</v>
      </c>
    </row>
    <row r="183" spans="1:1" x14ac:dyDescent="0.5">
      <c r="A183" t="s">
        <v>7543</v>
      </c>
    </row>
    <row r="185" spans="1:1" x14ac:dyDescent="0.5">
      <c r="A185" t="s">
        <v>7544</v>
      </c>
    </row>
    <row r="186" spans="1:1" x14ac:dyDescent="0.5">
      <c r="A186" t="s">
        <v>7545</v>
      </c>
    </row>
    <row r="187" spans="1:1" x14ac:dyDescent="0.5">
      <c r="A187" t="s">
        <v>7546</v>
      </c>
    </row>
    <row r="188" spans="1:1" x14ac:dyDescent="0.5">
      <c r="A188" t="s">
        <v>7547</v>
      </c>
    </row>
    <row r="189" spans="1:1" x14ac:dyDescent="0.5">
      <c r="A189" t="s">
        <v>7548</v>
      </c>
    </row>
    <row r="190" spans="1:1" x14ac:dyDescent="0.5">
      <c r="A190" t="s">
        <v>7549</v>
      </c>
    </row>
    <row r="191" spans="1:1" x14ac:dyDescent="0.5">
      <c r="A191" t="s">
        <v>7550</v>
      </c>
    </row>
    <row r="192" spans="1:1" x14ac:dyDescent="0.5">
      <c r="A192" t="s">
        <v>7551</v>
      </c>
    </row>
    <row r="193" spans="1:1" x14ac:dyDescent="0.5">
      <c r="A193" t="s">
        <v>7552</v>
      </c>
    </row>
    <row r="194" spans="1:1" x14ac:dyDescent="0.5">
      <c r="A194" t="s">
        <v>7553</v>
      </c>
    </row>
    <row r="195" spans="1:1" x14ac:dyDescent="0.5">
      <c r="A195" t="s">
        <v>7554</v>
      </c>
    </row>
    <row r="196" spans="1:1" x14ac:dyDescent="0.5">
      <c r="A196" t="s">
        <v>7555</v>
      </c>
    </row>
    <row r="197" spans="1:1" x14ac:dyDescent="0.5">
      <c r="A197" t="s">
        <v>7556</v>
      </c>
    </row>
    <row r="198" spans="1:1" x14ac:dyDescent="0.5">
      <c r="A198" t="s">
        <v>7557</v>
      </c>
    </row>
    <row r="199" spans="1:1" x14ac:dyDescent="0.5">
      <c r="A199" t="s">
        <v>7558</v>
      </c>
    </row>
    <row r="200" spans="1:1" x14ac:dyDescent="0.5">
      <c r="A200" t="s">
        <v>7559</v>
      </c>
    </row>
    <row r="201" spans="1:1" x14ac:dyDescent="0.5">
      <c r="A201" t="s">
        <v>7560</v>
      </c>
    </row>
    <row r="202" spans="1:1" x14ac:dyDescent="0.5">
      <c r="A202" t="s">
        <v>7561</v>
      </c>
    </row>
    <row r="203" spans="1:1" x14ac:dyDescent="0.5">
      <c r="A203" t="s">
        <v>7562</v>
      </c>
    </row>
    <row r="204" spans="1:1" x14ac:dyDescent="0.5">
      <c r="A204" t="s">
        <v>7563</v>
      </c>
    </row>
    <row r="205" spans="1:1" x14ac:dyDescent="0.5">
      <c r="A205" t="s">
        <v>7564</v>
      </c>
    </row>
    <row r="206" spans="1:1" x14ac:dyDescent="0.5">
      <c r="A206" t="s">
        <v>7565</v>
      </c>
    </row>
    <row r="207" spans="1:1" x14ac:dyDescent="0.5">
      <c r="A207" t="s">
        <v>7566</v>
      </c>
    </row>
    <row r="208" spans="1:1" x14ac:dyDescent="0.5">
      <c r="A208" t="s">
        <v>7567</v>
      </c>
    </row>
    <row r="209" spans="1:2" x14ac:dyDescent="0.5">
      <c r="A209" t="s">
        <v>7568</v>
      </c>
    </row>
    <row r="210" spans="1:2" x14ac:dyDescent="0.5">
      <c r="A210" t="s">
        <v>7569</v>
      </c>
    </row>
    <row r="211" spans="1:2" x14ac:dyDescent="0.5">
      <c r="A211" t="s">
        <v>7570</v>
      </c>
    </row>
    <row r="212" spans="1:2" x14ac:dyDescent="0.5">
      <c r="A212" t="s">
        <v>7571</v>
      </c>
    </row>
    <row r="213" spans="1:2" x14ac:dyDescent="0.5">
      <c r="A213" t="s">
        <v>7572</v>
      </c>
    </row>
    <row r="214" spans="1:2" x14ac:dyDescent="0.5">
      <c r="A214" t="s">
        <v>7573</v>
      </c>
    </row>
    <row r="216" spans="1:2" x14ac:dyDescent="0.5">
      <c r="A216" t="s">
        <v>7748</v>
      </c>
    </row>
    <row r="217" spans="1:2" x14ac:dyDescent="0.5">
      <c r="A217" t="s">
        <v>7749</v>
      </c>
    </row>
    <row r="218" spans="1:2" x14ac:dyDescent="0.5">
      <c r="A218" t="s">
        <v>7750</v>
      </c>
    </row>
    <row r="219" spans="1:2" x14ac:dyDescent="0.5">
      <c r="A219" t="s">
        <v>7751</v>
      </c>
    </row>
    <row r="220" spans="1:2" x14ac:dyDescent="0.5">
      <c r="A220" t="s">
        <v>7752</v>
      </c>
      <c r="B220" t="s">
        <v>7753</v>
      </c>
    </row>
    <row r="222" spans="1:2" x14ac:dyDescent="0.5">
      <c r="A222" t="s">
        <v>7754</v>
      </c>
    </row>
    <row r="223" spans="1:2" x14ac:dyDescent="0.5">
      <c r="A223" t="s">
        <v>7755</v>
      </c>
    </row>
    <row r="224" spans="1:2" x14ac:dyDescent="0.5">
      <c r="A224" t="s">
        <v>7756</v>
      </c>
    </row>
    <row r="225" spans="1:1" x14ac:dyDescent="0.5">
      <c r="A225" t="s">
        <v>7757</v>
      </c>
    </row>
    <row r="226" spans="1:1" x14ac:dyDescent="0.5">
      <c r="A226" t="s">
        <v>7758</v>
      </c>
    </row>
    <row r="228" spans="1:1" x14ac:dyDescent="0.5">
      <c r="A228" t="s">
        <v>7574</v>
      </c>
    </row>
    <row r="229" spans="1:1" x14ac:dyDescent="0.5">
      <c r="A229" t="s">
        <v>7575</v>
      </c>
    </row>
    <row r="230" spans="1:1" x14ac:dyDescent="0.5">
      <c r="A230" t="s">
        <v>7576</v>
      </c>
    </row>
    <row r="231" spans="1:1" x14ac:dyDescent="0.5">
      <c r="A231" t="s">
        <v>7577</v>
      </c>
    </row>
    <row r="232" spans="1:1" x14ac:dyDescent="0.5">
      <c r="A232" t="s">
        <v>7578</v>
      </c>
    </row>
    <row r="234" spans="1:1" x14ac:dyDescent="0.5">
      <c r="A234" t="s">
        <v>7579</v>
      </c>
    </row>
    <row r="235" spans="1:1" x14ac:dyDescent="0.5">
      <c r="A235" t="s">
        <v>7580</v>
      </c>
    </row>
    <row r="236" spans="1:1" x14ac:dyDescent="0.5">
      <c r="A236" t="s">
        <v>7581</v>
      </c>
    </row>
    <row r="237" spans="1:1" x14ac:dyDescent="0.5">
      <c r="A237" t="s">
        <v>7582</v>
      </c>
    </row>
    <row r="238" spans="1:1" x14ac:dyDescent="0.5">
      <c r="A238" t="s">
        <v>7583</v>
      </c>
    </row>
    <row r="240" spans="1:1" x14ac:dyDescent="0.5">
      <c r="A240" t="s">
        <v>7584</v>
      </c>
    </row>
    <row r="241" spans="1:1" x14ac:dyDescent="0.5">
      <c r="A241" t="s">
        <v>7585</v>
      </c>
    </row>
    <row r="242" spans="1:1" x14ac:dyDescent="0.5">
      <c r="A242" t="s">
        <v>7586</v>
      </c>
    </row>
    <row r="243" spans="1:1" x14ac:dyDescent="0.5">
      <c r="A243" t="s">
        <v>7587</v>
      </c>
    </row>
    <row r="244" spans="1:1" x14ac:dyDescent="0.5">
      <c r="A244" t="s">
        <v>7588</v>
      </c>
    </row>
    <row r="246" spans="1:1" x14ac:dyDescent="0.5">
      <c r="A246" t="s">
        <v>7589</v>
      </c>
    </row>
    <row r="247" spans="1:1" x14ac:dyDescent="0.5">
      <c r="A247" t="s">
        <v>7590</v>
      </c>
    </row>
    <row r="248" spans="1:1" x14ac:dyDescent="0.5">
      <c r="A248" t="s">
        <v>7591</v>
      </c>
    </row>
    <row r="249" spans="1:1" x14ac:dyDescent="0.5">
      <c r="A249" t="s">
        <v>7592</v>
      </c>
    </row>
    <row r="250" spans="1:1" x14ac:dyDescent="0.5">
      <c r="A250" t="s">
        <v>7593</v>
      </c>
    </row>
    <row r="251" spans="1:1" x14ac:dyDescent="0.5">
      <c r="A251" t="s">
        <v>7594</v>
      </c>
    </row>
    <row r="252" spans="1:1" x14ac:dyDescent="0.5">
      <c r="A252" t="s">
        <v>7595</v>
      </c>
    </row>
    <row r="253" spans="1:1" x14ac:dyDescent="0.5">
      <c r="A253" t="s">
        <v>7596</v>
      </c>
    </row>
    <row r="254" spans="1:1" x14ac:dyDescent="0.5">
      <c r="A254" t="s">
        <v>7597</v>
      </c>
    </row>
    <row r="255" spans="1:1" x14ac:dyDescent="0.5">
      <c r="A255" t="s">
        <v>7598</v>
      </c>
    </row>
    <row r="256" spans="1:1" x14ac:dyDescent="0.5">
      <c r="A256" t="s">
        <v>7599</v>
      </c>
    </row>
    <row r="257" spans="1:1" x14ac:dyDescent="0.5">
      <c r="A257" t="s">
        <v>7600</v>
      </c>
    </row>
    <row r="258" spans="1:1" x14ac:dyDescent="0.5">
      <c r="A258" t="s">
        <v>7601</v>
      </c>
    </row>
    <row r="259" spans="1:1" x14ac:dyDescent="0.5">
      <c r="A259" t="s">
        <v>7602</v>
      </c>
    </row>
    <row r="260" spans="1:1" x14ac:dyDescent="0.5">
      <c r="A260" t="s">
        <v>7603</v>
      </c>
    </row>
    <row r="262" spans="1:1" x14ac:dyDescent="0.5">
      <c r="A262" t="s">
        <v>7604</v>
      </c>
    </row>
    <row r="263" spans="1:1" x14ac:dyDescent="0.5">
      <c r="A263" t="s">
        <v>7605</v>
      </c>
    </row>
    <row r="264" spans="1:1" x14ac:dyDescent="0.5">
      <c r="A264" t="s">
        <v>7606</v>
      </c>
    </row>
    <row r="265" spans="1:1" x14ac:dyDescent="0.5">
      <c r="A265" t="s">
        <v>7607</v>
      </c>
    </row>
    <row r="266" spans="1:1" x14ac:dyDescent="0.5">
      <c r="A266" t="s">
        <v>7608</v>
      </c>
    </row>
    <row r="267" spans="1:1" x14ac:dyDescent="0.5">
      <c r="A267" t="s">
        <v>7609</v>
      </c>
    </row>
    <row r="268" spans="1:1" x14ac:dyDescent="0.5">
      <c r="A268" t="s">
        <v>7610</v>
      </c>
    </row>
    <row r="269" spans="1:1" x14ac:dyDescent="0.5">
      <c r="A269" t="s">
        <v>7611</v>
      </c>
    </row>
    <row r="270" spans="1:1" x14ac:dyDescent="0.5">
      <c r="A270" t="s">
        <v>7612</v>
      </c>
    </row>
    <row r="271" spans="1:1" x14ac:dyDescent="0.5">
      <c r="A271" t="s">
        <v>7613</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FCD0ED-F17D-486D-8DF9-BB671BEF56DF}">
  <sheetPr codeName="Sheet6"/>
  <dimension ref="A1:X171"/>
  <sheetViews>
    <sheetView tabSelected="1" zoomScale="55" zoomScaleNormal="55" workbookViewId="0">
      <pane ySplit="1" topLeftCell="A110" activePane="bottomLeft" state="frozen"/>
      <selection pane="bottomLeft" activeCell="A90" sqref="A90"/>
    </sheetView>
  </sheetViews>
  <sheetFormatPr defaultRowHeight="14.35" x14ac:dyDescent="0.5"/>
  <cols>
    <col min="1" max="1" width="34.41015625" customWidth="1"/>
    <col min="2" max="9" width="34.41015625" style="197" customWidth="1"/>
    <col min="10" max="11" width="34.41015625" customWidth="1"/>
    <col min="12" max="12" width="37.3515625" customWidth="1"/>
    <col min="13" max="13" width="34.87890625" customWidth="1"/>
    <col min="14" max="14" width="40.3515625" customWidth="1"/>
    <col min="15" max="15" width="91.1171875" customWidth="1"/>
    <col min="16" max="16" width="39.87890625" customWidth="1"/>
    <col min="17" max="17" width="39.87890625" hidden="1" customWidth="1"/>
    <col min="18" max="18" width="11.234375" hidden="1" customWidth="1"/>
    <col min="19" max="19" width="16" hidden="1" customWidth="1"/>
    <col min="20" max="20" width="28.87890625" hidden="1" customWidth="1"/>
    <col min="21" max="21" width="20.52734375" hidden="1" customWidth="1"/>
    <col min="22" max="22" width="20.3515625" hidden="1" customWidth="1"/>
    <col min="23" max="23" width="22.234375" hidden="1" customWidth="1"/>
  </cols>
  <sheetData>
    <row r="1" spans="1:24" ht="41.35" thickBot="1" x14ac:dyDescent="0.55000000000000004">
      <c r="A1" s="35" t="s">
        <v>250</v>
      </c>
      <c r="B1" s="200" t="s">
        <v>6773</v>
      </c>
      <c r="C1" s="200" t="s">
        <v>4569</v>
      </c>
      <c r="D1" s="200" t="s">
        <v>6789</v>
      </c>
      <c r="E1" s="200" t="s">
        <v>7454</v>
      </c>
      <c r="F1" s="200" t="s">
        <v>6790</v>
      </c>
      <c r="G1" s="200" t="s">
        <v>7048</v>
      </c>
      <c r="H1" s="200" t="s">
        <v>6793</v>
      </c>
      <c r="I1" s="200" t="s">
        <v>6794</v>
      </c>
      <c r="J1" s="35" t="s">
        <v>6750</v>
      </c>
      <c r="K1" s="35" t="s">
        <v>6752</v>
      </c>
      <c r="L1" s="35" t="s">
        <v>6505</v>
      </c>
      <c r="M1" s="35" t="s">
        <v>6506</v>
      </c>
      <c r="N1" s="35" t="s">
        <v>6507</v>
      </c>
      <c r="O1" s="35" t="s">
        <v>6508</v>
      </c>
      <c r="P1" s="35" t="s">
        <v>6509</v>
      </c>
      <c r="Q1" s="201" t="s">
        <v>7439</v>
      </c>
      <c r="R1" s="201" t="s">
        <v>6787</v>
      </c>
      <c r="S1" s="201" t="s">
        <v>6792</v>
      </c>
      <c r="T1" s="201" t="s">
        <v>7050</v>
      </c>
      <c r="U1" s="201" t="s">
        <v>7411</v>
      </c>
      <c r="V1" s="201" t="s">
        <v>7412</v>
      </c>
      <c r="W1" s="201" t="s">
        <v>7453</v>
      </c>
      <c r="X1" s="201" t="s">
        <v>7761</v>
      </c>
    </row>
    <row r="2" spans="1:24" ht="14.7" thickBot="1" x14ac:dyDescent="0.55000000000000004">
      <c r="A2" s="258" t="s">
        <v>3389</v>
      </c>
      <c r="B2" s="196"/>
      <c r="C2" s="196"/>
      <c r="D2" s="196" t="s">
        <v>7480</v>
      </c>
      <c r="E2" s="196" t="s">
        <v>6782</v>
      </c>
      <c r="F2" s="196" t="s">
        <v>191</v>
      </c>
      <c r="G2" s="196"/>
      <c r="H2" s="196"/>
      <c r="I2" s="196"/>
      <c r="J2" s="203" t="s">
        <v>7105</v>
      </c>
      <c r="K2" s="195" t="e">
        <v>#N/A</v>
      </c>
      <c r="L2" s="155" t="s">
        <v>6596</v>
      </c>
      <c r="M2" s="155"/>
      <c r="N2" s="155" t="s">
        <v>6599</v>
      </c>
      <c r="O2" s="268"/>
      <c r="P2" s="155" t="s">
        <v>6602</v>
      </c>
      <c r="Q2" s="257" t="s">
        <v>206</v>
      </c>
      <c r="S2" s="272"/>
      <c r="T2" t="str">
        <f t="shared" ref="T2:T33" si="0">P2&amp;";"&amp;J2</f>
        <v>uyghur;217;191;128</v>
      </c>
      <c r="U2" t="str">
        <f>P2&amp;";"&amp;D2&amp;";;;;;;;;;;;;;x"</f>
        <v>uyghur;Laotian;;;;;;;;;;;;;x</v>
      </c>
      <c r="V2" t="str">
        <f>Q2&amp;";"&amp;E2&amp;";;;;;;;;;;;;;x"</f>
        <v>altaic;Asian;;;;;;;;;;;;;x</v>
      </c>
      <c r="W2">
        <v>61</v>
      </c>
      <c r="X2" t="s">
        <v>117</v>
      </c>
    </row>
    <row r="3" spans="1:24" ht="14.7" thickBot="1" x14ac:dyDescent="0.55000000000000004">
      <c r="A3" s="265" t="s">
        <v>3437</v>
      </c>
      <c r="B3" s="196"/>
      <c r="C3" s="196"/>
      <c r="D3" s="196" t="s">
        <v>238</v>
      </c>
      <c r="E3" s="196" t="s">
        <v>6782</v>
      </c>
      <c r="F3" s="196" t="s">
        <v>107</v>
      </c>
      <c r="G3" s="196"/>
      <c r="H3" s="196"/>
      <c r="I3" s="196"/>
      <c r="J3" s="203" t="s">
        <v>7106</v>
      </c>
      <c r="K3" s="195" t="s">
        <v>6759</v>
      </c>
      <c r="L3" s="156" t="s">
        <v>6596</v>
      </c>
      <c r="M3" s="156"/>
      <c r="N3" s="156" t="s">
        <v>6603</v>
      </c>
      <c r="O3" s="41"/>
      <c r="P3" s="157" t="s">
        <v>152</v>
      </c>
      <c r="Q3" s="257" t="s">
        <v>206</v>
      </c>
      <c r="S3" s="202" t="s">
        <v>117</v>
      </c>
      <c r="T3" t="str">
        <f t="shared" si="0"/>
        <v>mongol;102;102;255</v>
      </c>
      <c r="U3" t="str">
        <f>P3&amp;";"&amp;D3&amp;";;;;;;;;;;;;;x"</f>
        <v>mongol;Towner;;;;;;;;;;;;;x</v>
      </c>
      <c r="V3" t="str">
        <f>Q3&amp;";"&amp;E3&amp;";;;;;;;;;;;;;x"</f>
        <v>altaic;Asian;;;;;;;;;;;;;x</v>
      </c>
      <c r="W3">
        <v>62</v>
      </c>
      <c r="X3" t="s">
        <v>117</v>
      </c>
    </row>
    <row r="4" spans="1:24" ht="14.7" thickBot="1" x14ac:dyDescent="0.55000000000000004">
      <c r="A4" s="49" t="s">
        <v>1007</v>
      </c>
      <c r="B4" s="196"/>
      <c r="C4" s="196"/>
      <c r="D4" s="196"/>
      <c r="E4" s="196"/>
      <c r="F4" s="196"/>
      <c r="G4" s="196"/>
      <c r="H4" s="196"/>
      <c r="I4" s="196"/>
      <c r="J4" s="203" t="s">
        <v>7052</v>
      </c>
      <c r="K4" s="195" t="e">
        <v>#N/A</v>
      </c>
      <c r="L4" s="156" t="s">
        <v>6510</v>
      </c>
      <c r="M4" s="156"/>
      <c r="N4" s="156" t="s">
        <v>6512</v>
      </c>
      <c r="O4" s="47" t="s">
        <v>6515</v>
      </c>
      <c r="P4" s="37" t="s">
        <v>6518</v>
      </c>
      <c r="Q4" s="257" t="s">
        <v>7432</v>
      </c>
      <c r="T4" t="str">
        <f t="shared" si="0"/>
        <v>swedish;64;128;191</v>
      </c>
      <c r="U4" t="str">
        <f t="shared" ref="U4:U35" si="1">P4&amp;";"&amp;D4&amp;";;;;;;;;;;;;;x"</f>
        <v>swedish;;;;;;;;;;;;;;x</v>
      </c>
      <c r="V4" t="s">
        <v>7460</v>
      </c>
      <c r="W4">
        <v>3</v>
      </c>
    </row>
    <row r="5" spans="1:24" ht="14.7" thickBot="1" x14ac:dyDescent="0.55000000000000004">
      <c r="A5" s="50" t="s">
        <v>263</v>
      </c>
      <c r="B5" s="196"/>
      <c r="C5" s="196"/>
      <c r="D5" s="196"/>
      <c r="E5" s="196"/>
      <c r="F5" s="196"/>
      <c r="G5" s="196"/>
      <c r="H5" s="196"/>
      <c r="I5" s="196"/>
      <c r="J5" s="203" t="s">
        <v>7053</v>
      </c>
      <c r="K5" s="195" t="e">
        <v>#N/A</v>
      </c>
      <c r="L5" s="156" t="s">
        <v>6510</v>
      </c>
      <c r="M5" s="156"/>
      <c r="N5" s="156" t="s">
        <v>6512</v>
      </c>
      <c r="O5" s="47" t="s">
        <v>6516</v>
      </c>
      <c r="P5" s="37" t="s">
        <v>6519</v>
      </c>
      <c r="Q5" s="257" t="s">
        <v>7432</v>
      </c>
      <c r="T5" t="str">
        <f t="shared" si="0"/>
        <v>norwegian;51;115;166</v>
      </c>
      <c r="U5" t="str">
        <f t="shared" si="1"/>
        <v>norwegian;;;;;;;;;;;;;;x</v>
      </c>
      <c r="V5" t="s">
        <v>7460</v>
      </c>
      <c r="W5">
        <v>4</v>
      </c>
    </row>
    <row r="6" spans="1:24" ht="14.7" thickBot="1" x14ac:dyDescent="0.55000000000000004">
      <c r="A6" s="51" t="s">
        <v>285</v>
      </c>
      <c r="B6" s="196"/>
      <c r="C6" s="196"/>
      <c r="D6" s="196"/>
      <c r="E6" s="196"/>
      <c r="F6" s="196"/>
      <c r="G6" s="196"/>
      <c r="H6" s="196"/>
      <c r="I6" s="196"/>
      <c r="J6" s="203" t="s">
        <v>7054</v>
      </c>
      <c r="K6" s="195" t="e">
        <v>#N/A</v>
      </c>
      <c r="L6" s="156" t="s">
        <v>6510</v>
      </c>
      <c r="M6" s="157"/>
      <c r="N6" s="156" t="s">
        <v>6512</v>
      </c>
      <c r="O6" s="48" t="s">
        <v>6517</v>
      </c>
      <c r="P6" s="37" t="s">
        <v>6520</v>
      </c>
      <c r="Q6" s="257" t="s">
        <v>7432</v>
      </c>
      <c r="T6" t="str">
        <f t="shared" si="0"/>
        <v>danish;38;102;140</v>
      </c>
      <c r="U6" t="str">
        <f t="shared" si="1"/>
        <v>danish;;;;;;;;;;;;;;x</v>
      </c>
      <c r="V6" t="s">
        <v>7460</v>
      </c>
      <c r="W6">
        <v>5</v>
      </c>
    </row>
    <row r="7" spans="1:24" ht="14.7" thickBot="1" x14ac:dyDescent="0.55000000000000004">
      <c r="A7" s="52" t="s">
        <v>515</v>
      </c>
      <c r="B7" s="196"/>
      <c r="C7" s="196"/>
      <c r="D7" s="196"/>
      <c r="E7" s="196"/>
      <c r="F7" s="196"/>
      <c r="G7" s="196"/>
      <c r="H7" s="196"/>
      <c r="I7" s="196"/>
      <c r="J7" s="203" t="s">
        <v>7055</v>
      </c>
      <c r="K7" s="195" t="e">
        <v>#N/A</v>
      </c>
      <c r="L7" s="155" t="s">
        <v>6521</v>
      </c>
      <c r="M7" s="155" t="s">
        <v>6511</v>
      </c>
      <c r="N7" s="155" t="s">
        <v>6522</v>
      </c>
      <c r="O7" s="37"/>
      <c r="P7" s="37" t="s">
        <v>138</v>
      </c>
      <c r="Q7" s="257" t="s">
        <v>7419</v>
      </c>
      <c r="T7" t="str">
        <f t="shared" si="0"/>
        <v>german;128;128;128</v>
      </c>
      <c r="U7" t="str">
        <f t="shared" si="1"/>
        <v>german;;;;;;;;;;;;;;x</v>
      </c>
      <c r="V7" t="s">
        <v>7461</v>
      </c>
      <c r="W7">
        <v>6</v>
      </c>
    </row>
    <row r="8" spans="1:24" ht="14.7" thickBot="1" x14ac:dyDescent="0.55000000000000004">
      <c r="A8" s="53" t="s">
        <v>871</v>
      </c>
      <c r="B8" s="196"/>
      <c r="C8" s="196"/>
      <c r="D8" s="196"/>
      <c r="E8" s="196"/>
      <c r="F8" s="196"/>
      <c r="G8" s="196"/>
      <c r="H8" s="196"/>
      <c r="I8" s="196"/>
      <c r="J8" s="203" t="s">
        <v>7056</v>
      </c>
      <c r="K8" s="195" t="e">
        <v>#N/A</v>
      </c>
      <c r="L8" s="156" t="s">
        <v>6521</v>
      </c>
      <c r="M8" s="156"/>
      <c r="N8" s="156" t="s">
        <v>6522</v>
      </c>
      <c r="O8" s="37" t="s">
        <v>6523</v>
      </c>
      <c r="P8" s="37" t="s">
        <v>6524</v>
      </c>
      <c r="Q8" s="257" t="s">
        <v>7419</v>
      </c>
      <c r="T8" t="str">
        <f t="shared" si="0"/>
        <v>lombard;153;153;204</v>
      </c>
      <c r="U8" t="str">
        <f t="shared" si="1"/>
        <v>lombard;;;;;;;;;;;;;;x</v>
      </c>
      <c r="V8" t="s">
        <v>7461</v>
      </c>
      <c r="W8">
        <v>7</v>
      </c>
    </row>
    <row r="9" spans="1:24" ht="14.7" customHeight="1" thickBot="1" x14ac:dyDescent="0.55000000000000004">
      <c r="A9" s="101" t="s">
        <v>6604</v>
      </c>
      <c r="D9" s="196" t="s">
        <v>7047</v>
      </c>
      <c r="E9" s="196" t="s">
        <v>6782</v>
      </c>
      <c r="F9" s="196" t="s">
        <v>191</v>
      </c>
      <c r="G9" s="196"/>
      <c r="H9" s="196"/>
      <c r="I9" s="196"/>
      <c r="J9" s="203" t="s">
        <v>7107</v>
      </c>
      <c r="K9" s="195" t="e">
        <v>#N/A</v>
      </c>
      <c r="L9" s="156" t="s">
        <v>6596</v>
      </c>
      <c r="M9" s="156"/>
      <c r="N9" s="156" t="s">
        <v>6605</v>
      </c>
      <c r="O9" s="269"/>
      <c r="P9" s="37" t="s">
        <v>158</v>
      </c>
      <c r="Q9" s="257" t="s">
        <v>206</v>
      </c>
      <c r="R9" s="271"/>
      <c r="S9" s="271"/>
      <c r="T9" t="str">
        <f t="shared" si="0"/>
        <v>khitan;204;204;77</v>
      </c>
      <c r="U9" t="str">
        <f t="shared" si="1"/>
        <v>khitan;Malaysian;;;;;;;;;;;;;x</v>
      </c>
      <c r="V9" t="str">
        <f>Q9&amp;";"&amp;E9&amp;";;;;;;;;;;;;;x"</f>
        <v>altaic;Asian;;;;;;;;;;;;;x</v>
      </c>
      <c r="W9">
        <v>63</v>
      </c>
      <c r="X9" t="s">
        <v>117</v>
      </c>
    </row>
    <row r="10" spans="1:24" ht="14.7" thickBot="1" x14ac:dyDescent="0.55000000000000004">
      <c r="A10" s="55" t="s">
        <v>698</v>
      </c>
      <c r="B10" s="196"/>
      <c r="C10" s="196"/>
      <c r="D10" s="196"/>
      <c r="E10" s="196"/>
      <c r="F10" s="196"/>
      <c r="G10" s="196"/>
      <c r="H10" s="196"/>
      <c r="I10" s="196"/>
      <c r="J10" s="203" t="s">
        <v>7058</v>
      </c>
      <c r="K10" s="195" t="e">
        <v>#N/A</v>
      </c>
      <c r="L10" s="156" t="s">
        <v>6521</v>
      </c>
      <c r="M10" s="157"/>
      <c r="N10" s="156" t="s">
        <v>6522</v>
      </c>
      <c r="O10" s="37" t="s">
        <v>6526</v>
      </c>
      <c r="P10" s="37" t="s">
        <v>6527</v>
      </c>
      <c r="Q10" s="257" t="s">
        <v>7419</v>
      </c>
      <c r="T10" t="str">
        <f t="shared" si="0"/>
        <v>suebi;179;179;179</v>
      </c>
      <c r="U10" t="str">
        <f t="shared" si="1"/>
        <v>suebi;;;;;;;;;;;;;;x</v>
      </c>
      <c r="V10" t="s">
        <v>7461</v>
      </c>
      <c r="W10">
        <v>9</v>
      </c>
    </row>
    <row r="11" spans="1:24" ht="14.7" thickBot="1" x14ac:dyDescent="0.55000000000000004">
      <c r="A11" s="71" t="s">
        <v>1164</v>
      </c>
      <c r="B11" s="196" t="s">
        <v>6775</v>
      </c>
      <c r="C11" s="196" t="s">
        <v>6776</v>
      </c>
      <c r="D11" s="196" t="s">
        <v>7037</v>
      </c>
      <c r="E11" s="196" t="s">
        <v>7038</v>
      </c>
      <c r="F11" s="196" t="s">
        <v>107</v>
      </c>
      <c r="G11" s="196"/>
      <c r="H11" s="196"/>
      <c r="I11" s="196"/>
      <c r="J11" s="203" t="s">
        <v>7077</v>
      </c>
      <c r="K11" s="195" t="s">
        <v>6756</v>
      </c>
      <c r="L11" s="155" t="s">
        <v>6566</v>
      </c>
      <c r="M11" s="155"/>
      <c r="N11" s="37" t="s">
        <v>6568</v>
      </c>
      <c r="O11" s="37"/>
      <c r="P11" s="37" t="s">
        <v>147</v>
      </c>
      <c r="Q11" s="257" t="s">
        <v>237</v>
      </c>
      <c r="R11" s="257" t="s">
        <v>117</v>
      </c>
      <c r="S11" s="257" t="s">
        <v>117</v>
      </c>
      <c r="T11" t="str">
        <f t="shared" si="0"/>
        <v>greek;204;77;204</v>
      </c>
      <c r="U11" t="str">
        <f t="shared" si="1"/>
        <v>greek;Darwinner;;;;;;;;;;;;;x</v>
      </c>
      <c r="V11" t="str">
        <f>Q11&amp;";"&amp;E11&amp;";;;;;;;;;;;;;x"</f>
        <v>byzantine;Aussie;;;;;;;;;;;;;x</v>
      </c>
      <c r="W11">
        <v>31</v>
      </c>
      <c r="X11" t="s">
        <v>8455</v>
      </c>
    </row>
    <row r="12" spans="1:24" ht="14.7" customHeight="1" thickBot="1" x14ac:dyDescent="0.55000000000000004">
      <c r="A12" s="72" t="s">
        <v>1917</v>
      </c>
      <c r="B12" s="196"/>
      <c r="C12" s="196"/>
      <c r="D12" s="196" t="s">
        <v>235</v>
      </c>
      <c r="E12" s="196" t="s">
        <v>7038</v>
      </c>
      <c r="F12" s="196" t="s">
        <v>107</v>
      </c>
      <c r="G12" s="196"/>
      <c r="H12" s="196"/>
      <c r="I12" s="196"/>
      <c r="J12" s="203" t="s">
        <v>7078</v>
      </c>
      <c r="K12" s="195" t="e">
        <v>#N/A</v>
      </c>
      <c r="L12" s="156" t="s">
        <v>6566</v>
      </c>
      <c r="M12" s="156"/>
      <c r="N12" s="155" t="s">
        <v>6572</v>
      </c>
      <c r="O12" s="37"/>
      <c r="P12" s="37" t="s">
        <v>159</v>
      </c>
      <c r="Q12" s="257" t="s">
        <v>237</v>
      </c>
      <c r="R12" s="271"/>
      <c r="T12" t="str">
        <f t="shared" si="0"/>
        <v>alan;179;128;179</v>
      </c>
      <c r="U12" t="str">
        <f t="shared" si="1"/>
        <v>alan;Perthling;;;;;;;;;;;;;x</v>
      </c>
      <c r="V12" t="str">
        <f>Q12&amp;";"&amp;E12&amp;";;;;;;;;;;;;;x"</f>
        <v>byzantine;Aussie;;;;;;;;;;;;;x</v>
      </c>
      <c r="W12">
        <v>32</v>
      </c>
      <c r="X12" t="s">
        <v>8457</v>
      </c>
    </row>
    <row r="13" spans="1:24" ht="27.75" customHeight="1" thickBot="1" x14ac:dyDescent="0.55000000000000004">
      <c r="A13" s="74" t="s">
        <v>2144</v>
      </c>
      <c r="B13" s="196"/>
      <c r="C13" s="196"/>
      <c r="D13" s="196" t="s">
        <v>7036</v>
      </c>
      <c r="E13" s="196" t="s">
        <v>7038</v>
      </c>
      <c r="F13" s="196" t="s">
        <v>107</v>
      </c>
      <c r="G13" s="196"/>
      <c r="H13" s="196"/>
      <c r="I13" s="196"/>
      <c r="J13" s="203" t="s">
        <v>7080</v>
      </c>
      <c r="K13" s="195" t="e">
        <v>#N/A</v>
      </c>
      <c r="L13" s="156" t="s">
        <v>6566</v>
      </c>
      <c r="M13" s="156"/>
      <c r="N13" s="156" t="s">
        <v>6574</v>
      </c>
      <c r="O13" s="37"/>
      <c r="P13" s="37" t="s">
        <v>146</v>
      </c>
      <c r="Q13" s="257" t="s">
        <v>237</v>
      </c>
      <c r="R13" s="271"/>
      <c r="S13" s="272"/>
      <c r="T13" t="str">
        <f t="shared" si="0"/>
        <v>assyrian;102;77;153</v>
      </c>
      <c r="U13" t="str">
        <f t="shared" si="1"/>
        <v>assyrian;Queenslander;;;;;;;;;;;;;x</v>
      </c>
      <c r="V13" t="str">
        <f>Q13&amp;";"&amp;E13&amp;";;;;;;;;;;;;;x"</f>
        <v>byzantine;Aussie;;;;;;;;;;;;;x</v>
      </c>
      <c r="W13">
        <v>34</v>
      </c>
      <c r="X13" t="s">
        <v>8447</v>
      </c>
    </row>
    <row r="14" spans="1:24" ht="14.7" thickBot="1" x14ac:dyDescent="0.55000000000000004">
      <c r="A14" s="57" t="s">
        <v>503</v>
      </c>
      <c r="B14" s="196"/>
      <c r="C14" s="196"/>
      <c r="D14" s="196"/>
      <c r="E14" s="196"/>
      <c r="F14" s="196"/>
      <c r="G14" s="196"/>
      <c r="H14" s="196"/>
      <c r="I14" s="196"/>
      <c r="J14" s="203" t="s">
        <v>7062</v>
      </c>
      <c r="K14" s="195" t="e">
        <v>#N/A</v>
      </c>
      <c r="L14" s="156" t="s">
        <v>6528</v>
      </c>
      <c r="M14" s="156"/>
      <c r="N14" s="156" t="s">
        <v>6531</v>
      </c>
      <c r="O14" s="37" t="s">
        <v>6533</v>
      </c>
      <c r="P14" s="37" t="s">
        <v>6534</v>
      </c>
      <c r="Q14" s="257" t="s">
        <v>7436</v>
      </c>
      <c r="T14" t="str">
        <f t="shared" si="0"/>
        <v>frisian;179;77;0</v>
      </c>
      <c r="U14" t="str">
        <f t="shared" si="1"/>
        <v>frisian;;;;;;;;;;;;;;x</v>
      </c>
      <c r="V14" t="s">
        <v>7462</v>
      </c>
      <c r="W14">
        <v>13</v>
      </c>
    </row>
    <row r="15" spans="1:24" ht="14.7" thickBot="1" x14ac:dyDescent="0.55000000000000004">
      <c r="A15" s="58" t="s">
        <v>493</v>
      </c>
      <c r="B15" s="196"/>
      <c r="C15" s="196"/>
      <c r="D15" s="196"/>
      <c r="E15" s="196"/>
      <c r="F15" s="196"/>
      <c r="G15" s="196"/>
      <c r="H15" s="196"/>
      <c r="I15" s="196"/>
      <c r="J15" s="203" t="s">
        <v>7063</v>
      </c>
      <c r="K15" s="195" t="e">
        <v>#N/A</v>
      </c>
      <c r="L15" s="156" t="s">
        <v>6528</v>
      </c>
      <c r="M15" s="157"/>
      <c r="N15" s="37" t="s">
        <v>6522</v>
      </c>
      <c r="O15" s="37" t="s">
        <v>6535</v>
      </c>
      <c r="P15" s="37" t="s">
        <v>6536</v>
      </c>
      <c r="Q15" s="257" t="s">
        <v>7436</v>
      </c>
      <c r="T15" t="str">
        <f t="shared" si="0"/>
        <v>dutch;245;99;20</v>
      </c>
      <c r="U15" t="str">
        <f t="shared" si="1"/>
        <v>dutch;;;;;;;;;;;;;;x</v>
      </c>
      <c r="V15" t="s">
        <v>7462</v>
      </c>
      <c r="W15">
        <v>14</v>
      </c>
    </row>
    <row r="16" spans="1:24" ht="14.7" thickBot="1" x14ac:dyDescent="0.55000000000000004">
      <c r="A16" s="76" t="s">
        <v>6576</v>
      </c>
      <c r="B16" s="196"/>
      <c r="C16" s="196"/>
      <c r="D16" s="196" t="s">
        <v>198</v>
      </c>
      <c r="E16" s="196" t="s">
        <v>7038</v>
      </c>
      <c r="F16" s="196" t="s">
        <v>107</v>
      </c>
      <c r="G16" s="196"/>
      <c r="H16" s="196"/>
      <c r="I16" s="196"/>
      <c r="J16" s="203" t="s">
        <v>7082</v>
      </c>
      <c r="K16" s="195" t="e">
        <v>#N/A</v>
      </c>
      <c r="L16" s="155" t="s">
        <v>6566</v>
      </c>
      <c r="M16" s="155"/>
      <c r="N16" s="37" t="s">
        <v>6577</v>
      </c>
      <c r="O16" s="37"/>
      <c r="P16" s="37" t="s">
        <v>148</v>
      </c>
      <c r="Q16" s="257" t="s">
        <v>237</v>
      </c>
      <c r="T16" t="str">
        <f t="shared" si="0"/>
        <v>crimean_gothic;204;102;204</v>
      </c>
      <c r="U16" t="str">
        <f t="shared" si="1"/>
        <v>crimean_gothic;Brisbanite;;;;;;;;;;;;;x</v>
      </c>
      <c r="V16" t="str">
        <f>Q16&amp;";"&amp;E16&amp;";;;;;;;;;;;;;x"</f>
        <v>byzantine;Aussie;;;;;;;;;;;;;x</v>
      </c>
      <c r="W16">
        <v>36</v>
      </c>
      <c r="X16" t="s">
        <v>8456</v>
      </c>
    </row>
    <row r="17" spans="1:24" ht="14.7" thickBot="1" x14ac:dyDescent="0.55000000000000004">
      <c r="A17" s="158" t="s">
        <v>550</v>
      </c>
      <c r="B17" s="196"/>
      <c r="C17" s="196"/>
      <c r="D17" s="196"/>
      <c r="E17" s="196"/>
      <c r="F17" s="196"/>
      <c r="G17" s="196"/>
      <c r="H17" s="196"/>
      <c r="I17" s="196"/>
      <c r="J17" s="203" t="s">
        <v>7065</v>
      </c>
      <c r="K17" s="195" t="e">
        <v>#N/A</v>
      </c>
      <c r="L17" s="156" t="s">
        <v>6537</v>
      </c>
      <c r="M17" s="156"/>
      <c r="N17" s="155" t="s">
        <v>6539</v>
      </c>
      <c r="O17" s="155" t="s">
        <v>6540</v>
      </c>
      <c r="P17" s="155" t="s">
        <v>6542</v>
      </c>
      <c r="Q17" s="257" t="s">
        <v>7429</v>
      </c>
      <c r="T17" t="str">
        <f t="shared" si="0"/>
        <v>norman;204;179;26</v>
      </c>
      <c r="U17" t="str">
        <f t="shared" si="1"/>
        <v>norman;;;;;;;;;;;;;;x</v>
      </c>
      <c r="V17" t="s">
        <v>7463</v>
      </c>
      <c r="W17">
        <v>16</v>
      </c>
    </row>
    <row r="18" spans="1:24" ht="14.7" thickBot="1" x14ac:dyDescent="0.55000000000000004">
      <c r="A18" s="159" t="s">
        <v>550</v>
      </c>
      <c r="B18" s="196"/>
      <c r="C18" s="196"/>
      <c r="D18" s="196"/>
      <c r="E18" s="196"/>
      <c r="F18" s="196"/>
      <c r="G18" s="196"/>
      <c r="H18" s="196"/>
      <c r="I18" s="196"/>
      <c r="J18" s="203" t="s">
        <v>7065</v>
      </c>
      <c r="K18" s="195" t="e">
        <v>#N/A</v>
      </c>
      <c r="L18" s="156" t="s">
        <v>6537</v>
      </c>
      <c r="M18" s="156"/>
      <c r="N18" s="156" t="s">
        <v>6539</v>
      </c>
      <c r="O18" s="157" t="s">
        <v>6541</v>
      </c>
      <c r="P18" s="157"/>
      <c r="Q18" s="257" t="s">
        <v>7429</v>
      </c>
      <c r="T18" t="str">
        <f t="shared" si="0"/>
        <v>;204;179;26</v>
      </c>
      <c r="U18" t="str">
        <f t="shared" si="1"/>
        <v>;;;;;;;;;;;;;;x</v>
      </c>
      <c r="V18" t="s">
        <v>7463</v>
      </c>
      <c r="W18">
        <v>17</v>
      </c>
    </row>
    <row r="19" spans="1:24" ht="14.7" thickBot="1" x14ac:dyDescent="0.55000000000000004">
      <c r="A19" s="60" t="s">
        <v>872</v>
      </c>
      <c r="B19" s="196"/>
      <c r="C19" s="196"/>
      <c r="D19" s="196"/>
      <c r="E19" s="196"/>
      <c r="F19" s="196"/>
      <c r="G19" s="196"/>
      <c r="H19" s="196"/>
      <c r="I19" s="196"/>
      <c r="J19" s="203" t="s">
        <v>7066</v>
      </c>
      <c r="K19" s="195" t="e">
        <v>#N/A</v>
      </c>
      <c r="L19" s="156" t="s">
        <v>6537</v>
      </c>
      <c r="M19" s="156"/>
      <c r="N19" s="37" t="s">
        <v>6543</v>
      </c>
      <c r="O19" s="37" t="s">
        <v>6544</v>
      </c>
      <c r="P19" s="37" t="s">
        <v>143</v>
      </c>
      <c r="Q19" s="257" t="s">
        <v>7429</v>
      </c>
      <c r="T19" t="str">
        <f t="shared" si="0"/>
        <v>italian;242;242;191</v>
      </c>
      <c r="U19" t="str">
        <f t="shared" si="1"/>
        <v>italian;;;;;;;;;;;;;;x</v>
      </c>
      <c r="V19" t="s">
        <v>7463</v>
      </c>
      <c r="W19">
        <v>18</v>
      </c>
    </row>
    <row r="20" spans="1:24" ht="14.7" thickBot="1" x14ac:dyDescent="0.55000000000000004">
      <c r="A20" s="61" t="s">
        <v>658</v>
      </c>
      <c r="B20" s="196"/>
      <c r="C20" s="196"/>
      <c r="D20" s="196"/>
      <c r="E20" s="196"/>
      <c r="F20" s="196"/>
      <c r="G20" s="196"/>
      <c r="H20" s="196"/>
      <c r="I20" s="196"/>
      <c r="J20" s="203" t="s">
        <v>7067</v>
      </c>
      <c r="K20" s="195" t="e">
        <v>#N/A</v>
      </c>
      <c r="L20" s="156" t="s">
        <v>6537</v>
      </c>
      <c r="M20" s="156"/>
      <c r="N20" s="37" t="s">
        <v>6545</v>
      </c>
      <c r="O20" s="37"/>
      <c r="P20" s="37" t="s">
        <v>6546</v>
      </c>
      <c r="Q20" s="257" t="s">
        <v>7429</v>
      </c>
      <c r="T20" t="str">
        <f t="shared" si="0"/>
        <v>occitan;230;230;102</v>
      </c>
      <c r="U20" t="str">
        <f t="shared" si="1"/>
        <v>occitan;;;;;;;;;;;;;;x</v>
      </c>
      <c r="V20" t="s">
        <v>7463</v>
      </c>
      <c r="W20">
        <v>19</v>
      </c>
    </row>
    <row r="21" spans="1:24" ht="14.7" thickBot="1" x14ac:dyDescent="0.55000000000000004">
      <c r="A21" s="56" t="s">
        <v>6547</v>
      </c>
      <c r="B21" s="196"/>
      <c r="C21" s="196"/>
      <c r="D21" s="196"/>
      <c r="E21" s="196"/>
      <c r="F21" s="196"/>
      <c r="G21" s="196"/>
      <c r="H21" s="196"/>
      <c r="I21" s="196"/>
      <c r="J21" s="203" t="s">
        <v>7059</v>
      </c>
      <c r="K21" s="195" t="e">
        <v>#N/A</v>
      </c>
      <c r="L21" s="156" t="s">
        <v>6537</v>
      </c>
      <c r="M21" s="156"/>
      <c r="N21" s="37" t="s">
        <v>6548</v>
      </c>
      <c r="O21" s="37" t="s">
        <v>6549</v>
      </c>
      <c r="P21" s="37" t="s">
        <v>6550</v>
      </c>
      <c r="Q21" s="257" t="s">
        <v>7429</v>
      </c>
      <c r="T21" t="str">
        <f t="shared" si="0"/>
        <v>roman;204;51;51</v>
      </c>
      <c r="U21" t="str">
        <f t="shared" si="1"/>
        <v>roman;;;;;;;;;;;;;;x</v>
      </c>
      <c r="V21" t="s">
        <v>7463</v>
      </c>
      <c r="W21">
        <v>20</v>
      </c>
    </row>
    <row r="22" spans="1:24" ht="14.7" thickBot="1" x14ac:dyDescent="0.55000000000000004">
      <c r="A22" s="59" t="s">
        <v>1551</v>
      </c>
      <c r="B22" s="196"/>
      <c r="C22" s="196"/>
      <c r="D22" s="196"/>
      <c r="E22" s="196"/>
      <c r="F22" s="196"/>
      <c r="G22" s="196"/>
      <c r="H22" s="196"/>
      <c r="I22" s="196"/>
      <c r="J22" s="203" t="s">
        <v>7064</v>
      </c>
      <c r="K22" s="195" t="e">
        <v>#N/A</v>
      </c>
      <c r="L22" s="156" t="s">
        <v>6537</v>
      </c>
      <c r="M22" s="156"/>
      <c r="N22" s="37" t="s">
        <v>6551</v>
      </c>
      <c r="O22" s="37" t="s">
        <v>6552</v>
      </c>
      <c r="P22" s="37" t="s">
        <v>6553</v>
      </c>
      <c r="Q22" s="257" t="s">
        <v>7429</v>
      </c>
      <c r="T22" t="str">
        <f t="shared" si="0"/>
        <v>dalmatian;204;204;51</v>
      </c>
      <c r="U22" t="str">
        <f t="shared" si="1"/>
        <v>dalmatian;;;;;;;;;;;;;;x</v>
      </c>
      <c r="V22" t="s">
        <v>7463</v>
      </c>
      <c r="W22">
        <v>21</v>
      </c>
    </row>
    <row r="23" spans="1:24" ht="14.7" thickBot="1" x14ac:dyDescent="0.55000000000000004">
      <c r="A23" s="62" t="s">
        <v>6554</v>
      </c>
      <c r="B23" s="196"/>
      <c r="C23" s="196"/>
      <c r="D23" s="196"/>
      <c r="E23" s="196"/>
      <c r="F23" s="196"/>
      <c r="G23" s="196"/>
      <c r="H23" s="196"/>
      <c r="I23" s="196"/>
      <c r="J23" s="203" t="s">
        <v>7068</v>
      </c>
      <c r="K23" s="195" t="e">
        <v>#N/A</v>
      </c>
      <c r="L23" s="156" t="s">
        <v>6537</v>
      </c>
      <c r="M23" s="156"/>
      <c r="N23" s="37" t="s">
        <v>6555</v>
      </c>
      <c r="O23" s="37" t="s">
        <v>6556</v>
      </c>
      <c r="P23" s="37" t="s">
        <v>6557</v>
      </c>
      <c r="Q23" s="257" t="s">
        <v>7429</v>
      </c>
      <c r="T23" t="str">
        <f t="shared" si="0"/>
        <v>outremer;133;156;38</v>
      </c>
      <c r="U23" t="str">
        <f t="shared" si="1"/>
        <v>outremer;;;;;;;;;;;;;;x</v>
      </c>
      <c r="V23" t="s">
        <v>7463</v>
      </c>
      <c r="W23">
        <v>22</v>
      </c>
    </row>
    <row r="24" spans="1:24" ht="14.7" thickBot="1" x14ac:dyDescent="0.55000000000000004">
      <c r="A24" s="63" t="s">
        <v>6558</v>
      </c>
      <c r="B24" s="196"/>
      <c r="C24" s="196"/>
      <c r="D24" s="196"/>
      <c r="E24" s="196"/>
      <c r="F24" s="196"/>
      <c r="G24" s="196"/>
      <c r="H24" s="196"/>
      <c r="I24" s="196"/>
      <c r="J24" s="203" t="s">
        <v>7069</v>
      </c>
      <c r="K24" s="195" t="e">
        <v>#N/A</v>
      </c>
      <c r="L24" s="156" t="s">
        <v>6537</v>
      </c>
      <c r="M24" s="157"/>
      <c r="N24" s="37" t="s">
        <v>6543</v>
      </c>
      <c r="O24" s="37"/>
      <c r="P24" s="37" t="s">
        <v>6559</v>
      </c>
      <c r="Q24" s="257" t="s">
        <v>7429</v>
      </c>
      <c r="T24" t="str">
        <f t="shared" si="0"/>
        <v>sardinian;217;191;13</v>
      </c>
      <c r="U24" t="str">
        <f t="shared" si="1"/>
        <v>sardinian;;;;;;;;;;;;;;x</v>
      </c>
      <c r="V24" t="s">
        <v>7463</v>
      </c>
      <c r="W24">
        <v>23</v>
      </c>
    </row>
    <row r="25" spans="1:24" ht="14.7" thickBot="1" x14ac:dyDescent="0.55000000000000004">
      <c r="A25" s="77" t="s">
        <v>261</v>
      </c>
      <c r="B25" s="196" t="s">
        <v>4574</v>
      </c>
      <c r="C25" s="196" t="s">
        <v>4572</v>
      </c>
      <c r="D25" s="196" t="s">
        <v>232</v>
      </c>
      <c r="E25" s="196" t="s">
        <v>7452</v>
      </c>
      <c r="F25" s="196" t="s">
        <v>230</v>
      </c>
      <c r="G25" s="196"/>
      <c r="H25" s="196"/>
      <c r="I25" s="196"/>
      <c r="J25" s="203" t="s">
        <v>7083</v>
      </c>
      <c r="K25" s="195" t="s">
        <v>6757</v>
      </c>
      <c r="L25" s="155" t="s">
        <v>6578</v>
      </c>
      <c r="M25" s="155" t="s">
        <v>6511</v>
      </c>
      <c r="N25" s="37" t="s">
        <v>6579</v>
      </c>
      <c r="O25" s="39" t="s">
        <v>6580</v>
      </c>
      <c r="P25" s="37" t="s">
        <v>210</v>
      </c>
      <c r="Q25" s="257" t="s">
        <v>209</v>
      </c>
      <c r="R25" s="257" t="s">
        <v>117</v>
      </c>
      <c r="S25" s="257" t="s">
        <v>117</v>
      </c>
      <c r="T25" t="str">
        <f t="shared" si="0"/>
        <v>irish;77;204;204</v>
      </c>
      <c r="U25" t="str">
        <f t="shared" si="1"/>
        <v>irish;Atani;;;;;;;;;;;;;x</v>
      </c>
      <c r="V25" t="str">
        <f>Q25&amp;";"&amp;E25&amp;";;;;;;;;;;;;;x"</f>
        <v>celtic;Auzlander;;;;;;;;;;;;;x</v>
      </c>
      <c r="W25">
        <v>37</v>
      </c>
      <c r="X25" t="s">
        <v>117</v>
      </c>
    </row>
    <row r="26" spans="1:24" ht="14.7" customHeight="1" thickBot="1" x14ac:dyDescent="0.55000000000000004">
      <c r="A26" s="65" t="s">
        <v>690</v>
      </c>
      <c r="B26" s="196" t="s">
        <v>6537</v>
      </c>
      <c r="C26" s="196" t="s">
        <v>4572</v>
      </c>
      <c r="D26" s="196"/>
      <c r="E26" s="196"/>
      <c r="F26" s="196"/>
      <c r="G26" s="196"/>
      <c r="H26" s="196"/>
      <c r="I26" s="196"/>
      <c r="J26" s="203" t="s">
        <v>7071</v>
      </c>
      <c r="K26" s="195" t="e">
        <v>#N/A</v>
      </c>
      <c r="L26" s="156" t="s">
        <v>6560</v>
      </c>
      <c r="M26" s="156"/>
      <c r="N26" s="155" t="s">
        <v>6563</v>
      </c>
      <c r="O26" s="37"/>
      <c r="P26" s="37" t="s">
        <v>6564</v>
      </c>
      <c r="Q26" s="257" t="s">
        <v>7425</v>
      </c>
      <c r="R26" s="156" t="s">
        <v>117</v>
      </c>
      <c r="T26" t="str">
        <f t="shared" si="0"/>
        <v>castillan [sic];242;209;23</v>
      </c>
      <c r="U26" t="str">
        <f t="shared" si="1"/>
        <v>castillan [sic];;;;;;;;;;;;;;x</v>
      </c>
      <c r="V26" t="s">
        <v>7464</v>
      </c>
      <c r="W26">
        <v>25</v>
      </c>
    </row>
    <row r="27" spans="1:24" ht="14.7" thickBot="1" x14ac:dyDescent="0.55000000000000004">
      <c r="A27" s="66" t="s">
        <v>752</v>
      </c>
      <c r="B27" s="196"/>
      <c r="C27" s="196"/>
      <c r="D27" s="196"/>
      <c r="E27" s="196"/>
      <c r="F27" s="196"/>
      <c r="G27" s="196"/>
      <c r="H27" s="196"/>
      <c r="I27" s="196"/>
      <c r="J27" s="203" t="s">
        <v>7072</v>
      </c>
      <c r="K27" s="195" t="e">
        <v>#N/A</v>
      </c>
      <c r="L27" s="156" t="s">
        <v>6560</v>
      </c>
      <c r="M27" s="156"/>
      <c r="N27" s="156" t="s">
        <v>6563</v>
      </c>
      <c r="O27" s="37"/>
      <c r="P27" s="37" t="s">
        <v>145</v>
      </c>
      <c r="Q27" s="257" t="s">
        <v>7425</v>
      </c>
      <c r="T27" t="str">
        <f t="shared" si="0"/>
        <v>catalan;217;191;20</v>
      </c>
      <c r="U27" t="str">
        <f t="shared" si="1"/>
        <v>catalan;;;;;;;;;;;;;;x</v>
      </c>
      <c r="V27" t="s">
        <v>7464</v>
      </c>
      <c r="W27">
        <v>26</v>
      </c>
    </row>
    <row r="28" spans="1:24" ht="14.7" thickBot="1" x14ac:dyDescent="0.55000000000000004">
      <c r="A28" s="67" t="s">
        <v>699</v>
      </c>
      <c r="B28" s="196"/>
      <c r="C28" s="196"/>
      <c r="D28" s="196"/>
      <c r="E28" s="196"/>
      <c r="F28" s="196"/>
      <c r="G28" s="196"/>
      <c r="H28" s="196"/>
      <c r="I28" s="196"/>
      <c r="J28" s="203" t="s">
        <v>7073</v>
      </c>
      <c r="K28" s="195" t="e">
        <v>#N/A</v>
      </c>
      <c r="L28" s="156" t="s">
        <v>6560</v>
      </c>
      <c r="M28" s="156"/>
      <c r="N28" s="156" t="s">
        <v>6563</v>
      </c>
      <c r="O28" s="37"/>
      <c r="P28" s="37" t="s">
        <v>142</v>
      </c>
      <c r="Q28" s="257" t="s">
        <v>7425</v>
      </c>
      <c r="T28" t="str">
        <f t="shared" si="0"/>
        <v>portuguese;191;171;18</v>
      </c>
      <c r="U28" t="str">
        <f t="shared" si="1"/>
        <v>portuguese;;;;;;;;;;;;;;x</v>
      </c>
      <c r="V28" t="s">
        <v>7464</v>
      </c>
      <c r="W28">
        <v>27</v>
      </c>
    </row>
    <row r="29" spans="1:24" ht="14.7" thickBot="1" x14ac:dyDescent="0.55000000000000004">
      <c r="A29" s="79" t="s">
        <v>369</v>
      </c>
      <c r="B29" s="196"/>
      <c r="C29" s="196"/>
      <c r="D29" s="196" t="s">
        <v>195</v>
      </c>
      <c r="E29" s="196" t="s">
        <v>7452</v>
      </c>
      <c r="F29" s="196" t="s">
        <v>107</v>
      </c>
      <c r="G29" s="196"/>
      <c r="H29" s="196"/>
      <c r="I29" s="196"/>
      <c r="J29" s="203" t="s">
        <v>7085</v>
      </c>
      <c r="K29" s="195" t="s">
        <v>6758</v>
      </c>
      <c r="L29" s="156" t="s">
        <v>6578</v>
      </c>
      <c r="M29" s="157"/>
      <c r="N29" s="156" t="s">
        <v>6579</v>
      </c>
      <c r="O29" s="269"/>
      <c r="P29" s="37" t="s">
        <v>211</v>
      </c>
      <c r="Q29" s="257" t="s">
        <v>209</v>
      </c>
      <c r="S29" s="202" t="s">
        <v>117</v>
      </c>
      <c r="T29" t="str">
        <f t="shared" si="0"/>
        <v>pictish;51;153;153</v>
      </c>
      <c r="U29" t="str">
        <f t="shared" si="1"/>
        <v>pictish;Bogan;;;;;;;;;;;;;x</v>
      </c>
      <c r="V29" t="str">
        <f>Q29&amp;";"&amp;E29&amp;";;;;;;;;;;;;;x"</f>
        <v>celtic;Auzlander;;;;;;;;;;;;;x</v>
      </c>
      <c r="W29">
        <v>39</v>
      </c>
      <c r="X29" t="s">
        <v>117</v>
      </c>
    </row>
    <row r="30" spans="1:24" ht="14.7" customHeight="1" thickBot="1" x14ac:dyDescent="0.55000000000000004">
      <c r="A30" s="69" t="s">
        <v>1570</v>
      </c>
      <c r="B30" s="196"/>
      <c r="C30" s="196"/>
      <c r="D30" s="196"/>
      <c r="E30" s="196"/>
      <c r="F30" s="196"/>
      <c r="G30" s="196"/>
      <c r="H30" s="196"/>
      <c r="I30" s="196"/>
      <c r="J30" s="203" t="s">
        <v>7075</v>
      </c>
      <c r="K30" s="195" t="e">
        <v>#N/A</v>
      </c>
      <c r="L30" s="155" t="s">
        <v>6566</v>
      </c>
      <c r="M30" s="155" t="s">
        <v>6567</v>
      </c>
      <c r="N30" s="37" t="s">
        <v>6568</v>
      </c>
      <c r="O30" s="155" t="s">
        <v>6569</v>
      </c>
      <c r="P30" s="37" t="s">
        <v>6570</v>
      </c>
      <c r="Q30" s="257" t="s">
        <v>7416</v>
      </c>
      <c r="T30" t="str">
        <f t="shared" si="0"/>
        <v>arberian;179;51;230</v>
      </c>
      <c r="U30" t="str">
        <f t="shared" si="1"/>
        <v>arberian;;;;;;;;;;;;;;x</v>
      </c>
      <c r="V30" t="s">
        <v>7465</v>
      </c>
      <c r="W30">
        <v>29</v>
      </c>
    </row>
    <row r="31" spans="1:24" ht="14.7" thickBot="1" x14ac:dyDescent="0.55000000000000004">
      <c r="A31" s="70" t="s">
        <v>2079</v>
      </c>
      <c r="B31" s="196"/>
      <c r="C31" s="196"/>
      <c r="D31" s="196"/>
      <c r="E31" s="196"/>
      <c r="F31" s="196"/>
      <c r="G31" s="196"/>
      <c r="H31" s="196"/>
      <c r="I31" s="196"/>
      <c r="J31" s="203" t="s">
        <v>7076</v>
      </c>
      <c r="K31" s="195" t="e">
        <v>#N/A</v>
      </c>
      <c r="L31" s="156" t="s">
        <v>6566</v>
      </c>
      <c r="M31" s="156"/>
      <c r="N31" s="37" t="s">
        <v>6568</v>
      </c>
      <c r="O31" s="156"/>
      <c r="P31" s="37" t="s">
        <v>6571</v>
      </c>
      <c r="Q31" s="257" t="s">
        <v>7416</v>
      </c>
      <c r="T31" t="str">
        <f t="shared" si="0"/>
        <v>armenian;128;51;128</v>
      </c>
      <c r="U31" t="str">
        <f t="shared" si="1"/>
        <v>armenian;;;;;;;;;;;;;;x</v>
      </c>
      <c r="V31" t="s">
        <v>7465</v>
      </c>
      <c r="W31">
        <v>30</v>
      </c>
    </row>
    <row r="32" spans="1:24" ht="14.7" customHeight="1" thickBot="1" x14ac:dyDescent="0.55000000000000004">
      <c r="A32" s="132" t="s">
        <v>4057</v>
      </c>
      <c r="B32" s="196" t="s">
        <v>6778</v>
      </c>
      <c r="C32" s="196" t="s">
        <v>6777</v>
      </c>
      <c r="D32" s="196" t="s">
        <v>213</v>
      </c>
      <c r="E32" s="196" t="s">
        <v>189</v>
      </c>
      <c r="F32" s="196" t="s">
        <v>189</v>
      </c>
      <c r="G32" s="196"/>
      <c r="H32" s="196"/>
      <c r="I32" s="196"/>
      <c r="J32" s="203" t="s">
        <v>7140</v>
      </c>
      <c r="K32" s="195" t="s">
        <v>6761</v>
      </c>
      <c r="L32" s="156" t="s">
        <v>6650</v>
      </c>
      <c r="M32" s="156" t="s">
        <v>6608</v>
      </c>
      <c r="N32" s="37" t="s">
        <v>6651</v>
      </c>
      <c r="O32" s="156"/>
      <c r="P32" s="37" t="s">
        <v>216</v>
      </c>
      <c r="Q32" s="257" t="s">
        <v>215</v>
      </c>
      <c r="R32" s="156" t="s">
        <v>117</v>
      </c>
      <c r="S32" s="202" t="s">
        <v>117</v>
      </c>
      <c r="T32" t="str">
        <f t="shared" si="0"/>
        <v>kanuri;204;115;191</v>
      </c>
      <c r="U32" t="str">
        <f t="shared" si="1"/>
        <v>kanuri;First Peoples;;;;;;;;;;;;;x</v>
      </c>
      <c r="V32" t="str">
        <f>Q32&amp;";"&amp;E32&amp;";;;;;;;;;;;;;x"</f>
        <v>central_african;Indigenous Australian;;;;;;;;;;;;;x</v>
      </c>
      <c r="W32">
        <v>99</v>
      </c>
      <c r="X32" t="s">
        <v>117</v>
      </c>
    </row>
    <row r="33" spans="1:24" ht="14.7" thickBot="1" x14ac:dyDescent="0.55000000000000004">
      <c r="A33" s="133" t="s">
        <v>4080</v>
      </c>
      <c r="B33" s="196" t="s">
        <v>6779</v>
      </c>
      <c r="C33" s="196" t="s">
        <v>6777</v>
      </c>
      <c r="D33" s="196" t="s">
        <v>212</v>
      </c>
      <c r="E33" s="196" t="s">
        <v>189</v>
      </c>
      <c r="F33" s="196" t="s">
        <v>189</v>
      </c>
      <c r="G33" s="196"/>
      <c r="H33" s="196"/>
      <c r="I33" s="196"/>
      <c r="J33" s="203" t="s">
        <v>7141</v>
      </c>
      <c r="K33" s="195" t="s">
        <v>6762</v>
      </c>
      <c r="L33" s="156" t="s">
        <v>6650</v>
      </c>
      <c r="M33" s="156"/>
      <c r="N33" s="37" t="s">
        <v>6651</v>
      </c>
      <c r="O33" s="156"/>
      <c r="P33" s="37" t="s">
        <v>155</v>
      </c>
      <c r="Q33" s="257" t="s">
        <v>215</v>
      </c>
      <c r="R33" s="257" t="s">
        <v>117</v>
      </c>
      <c r="S33" s="257" t="s">
        <v>117</v>
      </c>
      <c r="T33" t="str">
        <f t="shared" si="0"/>
        <v>hausa;230;140;204</v>
      </c>
      <c r="U33" t="str">
        <f t="shared" si="1"/>
        <v>hausa;First Nations;;;;;;;;;;;;;x</v>
      </c>
      <c r="V33" t="str">
        <f>Q33&amp;";"&amp;E33&amp;";;;;;;;;;;;;;x"</f>
        <v>central_african;Indigenous Australian;;;;;;;;;;;;;x</v>
      </c>
      <c r="W33">
        <v>100</v>
      </c>
      <c r="X33" t="s">
        <v>117</v>
      </c>
    </row>
    <row r="34" spans="1:24" ht="14.7" thickBot="1" x14ac:dyDescent="0.55000000000000004">
      <c r="A34" s="73" t="s">
        <v>1911</v>
      </c>
      <c r="B34" s="196"/>
      <c r="C34" s="196"/>
      <c r="D34" s="196"/>
      <c r="E34" s="196"/>
      <c r="F34" s="196"/>
      <c r="G34" s="196"/>
      <c r="H34" s="196"/>
      <c r="I34" s="196"/>
      <c r="J34" s="203" t="s">
        <v>7079</v>
      </c>
      <c r="K34" s="195" t="e">
        <v>#N/A</v>
      </c>
      <c r="L34" s="156" t="s">
        <v>6566</v>
      </c>
      <c r="M34" s="156"/>
      <c r="N34" s="37" t="s">
        <v>6568</v>
      </c>
      <c r="O34" s="156"/>
      <c r="P34" s="37" t="s">
        <v>6573</v>
      </c>
      <c r="Q34" s="257" t="s">
        <v>7416</v>
      </c>
      <c r="T34" t="str">
        <f t="shared" ref="T34:T65" si="2">P34&amp;";"&amp;J34</f>
        <v>georgian;153;77;204</v>
      </c>
      <c r="U34" t="str">
        <f t="shared" si="1"/>
        <v>georgian;;;;;;;;;;;;;;x</v>
      </c>
      <c r="V34" t="s">
        <v>7465</v>
      </c>
      <c r="W34">
        <v>33</v>
      </c>
    </row>
    <row r="35" spans="1:24" ht="14.7" thickBot="1" x14ac:dyDescent="0.55000000000000004">
      <c r="A35" s="134" t="s">
        <v>4065</v>
      </c>
      <c r="B35" s="196"/>
      <c r="C35" s="196"/>
      <c r="D35" s="196" t="s">
        <v>214</v>
      </c>
      <c r="E35" s="196" t="s">
        <v>189</v>
      </c>
      <c r="F35" s="196" t="s">
        <v>189</v>
      </c>
      <c r="G35" s="196"/>
      <c r="H35" s="196"/>
      <c r="I35" s="196"/>
      <c r="J35" s="203" t="s">
        <v>7142</v>
      </c>
      <c r="K35" s="195" t="s">
        <v>6763</v>
      </c>
      <c r="L35" s="156" t="s">
        <v>6650</v>
      </c>
      <c r="M35" s="156"/>
      <c r="N35" s="37" t="s">
        <v>6651</v>
      </c>
      <c r="O35" s="156"/>
      <c r="P35" s="37" t="s">
        <v>217</v>
      </c>
      <c r="Q35" s="257" t="s">
        <v>215</v>
      </c>
      <c r="S35" s="257" t="s">
        <v>117</v>
      </c>
      <c r="T35" t="str">
        <f t="shared" si="2"/>
        <v>zaghawa;230;89;217</v>
      </c>
      <c r="U35" t="str">
        <f t="shared" si="1"/>
        <v>zaghawa;First Australians;;;;;;;;;;;;;x</v>
      </c>
      <c r="V35" t="str">
        <f>Q35&amp;";"&amp;E35&amp;";;;;;;;;;;;;;x"</f>
        <v>central_african;Indigenous Australian;;;;;;;;;;;;;x</v>
      </c>
      <c r="W35">
        <v>101</v>
      </c>
      <c r="X35" t="s">
        <v>117</v>
      </c>
    </row>
    <row r="36" spans="1:24" ht="14.7" thickBot="1" x14ac:dyDescent="0.55000000000000004">
      <c r="A36" s="75" t="s">
        <v>2400</v>
      </c>
      <c r="B36" s="196"/>
      <c r="C36" s="196"/>
      <c r="D36" s="196"/>
      <c r="E36" s="196"/>
      <c r="F36" s="196"/>
      <c r="G36" s="196"/>
      <c r="H36" s="196"/>
      <c r="I36" s="196"/>
      <c r="J36" s="203" t="s">
        <v>7081</v>
      </c>
      <c r="K36" s="195" t="e">
        <v>#N/A</v>
      </c>
      <c r="L36" s="156" t="s">
        <v>6566</v>
      </c>
      <c r="M36" s="156"/>
      <c r="N36" s="37" t="s">
        <v>6568</v>
      </c>
      <c r="O36" s="156"/>
      <c r="P36" s="37" t="s">
        <v>6575</v>
      </c>
      <c r="Q36" s="257" t="s">
        <v>7416</v>
      </c>
      <c r="T36" t="str">
        <f t="shared" si="2"/>
        <v>coptic;153;102;153</v>
      </c>
      <c r="U36" t="str">
        <f t="shared" ref="U36:U67" si="3">P36&amp;";"&amp;D36&amp;";;;;;;;;;;;;;x"</f>
        <v>coptic;;;;;;;;;;;;;;x</v>
      </c>
      <c r="V36" t="s">
        <v>7465</v>
      </c>
      <c r="W36">
        <v>35</v>
      </c>
    </row>
    <row r="37" spans="1:24" ht="14.7" thickBot="1" x14ac:dyDescent="0.55000000000000004">
      <c r="A37" s="54" t="s">
        <v>487</v>
      </c>
      <c r="B37" s="196" t="s">
        <v>6788</v>
      </c>
      <c r="C37" s="196" t="s">
        <v>4572</v>
      </c>
      <c r="D37" s="196" t="s">
        <v>196</v>
      </c>
      <c r="E37" s="196" t="s">
        <v>7455</v>
      </c>
      <c r="F37" s="196" t="s">
        <v>107</v>
      </c>
      <c r="G37" s="196"/>
      <c r="H37" s="196"/>
      <c r="I37" s="196"/>
      <c r="J37" s="203" t="s">
        <v>7057</v>
      </c>
      <c r="K37" s="195" t="e">
        <v>#N/A</v>
      </c>
      <c r="L37" s="156" t="s">
        <v>6521</v>
      </c>
      <c r="M37" s="157"/>
      <c r="N37" s="37" t="s">
        <v>6522</v>
      </c>
      <c r="O37" s="157" t="s">
        <v>6525</v>
      </c>
      <c r="P37" s="37" t="s">
        <v>140</v>
      </c>
      <c r="Q37" s="257" t="s">
        <v>205</v>
      </c>
      <c r="R37" s="257" t="s">
        <v>117</v>
      </c>
      <c r="S37" s="257" t="s">
        <v>117</v>
      </c>
      <c r="T37" t="str">
        <f t="shared" si="2"/>
        <v>old_frankish;77;77;128</v>
      </c>
      <c r="U37" t="str">
        <f t="shared" si="3"/>
        <v>old_frankish;Melburnian;;;;;;;;;;;;;x</v>
      </c>
      <c r="V37" t="str">
        <f>Q37&amp;";"&amp;E37&amp;";;;;;;;;;;;;;x"</f>
        <v>central_germanic;Melbin;;;;;;;;;;;;;x</v>
      </c>
      <c r="W37">
        <v>8</v>
      </c>
      <c r="X37" t="s">
        <v>8452</v>
      </c>
    </row>
    <row r="38" spans="1:24" ht="14.7" customHeight="1" thickBot="1" x14ac:dyDescent="0.55000000000000004">
      <c r="A38" s="259" t="s">
        <v>3323</v>
      </c>
      <c r="B38" s="196"/>
      <c r="C38" s="196"/>
      <c r="D38" s="196" t="s">
        <v>194</v>
      </c>
      <c r="E38" s="196" t="s">
        <v>208</v>
      </c>
      <c r="F38" s="196" t="s">
        <v>208</v>
      </c>
      <c r="G38" s="196"/>
      <c r="H38" s="196"/>
      <c r="I38" s="196"/>
      <c r="J38" s="203" t="s">
        <v>7165</v>
      </c>
      <c r="K38" s="195" t="s">
        <v>6772</v>
      </c>
      <c r="L38" s="155" t="s">
        <v>194</v>
      </c>
      <c r="M38" s="155" t="s">
        <v>6605</v>
      </c>
      <c r="N38" s="155" t="s">
        <v>6605</v>
      </c>
      <c r="O38" s="46" t="s">
        <v>6677</v>
      </c>
      <c r="P38" s="37" t="s">
        <v>160</v>
      </c>
      <c r="Q38" s="257" t="s">
        <v>7483</v>
      </c>
      <c r="R38" s="271"/>
      <c r="S38" s="202" t="s">
        <v>117</v>
      </c>
      <c r="T38" t="str">
        <f t="shared" si="2"/>
        <v>han;212;43;43</v>
      </c>
      <c r="U38" t="str">
        <f t="shared" si="3"/>
        <v>han;Chinese;;;;;;;;;;;;;x</v>
      </c>
      <c r="V38" t="str">
        <f>Q38&amp;";"&amp;E38&amp;";;;;;;;;;;;;;x"</f>
        <v>chinese_group;Cestial;;;;;;;;;;;;;x</v>
      </c>
      <c r="W38">
        <v>132</v>
      </c>
      <c r="X38" t="s">
        <v>234</v>
      </c>
    </row>
    <row r="39" spans="1:24" ht="14.7" thickBot="1" x14ac:dyDescent="0.55000000000000004">
      <c r="A39" s="78" t="s">
        <v>384</v>
      </c>
      <c r="B39" s="196"/>
      <c r="C39" s="196"/>
      <c r="D39" s="196"/>
      <c r="E39" s="196"/>
      <c r="F39" s="196"/>
      <c r="G39" s="196"/>
      <c r="H39" s="196"/>
      <c r="I39" s="196"/>
      <c r="J39" s="203" t="s">
        <v>7084</v>
      </c>
      <c r="K39" s="195" t="e">
        <v>#N/A</v>
      </c>
      <c r="L39" s="156" t="s">
        <v>6578</v>
      </c>
      <c r="M39" s="156"/>
      <c r="N39" s="156" t="s">
        <v>6579</v>
      </c>
      <c r="O39" s="156" t="s">
        <v>6581</v>
      </c>
      <c r="P39" s="37" t="s">
        <v>6582</v>
      </c>
      <c r="Q39" s="257" t="s">
        <v>7417</v>
      </c>
      <c r="T39" t="str">
        <f t="shared" si="2"/>
        <v>scottish;77;179;179</v>
      </c>
      <c r="U39" t="str">
        <f t="shared" si="3"/>
        <v>scottish;;;;;;;;;;;;;;x</v>
      </c>
      <c r="V39" t="s">
        <v>7466</v>
      </c>
      <c r="W39">
        <v>38</v>
      </c>
    </row>
    <row r="40" spans="1:24" ht="14.7" thickBot="1" x14ac:dyDescent="0.55000000000000004">
      <c r="A40" s="259" t="s">
        <v>3323</v>
      </c>
      <c r="B40" s="196"/>
      <c r="C40" s="196"/>
      <c r="D40" s="196" t="s">
        <v>194</v>
      </c>
      <c r="E40" s="196" t="s">
        <v>208</v>
      </c>
      <c r="F40" s="196" t="s">
        <v>208</v>
      </c>
      <c r="G40" s="196"/>
      <c r="H40" s="196"/>
      <c r="I40" s="196"/>
      <c r="J40" s="203" t="s">
        <v>7165</v>
      </c>
      <c r="K40" s="195" t="e">
        <v>#N/A</v>
      </c>
      <c r="L40" s="156" t="s">
        <v>194</v>
      </c>
      <c r="M40" s="156"/>
      <c r="N40" s="156" t="s">
        <v>6605</v>
      </c>
      <c r="O40" s="47" t="s">
        <v>6678</v>
      </c>
      <c r="P40" s="37"/>
      <c r="Q40" s="257" t="s">
        <v>7483</v>
      </c>
      <c r="S40" s="202" t="s">
        <v>117</v>
      </c>
      <c r="T40" t="str">
        <f t="shared" si="2"/>
        <v>;212;43;43</v>
      </c>
      <c r="U40" t="str">
        <f t="shared" si="3"/>
        <v>;Chinese;;;;;;;;;;;;;x</v>
      </c>
      <c r="V40" t="str">
        <f>Q40&amp;";"&amp;E40&amp;";;;;;;;;;;;;;x"</f>
        <v>chinese_group;Cestial;;;;;;;;;;;;;x</v>
      </c>
      <c r="W40">
        <v>133</v>
      </c>
      <c r="X40" t="s">
        <v>234</v>
      </c>
    </row>
    <row r="41" spans="1:24" ht="14.7" thickBot="1" x14ac:dyDescent="0.55000000000000004">
      <c r="A41" s="80" t="s">
        <v>324</v>
      </c>
      <c r="B41" s="196"/>
      <c r="C41" s="196"/>
      <c r="D41" s="196"/>
      <c r="E41" s="196"/>
      <c r="F41" s="196"/>
      <c r="G41" s="196"/>
      <c r="H41" s="196"/>
      <c r="I41" s="196"/>
      <c r="J41" s="203" t="s">
        <v>7086</v>
      </c>
      <c r="K41" s="195" t="e">
        <v>#N/A</v>
      </c>
      <c r="L41" s="156" t="s">
        <v>6578</v>
      </c>
      <c r="M41" s="156"/>
      <c r="N41" s="156" t="s">
        <v>6579</v>
      </c>
      <c r="O41" s="41"/>
      <c r="P41" s="37" t="s">
        <v>6583</v>
      </c>
      <c r="Q41" s="257" t="s">
        <v>7417</v>
      </c>
      <c r="T41" t="str">
        <f t="shared" si="2"/>
        <v>welsh;77;204;153</v>
      </c>
      <c r="U41" t="str">
        <f t="shared" si="3"/>
        <v>welsh;;;;;;;;;;;;;;x</v>
      </c>
      <c r="V41" t="s">
        <v>7466</v>
      </c>
      <c r="W41">
        <v>40</v>
      </c>
    </row>
    <row r="42" spans="1:24" ht="14.7" thickBot="1" x14ac:dyDescent="0.55000000000000004">
      <c r="A42" s="81" t="s">
        <v>358</v>
      </c>
      <c r="B42" s="196"/>
      <c r="C42" s="196"/>
      <c r="D42" s="196"/>
      <c r="E42" s="196"/>
      <c r="F42" s="196"/>
      <c r="G42" s="196"/>
      <c r="H42" s="196"/>
      <c r="I42" s="196"/>
      <c r="J42" s="203" t="s">
        <v>7087</v>
      </c>
      <c r="K42" s="195" t="e">
        <v>#N/A</v>
      </c>
      <c r="L42" s="156" t="s">
        <v>6578</v>
      </c>
      <c r="M42" s="157"/>
      <c r="N42" s="156" t="s">
        <v>6579</v>
      </c>
      <c r="O42" s="42"/>
      <c r="P42" s="37" t="s">
        <v>6584</v>
      </c>
      <c r="Q42" s="257" t="s">
        <v>7417</v>
      </c>
      <c r="T42" t="str">
        <f t="shared" si="2"/>
        <v>breton;77;128;102</v>
      </c>
      <c r="U42" t="str">
        <f t="shared" si="3"/>
        <v>breton;;;;;;;;;;;;;;x</v>
      </c>
      <c r="V42" t="s">
        <v>7466</v>
      </c>
      <c r="W42">
        <v>41</v>
      </c>
    </row>
    <row r="43" spans="1:24" ht="14.7" thickBot="1" x14ac:dyDescent="0.55000000000000004">
      <c r="A43" s="82" t="s">
        <v>1306</v>
      </c>
      <c r="B43" s="196"/>
      <c r="C43" s="196"/>
      <c r="D43" s="196"/>
      <c r="E43" s="196"/>
      <c r="F43" s="196"/>
      <c r="G43" s="196"/>
      <c r="H43" s="196"/>
      <c r="I43" s="196"/>
      <c r="J43" s="203" t="s">
        <v>7088</v>
      </c>
      <c r="K43" s="195" t="e">
        <v>#N/A</v>
      </c>
      <c r="L43" s="155" t="s">
        <v>6585</v>
      </c>
      <c r="M43" s="155" t="s">
        <v>6567</v>
      </c>
      <c r="N43" s="155" t="s">
        <v>6586</v>
      </c>
      <c r="O43" s="37"/>
      <c r="P43" s="37" t="s">
        <v>6587</v>
      </c>
      <c r="Q43" s="257" t="s">
        <v>7424</v>
      </c>
      <c r="T43" t="str">
        <f t="shared" si="2"/>
        <v>finnish;26;153;153</v>
      </c>
      <c r="U43" t="str">
        <f t="shared" si="3"/>
        <v>finnish;;;;;;;;;;;;;;x</v>
      </c>
      <c r="V43" t="s">
        <v>7467</v>
      </c>
      <c r="W43">
        <v>42</v>
      </c>
    </row>
    <row r="44" spans="1:24" ht="14.7" thickBot="1" x14ac:dyDescent="0.55000000000000004">
      <c r="A44" s="83" t="s">
        <v>1002</v>
      </c>
      <c r="B44" s="196"/>
      <c r="C44" s="196"/>
      <c r="D44" s="196"/>
      <c r="E44" s="196"/>
      <c r="F44" s="196"/>
      <c r="G44" s="196"/>
      <c r="H44" s="196"/>
      <c r="I44" s="196"/>
      <c r="J44" s="203" t="s">
        <v>7089</v>
      </c>
      <c r="K44" s="195" t="e">
        <v>#N/A</v>
      </c>
      <c r="L44" s="156" t="s">
        <v>6585</v>
      </c>
      <c r="M44" s="156"/>
      <c r="N44" s="156" t="s">
        <v>6586</v>
      </c>
      <c r="O44" s="37"/>
      <c r="P44" s="37" t="s">
        <v>5505</v>
      </c>
      <c r="Q44" s="257" t="s">
        <v>7424</v>
      </c>
      <c r="T44" t="str">
        <f t="shared" si="2"/>
        <v>lappish;102;191;217</v>
      </c>
      <c r="U44" t="str">
        <f t="shared" si="3"/>
        <v>lappish;;;;;;;;;;;;;;x</v>
      </c>
      <c r="V44" t="s">
        <v>7467</v>
      </c>
      <c r="W44">
        <v>43</v>
      </c>
    </row>
    <row r="45" spans="1:24" ht="14.7" thickBot="1" x14ac:dyDescent="0.55000000000000004">
      <c r="A45" s="78" t="s">
        <v>1287</v>
      </c>
      <c r="B45" s="196"/>
      <c r="C45" s="196"/>
      <c r="D45" s="196"/>
      <c r="E45" s="196"/>
      <c r="F45" s="196"/>
      <c r="G45" s="196"/>
      <c r="H45" s="196"/>
      <c r="I45" s="196"/>
      <c r="J45" s="203" t="s">
        <v>7084</v>
      </c>
      <c r="K45" s="195" t="e">
        <v>#N/A</v>
      </c>
      <c r="L45" s="156" t="s">
        <v>6585</v>
      </c>
      <c r="M45" s="156"/>
      <c r="N45" s="156" t="s">
        <v>6586</v>
      </c>
      <c r="O45" s="37"/>
      <c r="P45" s="37" t="s">
        <v>6588</v>
      </c>
      <c r="Q45" s="257" t="s">
        <v>7424</v>
      </c>
      <c r="T45" t="str">
        <f t="shared" si="2"/>
        <v>ugricbaltic;77;179;179</v>
      </c>
      <c r="U45" t="str">
        <f t="shared" si="3"/>
        <v>ugricbaltic;;;;;;;;;;;;;;x</v>
      </c>
      <c r="V45" t="s">
        <v>7467</v>
      </c>
      <c r="W45">
        <v>44</v>
      </c>
    </row>
    <row r="46" spans="1:24" ht="14.7" thickBot="1" x14ac:dyDescent="0.55000000000000004">
      <c r="A46" s="84" t="s">
        <v>1938</v>
      </c>
      <c r="B46" s="196"/>
      <c r="C46" s="196"/>
      <c r="D46" s="196"/>
      <c r="E46" s="196"/>
      <c r="F46" s="196"/>
      <c r="G46" s="196"/>
      <c r="H46" s="196"/>
      <c r="I46" s="196"/>
      <c r="J46" s="203" t="s">
        <v>7090</v>
      </c>
      <c r="K46" s="195" t="e">
        <v>#N/A</v>
      </c>
      <c r="L46" s="156" t="s">
        <v>6585</v>
      </c>
      <c r="M46" s="156"/>
      <c r="N46" s="156" t="s">
        <v>6586</v>
      </c>
      <c r="O46" s="37"/>
      <c r="P46" s="37" t="s">
        <v>6589</v>
      </c>
      <c r="Q46" s="257" t="s">
        <v>7424</v>
      </c>
      <c r="T46" t="str">
        <f t="shared" si="2"/>
        <v>komi;128;191;64</v>
      </c>
      <c r="U46" t="str">
        <f t="shared" si="3"/>
        <v>komi;;;;;;;;;;;;;;x</v>
      </c>
      <c r="V46" t="s">
        <v>7467</v>
      </c>
      <c r="W46">
        <v>45</v>
      </c>
    </row>
    <row r="47" spans="1:24" ht="14.7" thickBot="1" x14ac:dyDescent="0.55000000000000004">
      <c r="A47" s="85" t="s">
        <v>2625</v>
      </c>
      <c r="B47" s="196"/>
      <c r="C47" s="196"/>
      <c r="D47" s="196"/>
      <c r="E47" s="196"/>
      <c r="F47" s="196"/>
      <c r="G47" s="196"/>
      <c r="H47" s="196"/>
      <c r="I47" s="196"/>
      <c r="J47" s="203" t="s">
        <v>7091</v>
      </c>
      <c r="K47" s="195" t="e">
        <v>#N/A</v>
      </c>
      <c r="L47" s="156" t="s">
        <v>6585</v>
      </c>
      <c r="M47" s="156"/>
      <c r="N47" s="156" t="s">
        <v>6586</v>
      </c>
      <c r="O47" s="37"/>
      <c r="P47" s="37" t="s">
        <v>6590</v>
      </c>
      <c r="Q47" s="257" t="s">
        <v>7424</v>
      </c>
      <c r="T47" t="str">
        <f t="shared" si="2"/>
        <v>khanty;102;166;51</v>
      </c>
      <c r="U47" t="str">
        <f t="shared" si="3"/>
        <v>khanty;;;;;;;;;;;;;;x</v>
      </c>
      <c r="V47" t="s">
        <v>7467</v>
      </c>
      <c r="W47">
        <v>46</v>
      </c>
    </row>
    <row r="48" spans="1:24" ht="14.7" thickBot="1" x14ac:dyDescent="0.55000000000000004">
      <c r="A48" s="86" t="s">
        <v>1346</v>
      </c>
      <c r="B48" s="196"/>
      <c r="C48" s="196"/>
      <c r="D48" s="196"/>
      <c r="E48" s="196"/>
      <c r="F48" s="196"/>
      <c r="G48" s="196"/>
      <c r="H48" s="196"/>
      <c r="I48" s="196"/>
      <c r="J48" s="203" t="s">
        <v>7092</v>
      </c>
      <c r="K48" s="195" t="e">
        <v>#N/A</v>
      </c>
      <c r="L48" s="156" t="s">
        <v>6585</v>
      </c>
      <c r="M48" s="156"/>
      <c r="N48" s="156" t="s">
        <v>6586</v>
      </c>
      <c r="O48" s="37"/>
      <c r="P48" s="37" t="s">
        <v>6591</v>
      </c>
      <c r="Q48" s="257" t="s">
        <v>7424</v>
      </c>
      <c r="T48" t="str">
        <f t="shared" si="2"/>
        <v>samoyed;77;191;191</v>
      </c>
      <c r="U48" t="str">
        <f t="shared" si="3"/>
        <v>samoyed;;;;;;;;;;;;;;x</v>
      </c>
      <c r="V48" t="s">
        <v>7467</v>
      </c>
      <c r="W48">
        <v>47</v>
      </c>
    </row>
    <row r="49" spans="1:24" ht="14.7" thickBot="1" x14ac:dyDescent="0.55000000000000004">
      <c r="A49" s="78" t="s">
        <v>1379</v>
      </c>
      <c r="B49" s="196"/>
      <c r="C49" s="196"/>
      <c r="D49" s="196"/>
      <c r="E49" s="196"/>
      <c r="F49" s="196"/>
      <c r="G49" s="196"/>
      <c r="H49" s="196"/>
      <c r="I49" s="196"/>
      <c r="J49" s="203" t="s">
        <v>7084</v>
      </c>
      <c r="K49" s="195" t="e">
        <v>#N/A</v>
      </c>
      <c r="L49" s="156" t="s">
        <v>6585</v>
      </c>
      <c r="M49" s="156"/>
      <c r="N49" s="156" t="s">
        <v>6586</v>
      </c>
      <c r="O49" s="37"/>
      <c r="P49" s="37" t="s">
        <v>6592</v>
      </c>
      <c r="Q49" s="257" t="s">
        <v>7424</v>
      </c>
      <c r="T49" t="str">
        <f t="shared" si="2"/>
        <v>mordvin;77;179;179</v>
      </c>
      <c r="U49" t="str">
        <f t="shared" si="3"/>
        <v>mordvin;;;;;;;;;;;;;;x</v>
      </c>
      <c r="V49" t="s">
        <v>7467</v>
      </c>
      <c r="W49">
        <v>48</v>
      </c>
    </row>
    <row r="50" spans="1:24" ht="14.7" thickBot="1" x14ac:dyDescent="0.55000000000000004">
      <c r="A50" s="87" t="s">
        <v>1853</v>
      </c>
      <c r="B50" s="196"/>
      <c r="C50" s="196"/>
      <c r="D50" s="196"/>
      <c r="E50" s="196"/>
      <c r="F50" s="196"/>
      <c r="G50" s="196"/>
      <c r="H50" s="196"/>
      <c r="I50" s="196"/>
      <c r="J50" s="203" t="s">
        <v>7093</v>
      </c>
      <c r="K50" s="195" t="e">
        <v>#N/A</v>
      </c>
      <c r="L50" s="156" t="s">
        <v>6585</v>
      </c>
      <c r="M50" s="157"/>
      <c r="N50" s="156" t="s">
        <v>6586</v>
      </c>
      <c r="O50" s="37"/>
      <c r="P50" s="37" t="s">
        <v>6593</v>
      </c>
      <c r="Q50" s="257" t="s">
        <v>7424</v>
      </c>
      <c r="T50" t="str">
        <f t="shared" si="2"/>
        <v>meshchera;77;128;128</v>
      </c>
      <c r="U50" t="str">
        <f t="shared" si="3"/>
        <v>meshchera;;;;;;;;;;;;;;x</v>
      </c>
      <c r="V50" t="s">
        <v>7467</v>
      </c>
      <c r="W50">
        <v>49</v>
      </c>
    </row>
    <row r="51" spans="1:24" ht="14.7" thickBot="1" x14ac:dyDescent="0.55000000000000004">
      <c r="A51" s="88" t="s">
        <v>1278</v>
      </c>
      <c r="B51" s="196"/>
      <c r="C51" s="196"/>
      <c r="D51" s="196"/>
      <c r="E51" s="196"/>
      <c r="F51" s="196"/>
      <c r="G51" s="196"/>
      <c r="H51" s="196"/>
      <c r="I51" s="196"/>
      <c r="J51" s="203" t="s">
        <v>7094</v>
      </c>
      <c r="K51" s="195" t="e">
        <v>#N/A</v>
      </c>
      <c r="L51" s="155" t="s">
        <v>6594</v>
      </c>
      <c r="M51" s="155" t="s">
        <v>6567</v>
      </c>
      <c r="N51" s="155" t="s">
        <v>6586</v>
      </c>
      <c r="O51" s="37"/>
      <c r="P51" s="37" t="s">
        <v>175</v>
      </c>
      <c r="Q51" s="257" t="s">
        <v>7415</v>
      </c>
      <c r="T51" t="str">
        <f t="shared" si="2"/>
        <v>lettigallish;128;128;26</v>
      </c>
      <c r="U51" t="str">
        <f t="shared" si="3"/>
        <v>lettigallish;;;;;;;;;;;;;;x</v>
      </c>
      <c r="V51" t="s">
        <v>7468</v>
      </c>
      <c r="W51">
        <v>50</v>
      </c>
    </row>
    <row r="52" spans="1:24" ht="14.7" thickBot="1" x14ac:dyDescent="0.55000000000000004">
      <c r="A52" s="89" t="s">
        <v>1274</v>
      </c>
      <c r="B52" s="196"/>
      <c r="C52" s="196"/>
      <c r="D52" s="196"/>
      <c r="E52" s="196"/>
      <c r="F52" s="196"/>
      <c r="G52" s="196"/>
      <c r="H52" s="196"/>
      <c r="I52" s="196"/>
      <c r="J52" s="203" t="s">
        <v>7095</v>
      </c>
      <c r="K52" s="195" t="e">
        <v>#N/A</v>
      </c>
      <c r="L52" s="156" t="s">
        <v>6594</v>
      </c>
      <c r="M52" s="156"/>
      <c r="N52" s="156" t="s">
        <v>6586</v>
      </c>
      <c r="O52" s="37"/>
      <c r="P52" s="37" t="s">
        <v>174</v>
      </c>
      <c r="Q52" s="257" t="s">
        <v>7415</v>
      </c>
      <c r="T52" t="str">
        <f t="shared" si="2"/>
        <v>lithuanian;143;140;51</v>
      </c>
      <c r="U52" t="str">
        <f t="shared" si="3"/>
        <v>lithuanian;;;;;;;;;;;;;;x</v>
      </c>
      <c r="V52" t="s">
        <v>7468</v>
      </c>
      <c r="W52">
        <v>51</v>
      </c>
    </row>
    <row r="53" spans="1:24" ht="14.7" thickBot="1" x14ac:dyDescent="0.55000000000000004">
      <c r="A53" s="90" t="s">
        <v>1263</v>
      </c>
      <c r="B53" s="196"/>
      <c r="C53" s="196"/>
      <c r="D53" s="196"/>
      <c r="E53" s="196"/>
      <c r="F53" s="196"/>
      <c r="G53" s="196"/>
      <c r="H53" s="196"/>
      <c r="I53" s="196"/>
      <c r="J53" s="203" t="s">
        <v>7096</v>
      </c>
      <c r="K53" s="195" t="e">
        <v>#N/A</v>
      </c>
      <c r="L53" s="156" t="s">
        <v>6594</v>
      </c>
      <c r="M53" s="157"/>
      <c r="N53" s="156" t="s">
        <v>6586</v>
      </c>
      <c r="O53" s="37"/>
      <c r="P53" s="37" t="s">
        <v>6595</v>
      </c>
      <c r="Q53" s="257" t="s">
        <v>7415</v>
      </c>
      <c r="T53" t="str">
        <f t="shared" si="2"/>
        <v>prussian;143;140;102</v>
      </c>
      <c r="U53" t="str">
        <f t="shared" si="3"/>
        <v>prussian;;;;;;;;;;;;;;x</v>
      </c>
      <c r="V53" t="s">
        <v>7468</v>
      </c>
      <c r="W53">
        <v>52</v>
      </c>
    </row>
    <row r="54" spans="1:24" ht="28" thickBot="1" x14ac:dyDescent="0.55000000000000004">
      <c r="A54" s="91" t="s">
        <v>1840</v>
      </c>
      <c r="B54" s="196"/>
      <c r="C54" s="196"/>
      <c r="D54" s="196"/>
      <c r="E54" s="196"/>
      <c r="F54" s="196"/>
      <c r="G54" s="196"/>
      <c r="H54" s="196"/>
      <c r="I54" s="196"/>
      <c r="J54" s="203" t="s">
        <v>7097</v>
      </c>
      <c r="K54" s="195" t="e">
        <v>#N/A</v>
      </c>
      <c r="L54" s="155" t="s">
        <v>6596</v>
      </c>
      <c r="M54" s="155" t="s">
        <v>6597</v>
      </c>
      <c r="N54" s="155" t="s">
        <v>6597</v>
      </c>
      <c r="O54" s="92" t="s">
        <v>6741</v>
      </c>
      <c r="P54" s="37" t="s">
        <v>179</v>
      </c>
      <c r="Q54" s="257" t="s">
        <v>7413</v>
      </c>
      <c r="T54" t="str">
        <f t="shared" si="2"/>
        <v>turkish;217;140;38</v>
      </c>
      <c r="U54" t="str">
        <f t="shared" si="3"/>
        <v>turkish;;;;;;;;;;;;;;x</v>
      </c>
      <c r="V54" t="s">
        <v>7469</v>
      </c>
      <c r="W54">
        <v>53</v>
      </c>
    </row>
    <row r="55" spans="1:24" ht="28" thickBot="1" x14ac:dyDescent="0.55000000000000004">
      <c r="A55" s="94" t="s">
        <v>1698</v>
      </c>
      <c r="B55" s="196"/>
      <c r="C55" s="196"/>
      <c r="D55" s="196"/>
      <c r="E55" s="196"/>
      <c r="F55" s="196"/>
      <c r="G55" s="196"/>
      <c r="H55" s="196"/>
      <c r="I55" s="196"/>
      <c r="J55" s="203" t="s">
        <v>7098</v>
      </c>
      <c r="K55" s="195" t="e">
        <v>#N/A</v>
      </c>
      <c r="L55" s="156" t="s">
        <v>6596</v>
      </c>
      <c r="M55" s="156"/>
      <c r="N55" s="156" t="s">
        <v>6597</v>
      </c>
      <c r="O55" s="93" t="s">
        <v>6742</v>
      </c>
      <c r="P55" s="37" t="s">
        <v>178</v>
      </c>
      <c r="Q55" s="257" t="s">
        <v>7413</v>
      </c>
      <c r="T55" t="str">
        <f t="shared" si="2"/>
        <v>pecheneg;217;201;64</v>
      </c>
      <c r="U55" t="str">
        <f t="shared" si="3"/>
        <v>pecheneg;;;;;;;;;;;;;;x</v>
      </c>
      <c r="V55" t="s">
        <v>7469</v>
      </c>
      <c r="W55">
        <v>54</v>
      </c>
    </row>
    <row r="56" spans="1:24" ht="14.7" thickBot="1" x14ac:dyDescent="0.55000000000000004">
      <c r="A56" s="95" t="s">
        <v>1821</v>
      </c>
      <c r="B56" s="196"/>
      <c r="C56" s="196"/>
      <c r="D56" s="196"/>
      <c r="E56" s="196"/>
      <c r="F56" s="196"/>
      <c r="G56" s="196"/>
      <c r="H56" s="196"/>
      <c r="I56" s="196"/>
      <c r="J56" s="203" t="s">
        <v>7099</v>
      </c>
      <c r="K56" s="195" t="e">
        <v>#N/A</v>
      </c>
      <c r="L56" s="156" t="s">
        <v>6596</v>
      </c>
      <c r="M56" s="156"/>
      <c r="N56" s="37" t="s">
        <v>6599</v>
      </c>
      <c r="O56" s="43" t="s">
        <v>6598</v>
      </c>
      <c r="P56" s="37" t="s">
        <v>161</v>
      </c>
      <c r="Q56" s="257" t="s">
        <v>7413</v>
      </c>
      <c r="T56" t="str">
        <f t="shared" si="2"/>
        <v>cuman;191;153;51</v>
      </c>
      <c r="U56" t="str">
        <f t="shared" si="3"/>
        <v>cuman;;;;;;;;;;;;;;x</v>
      </c>
      <c r="V56" t="s">
        <v>7469</v>
      </c>
      <c r="W56">
        <v>55</v>
      </c>
    </row>
    <row r="57" spans="1:24" ht="14.7" thickBot="1" x14ac:dyDescent="0.55000000000000004">
      <c r="A57" s="96" t="s">
        <v>1817</v>
      </c>
      <c r="B57" s="196"/>
      <c r="C57" s="196"/>
      <c r="D57" s="196"/>
      <c r="E57" s="196"/>
      <c r="F57" s="196"/>
      <c r="G57" s="196"/>
      <c r="H57" s="196"/>
      <c r="I57" s="196"/>
      <c r="J57" s="203" t="s">
        <v>7100</v>
      </c>
      <c r="K57" s="195" t="e">
        <v>#N/A</v>
      </c>
      <c r="L57" s="156" t="s">
        <v>6596</v>
      </c>
      <c r="M57" s="156"/>
      <c r="N57" s="155" t="s">
        <v>6597</v>
      </c>
      <c r="O57" s="93" t="s">
        <v>6743</v>
      </c>
      <c r="P57" s="37" t="s">
        <v>6600</v>
      </c>
      <c r="Q57" s="257" t="s">
        <v>7413</v>
      </c>
      <c r="T57" t="str">
        <f t="shared" si="2"/>
        <v>khazar;179;115;26</v>
      </c>
      <c r="U57" t="str">
        <f t="shared" si="3"/>
        <v>khazar;;;;;;;;;;;;;;x</v>
      </c>
      <c r="V57" t="s">
        <v>7469</v>
      </c>
      <c r="W57">
        <v>56</v>
      </c>
    </row>
    <row r="58" spans="1:24" ht="14.7" thickBot="1" x14ac:dyDescent="0.55000000000000004">
      <c r="A58" s="97" t="s">
        <v>1464</v>
      </c>
      <c r="B58" s="196"/>
      <c r="C58" s="196"/>
      <c r="D58" s="196"/>
      <c r="E58" s="196"/>
      <c r="F58" s="196"/>
      <c r="G58" s="196"/>
      <c r="H58" s="196"/>
      <c r="I58" s="196"/>
      <c r="J58" s="203" t="s">
        <v>7101</v>
      </c>
      <c r="K58" s="195" t="e">
        <v>#N/A</v>
      </c>
      <c r="L58" s="156" t="s">
        <v>6596</v>
      </c>
      <c r="M58" s="156"/>
      <c r="N58" s="156" t="s">
        <v>6597</v>
      </c>
      <c r="O58" s="93" t="s">
        <v>6744</v>
      </c>
      <c r="P58" s="37" t="s">
        <v>177</v>
      </c>
      <c r="Q58" s="257" t="s">
        <v>7413</v>
      </c>
      <c r="T58" t="str">
        <f t="shared" si="2"/>
        <v>bolghar;179;166;38</v>
      </c>
      <c r="U58" t="str">
        <f t="shared" si="3"/>
        <v>bolghar;;;;;;;;;;;;;;x</v>
      </c>
      <c r="V58" t="s">
        <v>7469</v>
      </c>
      <c r="W58">
        <v>57</v>
      </c>
    </row>
    <row r="59" spans="1:24" ht="14.7" thickBot="1" x14ac:dyDescent="0.55000000000000004">
      <c r="A59" s="98" t="s">
        <v>1490</v>
      </c>
      <c r="B59" s="196"/>
      <c r="C59" s="196"/>
      <c r="D59" s="196"/>
      <c r="E59" s="196"/>
      <c r="F59" s="196"/>
      <c r="G59" s="196"/>
      <c r="H59" s="196"/>
      <c r="I59" s="196"/>
      <c r="J59" s="203" t="s">
        <v>7102</v>
      </c>
      <c r="K59" s="195" t="e">
        <v>#N/A</v>
      </c>
      <c r="L59" s="156" t="s">
        <v>6596</v>
      </c>
      <c r="M59" s="156"/>
      <c r="N59" s="156" t="s">
        <v>6597</v>
      </c>
      <c r="O59" s="93" t="s">
        <v>6745</v>
      </c>
      <c r="P59" s="37" t="s">
        <v>6601</v>
      </c>
      <c r="Q59" s="257" t="s">
        <v>7413</v>
      </c>
      <c r="T59" t="str">
        <f t="shared" si="2"/>
        <v>avar;179;179;77</v>
      </c>
      <c r="U59" t="str">
        <f t="shared" si="3"/>
        <v>avar;;;;;;;;;;;;;;x</v>
      </c>
      <c r="V59" t="s">
        <v>7469</v>
      </c>
      <c r="W59">
        <v>58</v>
      </c>
    </row>
    <row r="60" spans="1:24" ht="14.7" thickBot="1" x14ac:dyDescent="0.55000000000000004">
      <c r="A60" s="99" t="s">
        <v>3347</v>
      </c>
      <c r="B60" s="196"/>
      <c r="C60" s="196"/>
      <c r="D60" s="196"/>
      <c r="E60" s="196"/>
      <c r="F60" s="196"/>
      <c r="G60" s="196"/>
      <c r="H60" s="196"/>
      <c r="I60" s="196"/>
      <c r="J60" s="203" t="s">
        <v>7103</v>
      </c>
      <c r="K60" s="195" t="e">
        <v>#N/A</v>
      </c>
      <c r="L60" s="156" t="s">
        <v>6596</v>
      </c>
      <c r="M60" s="156"/>
      <c r="N60" s="155" t="s">
        <v>6599</v>
      </c>
      <c r="O60" s="93" t="s">
        <v>6746</v>
      </c>
      <c r="P60" s="37" t="s">
        <v>176</v>
      </c>
      <c r="Q60" s="257" t="s">
        <v>7413</v>
      </c>
      <c r="T60" t="str">
        <f t="shared" si="2"/>
        <v>karluk;166;128;38</v>
      </c>
      <c r="U60" t="str">
        <f t="shared" si="3"/>
        <v>karluk;;;;;;;;;;;;;;x</v>
      </c>
      <c r="V60" t="s">
        <v>7469</v>
      </c>
      <c r="W60">
        <v>59</v>
      </c>
    </row>
    <row r="61" spans="1:24" ht="14.7" thickBot="1" x14ac:dyDescent="0.55000000000000004">
      <c r="A61" s="100" t="s">
        <v>2801</v>
      </c>
      <c r="B61" s="196"/>
      <c r="C61" s="196"/>
      <c r="D61" s="196"/>
      <c r="E61" s="196"/>
      <c r="F61" s="196"/>
      <c r="G61" s="196"/>
      <c r="H61" s="196"/>
      <c r="I61" s="196"/>
      <c r="J61" s="203" t="s">
        <v>7104</v>
      </c>
      <c r="K61" s="195" t="e">
        <v>#N/A</v>
      </c>
      <c r="L61" s="156" t="s">
        <v>6596</v>
      </c>
      <c r="M61" s="156"/>
      <c r="N61" s="156" t="s">
        <v>6599</v>
      </c>
      <c r="O61" s="41"/>
      <c r="P61" s="37" t="s">
        <v>149</v>
      </c>
      <c r="Q61" s="257" t="s">
        <v>7413</v>
      </c>
      <c r="T61" t="str">
        <f t="shared" si="2"/>
        <v>kirghiz;217;184;77</v>
      </c>
      <c r="U61" t="str">
        <f t="shared" si="3"/>
        <v>kirghiz;;;;;;;;;;;;;;x</v>
      </c>
      <c r="V61" t="s">
        <v>7469</v>
      </c>
      <c r="W61">
        <v>60</v>
      </c>
    </row>
    <row r="62" spans="1:24" ht="14.7" thickBot="1" x14ac:dyDescent="0.55000000000000004">
      <c r="A62" s="259" t="s">
        <v>3323</v>
      </c>
      <c r="B62" s="196"/>
      <c r="C62" s="196"/>
      <c r="D62" s="196" t="s">
        <v>194</v>
      </c>
      <c r="E62" s="196" t="s">
        <v>208</v>
      </c>
      <c r="F62" s="196" t="s">
        <v>208</v>
      </c>
      <c r="G62" s="196"/>
      <c r="H62" s="196"/>
      <c r="I62" s="196"/>
      <c r="J62" s="203" t="s">
        <v>7165</v>
      </c>
      <c r="K62" s="195" t="e">
        <v>#N/A</v>
      </c>
      <c r="L62" s="156" t="s">
        <v>194</v>
      </c>
      <c r="M62" s="156"/>
      <c r="N62" s="156" t="s">
        <v>6605</v>
      </c>
      <c r="O62" s="47" t="s">
        <v>6679</v>
      </c>
      <c r="P62" s="37"/>
      <c r="Q62" s="257" t="s">
        <v>7483</v>
      </c>
      <c r="S62" s="257" t="s">
        <v>117</v>
      </c>
      <c r="T62" t="str">
        <f t="shared" si="2"/>
        <v>;212;43;43</v>
      </c>
      <c r="U62" t="str">
        <f t="shared" si="3"/>
        <v>;Chinese;;;;;;;;;;;;;x</v>
      </c>
      <c r="V62" t="str">
        <f>Q62&amp;";"&amp;E62&amp;";;;;;;;;;;;;;x"</f>
        <v>chinese_group;Cestial;;;;;;;;;;;;;x</v>
      </c>
      <c r="W62">
        <v>134</v>
      </c>
      <c r="X62" t="s">
        <v>234</v>
      </c>
    </row>
    <row r="63" spans="1:24" ht="14.7" thickBot="1" x14ac:dyDescent="0.55000000000000004">
      <c r="A63" s="259" t="s">
        <v>3323</v>
      </c>
      <c r="B63" s="196"/>
      <c r="C63" s="196"/>
      <c r="D63" s="196" t="s">
        <v>194</v>
      </c>
      <c r="E63" s="196" t="s">
        <v>208</v>
      </c>
      <c r="F63" s="196" t="s">
        <v>208</v>
      </c>
      <c r="G63" s="196"/>
      <c r="H63" s="196"/>
      <c r="I63" s="196"/>
      <c r="J63" s="203" t="s">
        <v>7165</v>
      </c>
      <c r="K63" s="195" t="e">
        <v>#N/A</v>
      </c>
      <c r="L63" s="156" t="s">
        <v>194</v>
      </c>
      <c r="M63" s="156"/>
      <c r="N63" s="37" t="s">
        <v>6605</v>
      </c>
      <c r="O63" s="47" t="s">
        <v>6680</v>
      </c>
      <c r="P63" s="37"/>
      <c r="Q63" s="257" t="s">
        <v>7483</v>
      </c>
      <c r="S63" s="202" t="s">
        <v>117</v>
      </c>
      <c r="T63" t="str">
        <f t="shared" si="2"/>
        <v>;212;43;43</v>
      </c>
      <c r="U63" t="str">
        <f t="shared" si="3"/>
        <v>;Chinese;;;;;;;;;;;;;x</v>
      </c>
      <c r="V63" t="str">
        <f>Q63&amp;";"&amp;E63&amp;";;;;;;;;;;;;;x"</f>
        <v>chinese_group;Cestial;;;;;;;;;;;;;x</v>
      </c>
      <c r="W63">
        <v>135</v>
      </c>
      <c r="X63" t="s">
        <v>234</v>
      </c>
    </row>
    <row r="64" spans="1:24" ht="14.7" thickBot="1" x14ac:dyDescent="0.55000000000000004">
      <c r="A64" s="151" t="s">
        <v>2731</v>
      </c>
      <c r="B64" s="196"/>
      <c r="C64" s="196"/>
      <c r="D64" s="196" t="s">
        <v>218</v>
      </c>
      <c r="E64" s="196" t="s">
        <v>7459</v>
      </c>
      <c r="F64" s="196" t="s">
        <v>191</v>
      </c>
      <c r="G64" s="196"/>
      <c r="H64" s="196"/>
      <c r="I64" s="196"/>
      <c r="J64" s="203" t="s">
        <v>7159</v>
      </c>
      <c r="K64" s="195" t="s">
        <v>6766</v>
      </c>
      <c r="L64" s="156" t="s">
        <v>6673</v>
      </c>
      <c r="M64" s="156" t="s">
        <v>6674</v>
      </c>
      <c r="N64" s="155" t="s">
        <v>6674</v>
      </c>
      <c r="O64" s="156" t="s">
        <v>6667</v>
      </c>
      <c r="P64" s="37" t="s">
        <v>169</v>
      </c>
      <c r="Q64" s="257" t="s">
        <v>221</v>
      </c>
      <c r="S64" s="257" t="s">
        <v>117</v>
      </c>
      <c r="T64" t="str">
        <f t="shared" si="2"/>
        <v>tamil;255;179;51</v>
      </c>
      <c r="U64" t="str">
        <f t="shared" si="3"/>
        <v>tamil;Kinh;;;;;;;;;;;;;x</v>
      </c>
      <c r="V64" t="str">
        <f>Q64&amp;";"&amp;E64&amp;";;;;;;;;;;;;;x"</f>
        <v>dravidian_group;Peninsular;;;;;;;;;;;;;x</v>
      </c>
      <c r="W64">
        <v>119</v>
      </c>
      <c r="X64" t="s">
        <v>117</v>
      </c>
    </row>
    <row r="65" spans="1:23" ht="14.7" thickBot="1" x14ac:dyDescent="0.55000000000000004">
      <c r="A65" s="102" t="s">
        <v>6606</v>
      </c>
      <c r="B65" s="196"/>
      <c r="C65" s="196"/>
      <c r="D65" s="196"/>
      <c r="E65" s="196"/>
      <c r="F65" s="196"/>
      <c r="G65" s="196"/>
      <c r="H65" s="196"/>
      <c r="I65" s="196"/>
      <c r="J65" s="203" t="s">
        <v>7108</v>
      </c>
      <c r="K65" s="195" t="e">
        <v>#N/A</v>
      </c>
      <c r="L65" s="156" t="s">
        <v>6596</v>
      </c>
      <c r="M65" s="157"/>
      <c r="N65" s="156" t="s">
        <v>6605</v>
      </c>
      <c r="O65" s="42"/>
      <c r="P65" s="37" t="s">
        <v>153</v>
      </c>
      <c r="Q65" s="257" t="s">
        <v>7413</v>
      </c>
      <c r="T65" t="str">
        <f t="shared" si="2"/>
        <v>jurchen;122;115;92</v>
      </c>
      <c r="U65" t="str">
        <f t="shared" si="3"/>
        <v>jurchen;;;;;;;;;;;;;;x</v>
      </c>
      <c r="V65" t="s">
        <v>7469</v>
      </c>
      <c r="W65">
        <v>64</v>
      </c>
    </row>
    <row r="66" spans="1:23" ht="14.7" customHeight="1" thickBot="1" x14ac:dyDescent="0.55000000000000004">
      <c r="A66" s="103" t="s">
        <v>2030</v>
      </c>
      <c r="B66" s="196" t="s">
        <v>6607</v>
      </c>
      <c r="C66" s="196" t="s">
        <v>6780</v>
      </c>
      <c r="D66" s="196"/>
      <c r="E66" s="196"/>
      <c r="F66" s="196"/>
      <c r="G66" s="196"/>
      <c r="H66" s="196"/>
      <c r="I66" s="196"/>
      <c r="J66" s="203" t="s">
        <v>7109</v>
      </c>
      <c r="K66" s="195" t="e">
        <v>#N/A</v>
      </c>
      <c r="L66" s="155" t="s">
        <v>6607</v>
      </c>
      <c r="M66" s="155" t="s">
        <v>6608</v>
      </c>
      <c r="N66" s="37" t="s">
        <v>6609</v>
      </c>
      <c r="O66" s="37" t="s">
        <v>6610</v>
      </c>
      <c r="P66" s="37" t="s">
        <v>180</v>
      </c>
      <c r="Q66" s="257" t="s">
        <v>7414</v>
      </c>
      <c r="R66" s="156" t="s">
        <v>117</v>
      </c>
      <c r="T66" t="str">
        <f t="shared" ref="T66:T97" si="4">P66&amp;";"&amp;J66</f>
        <v>bedouin_arabic;26;191;26</v>
      </c>
      <c r="U66" t="str">
        <f t="shared" si="3"/>
        <v>bedouin_arabic;;;;;;;;;;;;;;x</v>
      </c>
      <c r="V66" t="s">
        <v>7470</v>
      </c>
      <c r="W66">
        <v>65</v>
      </c>
    </row>
    <row r="67" spans="1:23" ht="14.7" thickBot="1" x14ac:dyDescent="0.55000000000000004">
      <c r="A67" s="160" t="s">
        <v>1180</v>
      </c>
      <c r="B67" s="196"/>
      <c r="C67" s="196"/>
      <c r="D67" s="196"/>
      <c r="E67" s="196"/>
      <c r="F67" s="196"/>
      <c r="G67" s="196"/>
      <c r="H67" s="196"/>
      <c r="I67" s="196"/>
      <c r="J67" s="203" t="s">
        <v>7110</v>
      </c>
      <c r="K67" s="195" t="e">
        <v>#N/A</v>
      </c>
      <c r="L67" s="156" t="s">
        <v>6607</v>
      </c>
      <c r="M67" s="156"/>
      <c r="N67" s="155" t="s">
        <v>6611</v>
      </c>
      <c r="O67" s="155" t="s">
        <v>6610</v>
      </c>
      <c r="P67" s="155" t="s">
        <v>183</v>
      </c>
      <c r="Q67" s="257" t="s">
        <v>7414</v>
      </c>
      <c r="T67" t="str">
        <f t="shared" si="4"/>
        <v>maghreb_arabic;51;230;51</v>
      </c>
      <c r="U67" t="str">
        <f t="shared" si="3"/>
        <v>maghreb_arabic;;;;;;;;;;;;;;x</v>
      </c>
      <c r="V67" t="s">
        <v>7470</v>
      </c>
      <c r="W67">
        <v>66</v>
      </c>
    </row>
    <row r="68" spans="1:23" ht="14.7" thickBot="1" x14ac:dyDescent="0.55000000000000004">
      <c r="A68" s="161" t="s">
        <v>1180</v>
      </c>
      <c r="B68" s="196"/>
      <c r="C68" s="196"/>
      <c r="D68" s="196"/>
      <c r="E68" s="196"/>
      <c r="F68" s="196"/>
      <c r="G68" s="196"/>
      <c r="H68" s="196"/>
      <c r="I68" s="196"/>
      <c r="J68" s="203" t="s">
        <v>7110</v>
      </c>
      <c r="K68" s="195" t="e">
        <v>#N/A</v>
      </c>
      <c r="L68" s="156" t="s">
        <v>6607</v>
      </c>
      <c r="M68" s="156"/>
      <c r="N68" s="156" t="s">
        <v>6611</v>
      </c>
      <c r="O68" s="157" t="s">
        <v>6612</v>
      </c>
      <c r="P68" s="157"/>
      <c r="Q68" s="257" t="s">
        <v>7414</v>
      </c>
      <c r="T68" t="str">
        <f t="shared" si="4"/>
        <v>;51;230;51</v>
      </c>
      <c r="U68" t="str">
        <f t="shared" ref="U68:U99" si="5">P68&amp;";"&amp;D68&amp;";;;;;;;;;;;;;x"</f>
        <v>;;;;;;;;;;;;;;x</v>
      </c>
      <c r="V68" t="s">
        <v>7470</v>
      </c>
      <c r="W68">
        <v>67</v>
      </c>
    </row>
    <row r="69" spans="1:23" ht="14.7" thickBot="1" x14ac:dyDescent="0.55000000000000004">
      <c r="A69" s="104" t="s">
        <v>2134</v>
      </c>
      <c r="B69" s="196"/>
      <c r="C69" s="196"/>
      <c r="D69" s="196"/>
      <c r="E69" s="196"/>
      <c r="F69" s="196"/>
      <c r="G69" s="196"/>
      <c r="H69" s="196"/>
      <c r="I69" s="196"/>
      <c r="J69" s="203" t="s">
        <v>7111</v>
      </c>
      <c r="K69" s="195" t="e">
        <v>#N/A</v>
      </c>
      <c r="L69" s="156" t="s">
        <v>6607</v>
      </c>
      <c r="M69" s="156"/>
      <c r="N69" s="37" t="s">
        <v>6613</v>
      </c>
      <c r="O69" s="155" t="s">
        <v>6610</v>
      </c>
      <c r="P69" s="37" t="s">
        <v>181</v>
      </c>
      <c r="Q69" s="257" t="s">
        <v>7414</v>
      </c>
      <c r="T69" t="str">
        <f t="shared" si="4"/>
        <v>levantine_arabic;77;242;77</v>
      </c>
      <c r="U69" t="str">
        <f t="shared" si="5"/>
        <v>levantine_arabic;;;;;;;;;;;;;;x</v>
      </c>
      <c r="V69" t="s">
        <v>7470</v>
      </c>
      <c r="W69">
        <v>68</v>
      </c>
    </row>
    <row r="70" spans="1:23" ht="14.7" thickBot="1" x14ac:dyDescent="0.55000000000000004">
      <c r="A70" s="105" t="s">
        <v>2393</v>
      </c>
      <c r="B70" s="196"/>
      <c r="C70" s="196"/>
      <c r="D70" s="196"/>
      <c r="E70" s="196"/>
      <c r="F70" s="196"/>
      <c r="G70" s="196"/>
      <c r="H70" s="196"/>
      <c r="I70" s="196"/>
      <c r="J70" s="203" t="s">
        <v>7112</v>
      </c>
      <c r="K70" s="195" t="e">
        <v>#N/A</v>
      </c>
      <c r="L70" s="156" t="s">
        <v>6607</v>
      </c>
      <c r="M70" s="156"/>
      <c r="N70" s="37" t="s">
        <v>6613</v>
      </c>
      <c r="O70" s="156"/>
      <c r="P70" s="37" t="s">
        <v>182</v>
      </c>
      <c r="Q70" s="257" t="s">
        <v>7414</v>
      </c>
      <c r="T70" t="str">
        <f t="shared" si="4"/>
        <v>egyptian_arabic;26;153;26</v>
      </c>
      <c r="U70" t="str">
        <f t="shared" si="5"/>
        <v>egyptian_arabic;;;;;;;;;;;;;;x</v>
      </c>
      <c r="V70" t="s">
        <v>7470</v>
      </c>
      <c r="W70">
        <v>69</v>
      </c>
    </row>
    <row r="71" spans="1:23" ht="14.7" thickBot="1" x14ac:dyDescent="0.55000000000000004">
      <c r="A71" s="106" t="s">
        <v>712</v>
      </c>
      <c r="B71" s="196"/>
      <c r="C71" s="196"/>
      <c r="D71" s="196"/>
      <c r="E71" s="196"/>
      <c r="F71" s="196"/>
      <c r="G71" s="196"/>
      <c r="H71" s="196"/>
      <c r="I71" s="196"/>
      <c r="J71" s="203" t="s">
        <v>7113</v>
      </c>
      <c r="K71" s="195" t="e">
        <v>#N/A</v>
      </c>
      <c r="L71" s="156" t="s">
        <v>6607</v>
      </c>
      <c r="M71" s="157"/>
      <c r="N71" s="37" t="s">
        <v>6611</v>
      </c>
      <c r="O71" s="157"/>
      <c r="P71" s="37" t="s">
        <v>184</v>
      </c>
      <c r="Q71" s="257" t="s">
        <v>7414</v>
      </c>
      <c r="T71" t="str">
        <f t="shared" si="4"/>
        <v>andalusian_arabic;102;153;26</v>
      </c>
      <c r="U71" t="str">
        <f t="shared" si="5"/>
        <v>andalusian_arabic;;;;;;;;;;;;;;x</v>
      </c>
      <c r="V71" t="s">
        <v>7470</v>
      </c>
      <c r="W71">
        <v>70</v>
      </c>
    </row>
    <row r="72" spans="1:23" ht="14.7" customHeight="1" thickBot="1" x14ac:dyDescent="0.55000000000000004">
      <c r="A72" s="107" t="s">
        <v>1387</v>
      </c>
      <c r="B72" s="196" t="s">
        <v>1387</v>
      </c>
      <c r="C72" s="196" t="s">
        <v>6776</v>
      </c>
      <c r="D72" s="196"/>
      <c r="E72" s="196"/>
      <c r="F72" s="196"/>
      <c r="G72" s="196"/>
      <c r="H72" s="196"/>
      <c r="I72" s="196"/>
      <c r="J72" s="203" t="s">
        <v>7114</v>
      </c>
      <c r="K72" s="195" t="e">
        <v>#N/A</v>
      </c>
      <c r="L72" s="155" t="s">
        <v>6614</v>
      </c>
      <c r="M72" s="155" t="s">
        <v>6567</v>
      </c>
      <c r="N72" s="155" t="s">
        <v>6572</v>
      </c>
      <c r="O72" s="37"/>
      <c r="P72" s="37" t="s">
        <v>157</v>
      </c>
      <c r="Q72" s="257" t="s">
        <v>7423</v>
      </c>
      <c r="R72" s="156" t="s">
        <v>117</v>
      </c>
      <c r="T72" t="str">
        <f t="shared" si="4"/>
        <v>russian;51;102;26</v>
      </c>
      <c r="U72" t="str">
        <f t="shared" si="5"/>
        <v>russian;;;;;;;;;;;;;;x</v>
      </c>
      <c r="V72" t="s">
        <v>7471</v>
      </c>
      <c r="W72">
        <v>71</v>
      </c>
    </row>
    <row r="73" spans="1:23" ht="27.7" thickBot="1" x14ac:dyDescent="0.55000000000000004">
      <c r="A73" s="108" t="s">
        <v>1395</v>
      </c>
      <c r="B73" s="196"/>
      <c r="C73" s="196"/>
      <c r="D73" s="196"/>
      <c r="E73" s="196"/>
      <c r="F73" s="196"/>
      <c r="G73" s="196"/>
      <c r="H73" s="196"/>
      <c r="I73" s="196"/>
      <c r="J73" s="203" t="s">
        <v>7115</v>
      </c>
      <c r="K73" s="195" t="e">
        <v>#N/A</v>
      </c>
      <c r="L73" s="156" t="s">
        <v>6614</v>
      </c>
      <c r="M73" s="156"/>
      <c r="N73" s="156" t="s">
        <v>6572</v>
      </c>
      <c r="O73" s="155" t="s">
        <v>6615</v>
      </c>
      <c r="P73" s="37" t="s">
        <v>6616</v>
      </c>
      <c r="Q73" s="257" t="s">
        <v>7423</v>
      </c>
      <c r="T73" t="str">
        <f t="shared" si="4"/>
        <v>ilmenian;115;153;51</v>
      </c>
      <c r="U73" t="str">
        <f t="shared" si="5"/>
        <v>ilmenian;;;;;;;;;;;;;;x</v>
      </c>
      <c r="V73" t="s">
        <v>7471</v>
      </c>
      <c r="W73">
        <v>72</v>
      </c>
    </row>
    <row r="74" spans="1:23" ht="14.7" thickBot="1" x14ac:dyDescent="0.55000000000000004">
      <c r="A74" s="109" t="s">
        <v>1804</v>
      </c>
      <c r="B74" s="196"/>
      <c r="C74" s="196"/>
      <c r="D74" s="196"/>
      <c r="E74" s="196"/>
      <c r="F74" s="196"/>
      <c r="G74" s="196"/>
      <c r="H74" s="196"/>
      <c r="I74" s="196"/>
      <c r="J74" s="203" t="s">
        <v>7116</v>
      </c>
      <c r="K74" s="195" t="e">
        <v>#N/A</v>
      </c>
      <c r="L74" s="156" t="s">
        <v>6614</v>
      </c>
      <c r="M74" s="156"/>
      <c r="N74" s="156" t="s">
        <v>6572</v>
      </c>
      <c r="O74" s="156"/>
      <c r="P74" s="37" t="s">
        <v>6617</v>
      </c>
      <c r="Q74" s="257" t="s">
        <v>7423</v>
      </c>
      <c r="T74" t="str">
        <f t="shared" si="4"/>
        <v>severian;128;204;77</v>
      </c>
      <c r="U74" t="str">
        <f t="shared" si="5"/>
        <v>severian;;;;;;;;;;;;;;x</v>
      </c>
      <c r="V74" t="s">
        <v>7471</v>
      </c>
      <c r="W74">
        <v>73</v>
      </c>
    </row>
    <row r="75" spans="1:23" ht="14.7" thickBot="1" x14ac:dyDescent="0.55000000000000004">
      <c r="A75" s="110" t="s">
        <v>1758</v>
      </c>
      <c r="B75" s="196"/>
      <c r="C75" s="196"/>
      <c r="D75" s="196"/>
      <c r="E75" s="196"/>
      <c r="F75" s="196"/>
      <c r="G75" s="196"/>
      <c r="H75" s="196"/>
      <c r="I75" s="196"/>
      <c r="J75" s="203" t="s">
        <v>7117</v>
      </c>
      <c r="K75" s="195" t="e">
        <v>#N/A</v>
      </c>
      <c r="L75" s="156" t="s">
        <v>6614</v>
      </c>
      <c r="M75" s="157"/>
      <c r="N75" s="156" t="s">
        <v>6572</v>
      </c>
      <c r="O75" s="157"/>
      <c r="P75" s="37" t="s">
        <v>6618</v>
      </c>
      <c r="Q75" s="257" t="s">
        <v>7423</v>
      </c>
      <c r="T75" t="str">
        <f t="shared" si="4"/>
        <v>volhynian;166;204;77</v>
      </c>
      <c r="U75" t="str">
        <f t="shared" si="5"/>
        <v>volhynian;;;;;;;;;;;;;;x</v>
      </c>
      <c r="V75" t="s">
        <v>7471</v>
      </c>
      <c r="W75">
        <v>74</v>
      </c>
    </row>
    <row r="76" spans="1:23" ht="14.7" thickBot="1" x14ac:dyDescent="0.55000000000000004">
      <c r="A76" s="111" t="s">
        <v>943</v>
      </c>
      <c r="B76" s="196"/>
      <c r="C76" s="196"/>
      <c r="D76" s="196"/>
      <c r="E76" s="196"/>
      <c r="F76" s="196"/>
      <c r="G76" s="196"/>
      <c r="H76" s="196"/>
      <c r="I76" s="196"/>
      <c r="J76" s="203" t="s">
        <v>7118</v>
      </c>
      <c r="K76" s="195" t="e">
        <v>#N/A</v>
      </c>
      <c r="L76" s="155" t="s">
        <v>6619</v>
      </c>
      <c r="M76" s="155" t="s">
        <v>6567</v>
      </c>
      <c r="N76" s="155" t="s">
        <v>6620</v>
      </c>
      <c r="O76" s="37"/>
      <c r="P76" s="37" t="s">
        <v>6621</v>
      </c>
      <c r="Q76" s="257" t="s">
        <v>7437</v>
      </c>
      <c r="T76" t="str">
        <f t="shared" si="4"/>
        <v>pommeranian [sic];102;153;102</v>
      </c>
      <c r="U76" t="str">
        <f t="shared" si="5"/>
        <v>pommeranian [sic];;;;;;;;;;;;;;x</v>
      </c>
      <c r="V76" t="s">
        <v>7472</v>
      </c>
      <c r="W76">
        <v>75</v>
      </c>
    </row>
    <row r="77" spans="1:23" ht="14.7" thickBot="1" x14ac:dyDescent="0.55000000000000004">
      <c r="A77" s="112" t="s">
        <v>1240</v>
      </c>
      <c r="B77" s="196"/>
      <c r="C77" s="196"/>
      <c r="D77" s="196"/>
      <c r="E77" s="196"/>
      <c r="F77" s="196"/>
      <c r="G77" s="196"/>
      <c r="H77" s="196"/>
      <c r="I77" s="196"/>
      <c r="J77" s="203" t="s">
        <v>7119</v>
      </c>
      <c r="K77" s="195" t="e">
        <v>#N/A</v>
      </c>
      <c r="L77" s="156" t="s">
        <v>6619</v>
      </c>
      <c r="M77" s="156"/>
      <c r="N77" s="156" t="s">
        <v>6620</v>
      </c>
      <c r="O77" s="37"/>
      <c r="P77" s="37" t="s">
        <v>6622</v>
      </c>
      <c r="Q77" s="257" t="s">
        <v>7437</v>
      </c>
      <c r="T77" t="str">
        <f t="shared" si="4"/>
        <v>bohemian;102;153;128</v>
      </c>
      <c r="U77" t="str">
        <f t="shared" si="5"/>
        <v>bohemian;;;;;;;;;;;;;;x</v>
      </c>
      <c r="V77" t="s">
        <v>7472</v>
      </c>
      <c r="W77">
        <v>76</v>
      </c>
    </row>
    <row r="78" spans="1:23" ht="14.7" thickBot="1" x14ac:dyDescent="0.55000000000000004">
      <c r="A78" s="113" t="s">
        <v>1441</v>
      </c>
      <c r="B78" s="196"/>
      <c r="C78" s="196"/>
      <c r="D78" s="196"/>
      <c r="E78" s="196"/>
      <c r="F78" s="196"/>
      <c r="G78" s="196"/>
      <c r="H78" s="196"/>
      <c r="I78" s="196"/>
      <c r="J78" s="203" t="s">
        <v>7120</v>
      </c>
      <c r="K78" s="195" t="e">
        <v>#N/A</v>
      </c>
      <c r="L78" s="156" t="s">
        <v>6619</v>
      </c>
      <c r="M78" s="156"/>
      <c r="N78" s="156" t="s">
        <v>6620</v>
      </c>
      <c r="O78" s="37"/>
      <c r="P78" s="37" t="s">
        <v>6623</v>
      </c>
      <c r="Q78" s="257" t="s">
        <v>7437</v>
      </c>
      <c r="T78" t="str">
        <f t="shared" si="4"/>
        <v>polish;102;153;140</v>
      </c>
      <c r="U78" t="str">
        <f t="shared" si="5"/>
        <v>polish;;;;;;;;;;;;;;x</v>
      </c>
      <c r="V78" t="s">
        <v>7472</v>
      </c>
      <c r="W78">
        <v>77</v>
      </c>
    </row>
    <row r="79" spans="1:23" ht="14.7" thickBot="1" x14ac:dyDescent="0.55000000000000004">
      <c r="A79" s="114" t="s">
        <v>6624</v>
      </c>
      <c r="B79" s="196"/>
      <c r="C79" s="196"/>
      <c r="D79" s="196"/>
      <c r="E79" s="196"/>
      <c r="F79" s="196"/>
      <c r="G79" s="196"/>
      <c r="H79" s="196"/>
      <c r="I79" s="196"/>
      <c r="J79" s="203" t="s">
        <v>7121</v>
      </c>
      <c r="K79" s="195" t="e">
        <v>#N/A</v>
      </c>
      <c r="L79" s="156" t="s">
        <v>6619</v>
      </c>
      <c r="M79" s="157"/>
      <c r="N79" s="156" t="s">
        <v>6620</v>
      </c>
      <c r="O79" s="37"/>
      <c r="P79" s="37" t="s">
        <v>6625</v>
      </c>
      <c r="Q79" s="257" t="s">
        <v>7437</v>
      </c>
      <c r="T79" t="str">
        <f t="shared" si="4"/>
        <v>slovieni [sic];102;153;89</v>
      </c>
      <c r="U79" t="str">
        <f t="shared" si="5"/>
        <v>slovieni [sic];;;;;;;;;;;;;;x</v>
      </c>
      <c r="V79" t="s">
        <v>7472</v>
      </c>
      <c r="W79">
        <v>78</v>
      </c>
    </row>
    <row r="80" spans="1:23" ht="14.7" thickBot="1" x14ac:dyDescent="0.55000000000000004">
      <c r="A80" s="115" t="s">
        <v>1530</v>
      </c>
      <c r="B80" s="196"/>
      <c r="C80" s="196"/>
      <c r="D80" s="196"/>
      <c r="E80" s="196"/>
      <c r="F80" s="196"/>
      <c r="G80" s="196"/>
      <c r="H80" s="196"/>
      <c r="I80" s="196"/>
      <c r="J80" s="203" t="s">
        <v>7122</v>
      </c>
      <c r="K80" s="195" t="e">
        <v>#N/A</v>
      </c>
      <c r="L80" s="155" t="s">
        <v>6626</v>
      </c>
      <c r="M80" s="155" t="s">
        <v>6567</v>
      </c>
      <c r="N80" s="37" t="s">
        <v>6627</v>
      </c>
      <c r="O80" s="37"/>
      <c r="P80" s="37" t="s">
        <v>6628</v>
      </c>
      <c r="Q80" s="257" t="s">
        <v>7433</v>
      </c>
      <c r="T80" t="str">
        <f t="shared" si="4"/>
        <v>croatian;102;51;51</v>
      </c>
      <c r="U80" t="str">
        <f t="shared" si="5"/>
        <v>croatian;;;;;;;;;;;;;;x</v>
      </c>
      <c r="V80" t="s">
        <v>7473</v>
      </c>
      <c r="W80">
        <v>79</v>
      </c>
    </row>
    <row r="81" spans="1:24" ht="14.7" thickBot="1" x14ac:dyDescent="0.55000000000000004">
      <c r="A81" s="116" t="s">
        <v>1566</v>
      </c>
      <c r="B81" s="196"/>
      <c r="C81" s="196"/>
      <c r="D81" s="196"/>
      <c r="E81" s="196"/>
      <c r="F81" s="196"/>
      <c r="G81" s="196"/>
      <c r="H81" s="196"/>
      <c r="I81" s="196"/>
      <c r="J81" s="203" t="s">
        <v>7123</v>
      </c>
      <c r="K81" s="195" t="e">
        <v>#N/A</v>
      </c>
      <c r="L81" s="156" t="s">
        <v>6626</v>
      </c>
      <c r="M81" s="156"/>
      <c r="N81" s="37" t="s">
        <v>6629</v>
      </c>
      <c r="O81" s="37"/>
      <c r="P81" s="37" t="s">
        <v>6630</v>
      </c>
      <c r="Q81" s="257" t="s">
        <v>7433</v>
      </c>
      <c r="T81" t="str">
        <f t="shared" si="4"/>
        <v>serbian;128;77;77</v>
      </c>
      <c r="U81" t="str">
        <f t="shared" si="5"/>
        <v>serbian;;;;;;;;;;;;;;x</v>
      </c>
      <c r="V81" t="s">
        <v>7473</v>
      </c>
      <c r="W81">
        <v>80</v>
      </c>
    </row>
    <row r="82" spans="1:24" ht="14.7" thickBot="1" x14ac:dyDescent="0.55000000000000004">
      <c r="A82" s="117" t="s">
        <v>1668</v>
      </c>
      <c r="B82" s="196"/>
      <c r="C82" s="196"/>
      <c r="D82" s="196"/>
      <c r="E82" s="196"/>
      <c r="F82" s="196"/>
      <c r="G82" s="196"/>
      <c r="H82" s="196"/>
      <c r="I82" s="196"/>
      <c r="J82" s="203" t="s">
        <v>7124</v>
      </c>
      <c r="K82" s="195" t="e">
        <v>#N/A</v>
      </c>
      <c r="L82" s="156" t="s">
        <v>6626</v>
      </c>
      <c r="M82" s="156"/>
      <c r="N82" s="37" t="s">
        <v>6629</v>
      </c>
      <c r="O82" s="37"/>
      <c r="P82" s="37" t="s">
        <v>6631</v>
      </c>
      <c r="Q82" s="257" t="s">
        <v>7433</v>
      </c>
      <c r="T82" t="str">
        <f t="shared" si="4"/>
        <v>romanian;153;102;102</v>
      </c>
      <c r="U82" t="str">
        <f t="shared" si="5"/>
        <v>romanian;;;;;;;;;;;;;;x</v>
      </c>
      <c r="V82" t="s">
        <v>7473</v>
      </c>
      <c r="W82">
        <v>81</v>
      </c>
    </row>
    <row r="83" spans="1:24" ht="14.7" thickBot="1" x14ac:dyDescent="0.55000000000000004">
      <c r="A83" s="118" t="s">
        <v>1639</v>
      </c>
      <c r="B83" s="196"/>
      <c r="C83" s="196"/>
      <c r="D83" s="196"/>
      <c r="E83" s="196"/>
      <c r="F83" s="196"/>
      <c r="G83" s="196"/>
      <c r="H83" s="196"/>
      <c r="I83" s="196"/>
      <c r="J83" s="203" t="s">
        <v>7125</v>
      </c>
      <c r="K83" s="195" t="e">
        <v>#N/A</v>
      </c>
      <c r="L83" s="156" t="s">
        <v>6626</v>
      </c>
      <c r="M83" s="156"/>
      <c r="N83" s="37" t="s">
        <v>6629</v>
      </c>
      <c r="O83" s="37"/>
      <c r="P83" s="37" t="s">
        <v>6632</v>
      </c>
      <c r="Q83" s="257" t="s">
        <v>7433</v>
      </c>
      <c r="T83" t="str">
        <f t="shared" si="4"/>
        <v>bulgarian;191;128;128</v>
      </c>
      <c r="U83" t="str">
        <f t="shared" si="5"/>
        <v>bulgarian;;;;;;;;;;;;;;x</v>
      </c>
      <c r="V83" t="s">
        <v>7473</v>
      </c>
      <c r="W83">
        <v>82</v>
      </c>
    </row>
    <row r="84" spans="1:24" ht="14.7" thickBot="1" x14ac:dyDescent="0.55000000000000004">
      <c r="A84" s="119" t="s">
        <v>1545</v>
      </c>
      <c r="B84" s="196"/>
      <c r="C84" s="196"/>
      <c r="D84" s="196"/>
      <c r="E84" s="196"/>
      <c r="F84" s="196"/>
      <c r="G84" s="196"/>
      <c r="H84" s="196"/>
      <c r="I84" s="196"/>
      <c r="J84" s="203" t="s">
        <v>7126</v>
      </c>
      <c r="K84" s="195" t="e">
        <v>#N/A</v>
      </c>
      <c r="L84" s="156" t="s">
        <v>6626</v>
      </c>
      <c r="M84" s="156"/>
      <c r="N84" s="37" t="s">
        <v>6627</v>
      </c>
      <c r="O84" s="37"/>
      <c r="P84" s="37" t="s">
        <v>6633</v>
      </c>
      <c r="Q84" s="257" t="s">
        <v>7433</v>
      </c>
      <c r="T84" t="str">
        <f t="shared" si="4"/>
        <v>bosnian;77;26;26</v>
      </c>
      <c r="U84" t="str">
        <f t="shared" si="5"/>
        <v>bosnian;;;;;;;;;;;;;;x</v>
      </c>
      <c r="V84" t="s">
        <v>7473</v>
      </c>
      <c r="W84">
        <v>83</v>
      </c>
    </row>
    <row r="85" spans="1:24" ht="14.7" thickBot="1" x14ac:dyDescent="0.55000000000000004">
      <c r="A85" s="120" t="s">
        <v>1504</v>
      </c>
      <c r="B85" s="196"/>
      <c r="C85" s="196"/>
      <c r="D85" s="196"/>
      <c r="E85" s="196"/>
      <c r="F85" s="196"/>
      <c r="G85" s="196"/>
      <c r="H85" s="196"/>
      <c r="I85" s="196"/>
      <c r="J85" s="203" t="s">
        <v>7127</v>
      </c>
      <c r="K85" s="195" t="e">
        <v>#N/A</v>
      </c>
      <c r="L85" s="156" t="s">
        <v>6626</v>
      </c>
      <c r="M85" s="157"/>
      <c r="N85" s="37" t="s">
        <v>6629</v>
      </c>
      <c r="O85" s="37"/>
      <c r="P85" s="37" t="s">
        <v>6634</v>
      </c>
      <c r="Q85" s="257" t="s">
        <v>7433</v>
      </c>
      <c r="T85" t="str">
        <f t="shared" si="4"/>
        <v>carantanian;128;77;128</v>
      </c>
      <c r="U85" t="str">
        <f t="shared" si="5"/>
        <v>carantanian;;;;;;;;;;;;;;x</v>
      </c>
      <c r="V85" t="s">
        <v>7473</v>
      </c>
      <c r="W85">
        <v>84</v>
      </c>
    </row>
    <row r="86" spans="1:24" ht="14.7" thickBot="1" x14ac:dyDescent="0.55000000000000004">
      <c r="A86" s="162" t="s">
        <v>1484</v>
      </c>
      <c r="B86" s="198"/>
      <c r="C86" s="198"/>
      <c r="D86" s="196"/>
      <c r="E86" s="196"/>
      <c r="F86" s="196"/>
      <c r="G86" s="196"/>
      <c r="H86" s="196"/>
      <c r="I86" s="196"/>
      <c r="J86" s="203" t="s">
        <v>7128</v>
      </c>
      <c r="K86" s="195" t="e">
        <v>#N/A</v>
      </c>
      <c r="L86" s="155" t="s">
        <v>6635</v>
      </c>
      <c r="M86" s="155" t="s">
        <v>6567</v>
      </c>
      <c r="N86" s="155" t="s">
        <v>6636</v>
      </c>
      <c r="O86" s="44" t="s">
        <v>6637</v>
      </c>
      <c r="P86" s="155" t="s">
        <v>6640</v>
      </c>
      <c r="Q86" s="257" t="s">
        <v>7430</v>
      </c>
      <c r="T86" t="str">
        <f t="shared" si="4"/>
        <v>hungarian;128;153;77</v>
      </c>
      <c r="U86" t="str">
        <f t="shared" si="5"/>
        <v>hungarian;;;;;;;;;;;;;;x</v>
      </c>
      <c r="V86" t="s">
        <v>7474</v>
      </c>
      <c r="W86">
        <v>85</v>
      </c>
    </row>
    <row r="87" spans="1:24" ht="14.7" thickBot="1" x14ac:dyDescent="0.55000000000000004">
      <c r="A87" s="163" t="s">
        <v>1484</v>
      </c>
      <c r="B87" s="198"/>
      <c r="C87" s="198"/>
      <c r="D87" s="196"/>
      <c r="E87" s="196"/>
      <c r="F87" s="196"/>
      <c r="G87" s="196"/>
      <c r="H87" s="196"/>
      <c r="I87" s="196"/>
      <c r="J87" s="203" t="s">
        <v>7128</v>
      </c>
      <c r="K87" s="195" t="e">
        <v>#N/A</v>
      </c>
      <c r="L87" s="156" t="s">
        <v>6635</v>
      </c>
      <c r="M87" s="156"/>
      <c r="N87" s="156" t="s">
        <v>6636</v>
      </c>
      <c r="O87" s="47" t="s">
        <v>6638</v>
      </c>
      <c r="P87" s="156"/>
      <c r="Q87" s="257" t="s">
        <v>7430</v>
      </c>
      <c r="T87" t="str">
        <f t="shared" si="4"/>
        <v>;128;153;77</v>
      </c>
      <c r="U87" t="str">
        <f t="shared" si="5"/>
        <v>;;;;;;;;;;;;;;x</v>
      </c>
      <c r="V87" t="s">
        <v>7474</v>
      </c>
      <c r="W87">
        <v>86</v>
      </c>
    </row>
    <row r="88" spans="1:24" ht="14.7" thickBot="1" x14ac:dyDescent="0.55000000000000004">
      <c r="A88" s="164" t="s">
        <v>1484</v>
      </c>
      <c r="B88" s="198"/>
      <c r="C88" s="198"/>
      <c r="D88" s="196"/>
      <c r="E88" s="196"/>
      <c r="F88" s="196"/>
      <c r="G88" s="196"/>
      <c r="H88" s="196"/>
      <c r="I88" s="196"/>
      <c r="J88" s="203" t="s">
        <v>7128</v>
      </c>
      <c r="K88" s="195" t="e">
        <v>#N/A</v>
      </c>
      <c r="L88" s="156" t="s">
        <v>6635</v>
      </c>
      <c r="M88" s="157"/>
      <c r="N88" s="156" t="s">
        <v>6636</v>
      </c>
      <c r="O88" s="48" t="s">
        <v>6639</v>
      </c>
      <c r="P88" s="157"/>
      <c r="Q88" s="257" t="s">
        <v>7430</v>
      </c>
      <c r="T88" t="str">
        <f t="shared" si="4"/>
        <v>;128;153;77</v>
      </c>
      <c r="U88" t="str">
        <f t="shared" si="5"/>
        <v>;;;;;;;;;;;;;;x</v>
      </c>
      <c r="V88" t="s">
        <v>7474</v>
      </c>
      <c r="W88">
        <v>87</v>
      </c>
    </row>
    <row r="89" spans="1:24" ht="14.7" thickBot="1" x14ac:dyDescent="0.55000000000000004">
      <c r="A89" s="121" t="s">
        <v>1972</v>
      </c>
      <c r="B89" s="196"/>
      <c r="C89" s="196"/>
      <c r="D89" s="196"/>
      <c r="E89" s="196"/>
      <c r="F89" s="196"/>
      <c r="G89" s="196"/>
      <c r="H89" s="196"/>
      <c r="I89" s="196"/>
      <c r="J89" s="203" t="s">
        <v>7129</v>
      </c>
      <c r="K89" s="195" t="e">
        <v>#N/A</v>
      </c>
      <c r="L89" s="155" t="s">
        <v>6641</v>
      </c>
      <c r="M89" s="155" t="s">
        <v>6608</v>
      </c>
      <c r="N89" s="155" t="s">
        <v>6574</v>
      </c>
      <c r="O89" s="37" t="s">
        <v>6610</v>
      </c>
      <c r="P89" s="37" t="s">
        <v>150</v>
      </c>
      <c r="Q89" s="257" t="s">
        <v>7427</v>
      </c>
      <c r="T89" t="str">
        <f t="shared" si="4"/>
        <v>persian;204;204;102</v>
      </c>
      <c r="U89" t="str">
        <f t="shared" si="5"/>
        <v>persian;;;;;;;;;;;;;;x</v>
      </c>
      <c r="V89" t="s">
        <v>7475</v>
      </c>
      <c r="W89">
        <v>88</v>
      </c>
    </row>
    <row r="90" spans="1:24" ht="14.7" thickBot="1" x14ac:dyDescent="0.55000000000000004">
      <c r="A90" s="152" t="s">
        <v>2761</v>
      </c>
      <c r="B90" s="196"/>
      <c r="C90" s="196"/>
      <c r="D90" s="196" t="s">
        <v>192</v>
      </c>
      <c r="E90" s="196" t="s">
        <v>7459</v>
      </c>
      <c r="F90" s="196" t="s">
        <v>191</v>
      </c>
      <c r="G90" s="196"/>
      <c r="H90" s="196"/>
      <c r="I90" s="196"/>
      <c r="J90" s="203" t="s">
        <v>7160</v>
      </c>
      <c r="K90" s="195" t="s">
        <v>6767</v>
      </c>
      <c r="L90" s="156" t="s">
        <v>6673</v>
      </c>
      <c r="M90" s="156"/>
      <c r="N90" s="156" t="s">
        <v>6674</v>
      </c>
      <c r="O90" s="155"/>
      <c r="P90" s="37" t="s">
        <v>170</v>
      </c>
      <c r="Q90" s="257" t="s">
        <v>221</v>
      </c>
      <c r="S90" s="257" t="s">
        <v>117</v>
      </c>
      <c r="T90" t="str">
        <f t="shared" si="4"/>
        <v>telugu;204;204;0</v>
      </c>
      <c r="U90" t="str">
        <f t="shared" si="5"/>
        <v>telugu;Tai;;;;;;;;;;;;;x</v>
      </c>
      <c r="V90" t="str">
        <f>Q90&amp;";"&amp;E90&amp;";;;;;;;;;;;;;x"</f>
        <v>dravidian_group;Peninsular;;;;;;;;;;;;;x</v>
      </c>
      <c r="W90">
        <v>120</v>
      </c>
      <c r="X90" t="s">
        <v>117</v>
      </c>
    </row>
    <row r="91" spans="1:24" ht="14.7" thickBot="1" x14ac:dyDescent="0.55000000000000004">
      <c r="A91" s="123" t="s">
        <v>3388</v>
      </c>
      <c r="B91" s="196"/>
      <c r="C91" s="196"/>
      <c r="D91" s="196"/>
      <c r="E91" s="196"/>
      <c r="F91" s="196"/>
      <c r="G91" s="196"/>
      <c r="H91" s="196"/>
      <c r="I91" s="196"/>
      <c r="J91" s="203" t="s">
        <v>7131</v>
      </c>
      <c r="K91" s="195" t="e">
        <v>#N/A</v>
      </c>
      <c r="L91" s="156" t="s">
        <v>6641</v>
      </c>
      <c r="M91" s="156"/>
      <c r="N91" s="156" t="s">
        <v>6574</v>
      </c>
      <c r="O91" s="157"/>
      <c r="P91" s="37" t="s">
        <v>6642</v>
      </c>
      <c r="Q91" s="257" t="s">
        <v>7427</v>
      </c>
      <c r="T91" t="str">
        <f t="shared" si="4"/>
        <v>tocharian;191;115;242</v>
      </c>
      <c r="U91" t="str">
        <f t="shared" si="5"/>
        <v>tocharian;;;;;;;;;;;;;;x</v>
      </c>
      <c r="V91" t="s">
        <v>7475</v>
      </c>
      <c r="W91">
        <v>90</v>
      </c>
    </row>
    <row r="92" spans="1:24" ht="14.7" thickBot="1" x14ac:dyDescent="0.55000000000000004">
      <c r="A92" s="124" t="s">
        <v>2050</v>
      </c>
      <c r="B92" s="196"/>
      <c r="C92" s="196"/>
      <c r="D92" s="196"/>
      <c r="E92" s="196"/>
      <c r="F92" s="196"/>
      <c r="G92" s="196"/>
      <c r="H92" s="196"/>
      <c r="I92" s="196"/>
      <c r="J92" s="203" t="s">
        <v>7132</v>
      </c>
      <c r="K92" s="195" t="e">
        <v>#N/A</v>
      </c>
      <c r="L92" s="156" t="s">
        <v>6641</v>
      </c>
      <c r="M92" s="156"/>
      <c r="N92" s="156" t="s">
        <v>6574</v>
      </c>
      <c r="O92" s="155" t="s">
        <v>6610</v>
      </c>
      <c r="P92" s="37" t="s">
        <v>162</v>
      </c>
      <c r="Q92" s="257" t="s">
        <v>7427</v>
      </c>
      <c r="T92" t="str">
        <f t="shared" si="4"/>
        <v>kurdish;77;89;26</v>
      </c>
      <c r="U92" t="str">
        <f t="shared" si="5"/>
        <v>kurdish;;;;;;;;;;;;;;x</v>
      </c>
      <c r="V92" t="s">
        <v>7475</v>
      </c>
      <c r="W92">
        <v>91</v>
      </c>
    </row>
    <row r="93" spans="1:24" ht="14.7" thickBot="1" x14ac:dyDescent="0.55000000000000004">
      <c r="A93" s="153" t="s">
        <v>2749</v>
      </c>
      <c r="B93" s="196" t="s">
        <v>6784</v>
      </c>
      <c r="C93" s="196" t="s">
        <v>6782</v>
      </c>
      <c r="D93" s="196" t="s">
        <v>188</v>
      </c>
      <c r="E93" s="196" t="s">
        <v>7459</v>
      </c>
      <c r="F93" s="196" t="s">
        <v>191</v>
      </c>
      <c r="G93" s="196"/>
      <c r="H93" s="196"/>
      <c r="I93" s="196"/>
      <c r="J93" s="203" t="s">
        <v>7161</v>
      </c>
      <c r="K93" s="195" t="s">
        <v>6768</v>
      </c>
      <c r="L93" s="156" t="s">
        <v>6673</v>
      </c>
      <c r="M93" s="156"/>
      <c r="N93" s="156" t="s">
        <v>6674</v>
      </c>
      <c r="O93" s="156"/>
      <c r="P93" s="37" t="s">
        <v>171</v>
      </c>
      <c r="Q93" s="257" t="s">
        <v>221</v>
      </c>
      <c r="R93" s="257" t="s">
        <v>117</v>
      </c>
      <c r="S93" s="257" t="s">
        <v>117</v>
      </c>
      <c r="T93" t="str">
        <f t="shared" si="4"/>
        <v>kannada;204;153;0</v>
      </c>
      <c r="U93" t="str">
        <f t="shared" si="5"/>
        <v>kannada;Khmer;;;;;;;;;;;;;x</v>
      </c>
      <c r="V93" t="str">
        <f>Q93&amp;";"&amp;E93&amp;";;;;;;;;;;;;;x"</f>
        <v>dravidian_group;Peninsular;;;;;;;;;;;;;x</v>
      </c>
      <c r="W93">
        <v>121</v>
      </c>
      <c r="X93" t="s">
        <v>117</v>
      </c>
    </row>
    <row r="94" spans="1:24" ht="14.7" thickBot="1" x14ac:dyDescent="0.55000000000000004">
      <c r="A94" s="126" t="s">
        <v>2002</v>
      </c>
      <c r="B94" s="196"/>
      <c r="C94" s="196"/>
      <c r="D94" s="196"/>
      <c r="E94" s="196"/>
      <c r="F94" s="196"/>
      <c r="G94" s="196"/>
      <c r="H94" s="196"/>
      <c r="I94" s="196"/>
      <c r="J94" s="203" t="s">
        <v>7134</v>
      </c>
      <c r="K94" s="195" t="e">
        <v>#N/A</v>
      </c>
      <c r="L94" s="156" t="s">
        <v>6641</v>
      </c>
      <c r="M94" s="156"/>
      <c r="N94" s="156" t="s">
        <v>6574</v>
      </c>
      <c r="O94" s="157"/>
      <c r="P94" s="37" t="s">
        <v>6643</v>
      </c>
      <c r="Q94" s="257" t="s">
        <v>7427</v>
      </c>
      <c r="T94" t="str">
        <f t="shared" si="4"/>
        <v>baloch;102;102;13</v>
      </c>
      <c r="U94" t="str">
        <f t="shared" si="5"/>
        <v>baloch;;;;;;;;;;;;;;x</v>
      </c>
      <c r="V94" t="s">
        <v>7475</v>
      </c>
      <c r="W94">
        <v>93</v>
      </c>
    </row>
    <row r="95" spans="1:24" ht="14.7" thickBot="1" x14ac:dyDescent="0.55000000000000004">
      <c r="A95" s="127" t="s">
        <v>3379</v>
      </c>
      <c r="B95" s="196"/>
      <c r="C95" s="196"/>
      <c r="D95" s="196"/>
      <c r="E95" s="196"/>
      <c r="F95" s="196"/>
      <c r="G95" s="196"/>
      <c r="H95" s="196"/>
      <c r="I95" s="196"/>
      <c r="J95" s="203" t="s">
        <v>7135</v>
      </c>
      <c r="K95" s="195" t="e">
        <v>#N/A</v>
      </c>
      <c r="L95" s="156" t="s">
        <v>6641</v>
      </c>
      <c r="M95" s="157"/>
      <c r="N95" s="156" t="s">
        <v>6574</v>
      </c>
      <c r="O95" s="37" t="s">
        <v>6581</v>
      </c>
      <c r="P95" s="37" t="s">
        <v>6644</v>
      </c>
      <c r="Q95" s="257" t="s">
        <v>7427</v>
      </c>
      <c r="T95" t="str">
        <f t="shared" si="4"/>
        <v>saka;102;51;191</v>
      </c>
      <c r="U95" t="str">
        <f t="shared" si="5"/>
        <v>saka;;;;;;;;;;;;;;x</v>
      </c>
      <c r="V95" t="s">
        <v>7475</v>
      </c>
      <c r="W95">
        <v>94</v>
      </c>
    </row>
    <row r="96" spans="1:24" ht="14.7" thickBot="1" x14ac:dyDescent="0.55000000000000004">
      <c r="A96" s="128" t="s">
        <v>2589</v>
      </c>
      <c r="B96" s="196"/>
      <c r="C96" s="196"/>
      <c r="D96" s="196"/>
      <c r="E96" s="196"/>
      <c r="F96" s="196"/>
      <c r="G96" s="196"/>
      <c r="H96" s="196"/>
      <c r="I96" s="196"/>
      <c r="J96" s="203" t="s">
        <v>7136</v>
      </c>
      <c r="K96" s="195" t="e">
        <v>#N/A</v>
      </c>
      <c r="L96" s="155" t="s">
        <v>6645</v>
      </c>
      <c r="M96" s="155" t="s">
        <v>6608</v>
      </c>
      <c r="N96" s="155" t="s">
        <v>6646</v>
      </c>
      <c r="O96" s="155" t="s">
        <v>6581</v>
      </c>
      <c r="P96" s="37" t="s">
        <v>141</v>
      </c>
      <c r="Q96" s="257" t="s">
        <v>7422</v>
      </c>
      <c r="T96" t="str">
        <f t="shared" si="4"/>
        <v>ethiopian;102;102;77</v>
      </c>
      <c r="U96" t="str">
        <f t="shared" si="5"/>
        <v>ethiopian;;;;;;;;;;;;;;x</v>
      </c>
      <c r="V96" t="s">
        <v>7476</v>
      </c>
      <c r="W96">
        <v>95</v>
      </c>
    </row>
    <row r="97" spans="1:24" ht="14.7" thickBot="1" x14ac:dyDescent="0.55000000000000004">
      <c r="A97" s="129" t="s">
        <v>2584</v>
      </c>
      <c r="B97" s="196"/>
      <c r="C97" s="196"/>
      <c r="D97" s="233"/>
      <c r="H97" s="196"/>
      <c r="I97" s="196"/>
      <c r="J97" s="203" t="s">
        <v>7137</v>
      </c>
      <c r="K97" s="195" t="e">
        <v>#N/A</v>
      </c>
      <c r="L97" s="156" t="s">
        <v>6645</v>
      </c>
      <c r="M97" s="156"/>
      <c r="N97" s="156" t="s">
        <v>6646</v>
      </c>
      <c r="O97" s="156"/>
      <c r="P97" s="37" t="s">
        <v>6647</v>
      </c>
      <c r="Q97" s="257" t="s">
        <v>7422</v>
      </c>
      <c r="T97" t="str">
        <f t="shared" si="4"/>
        <v>somali;51;51;26</v>
      </c>
      <c r="U97" t="str">
        <f t="shared" si="5"/>
        <v>somali;;;;;;;;;;;;;;x</v>
      </c>
      <c r="V97" t="s">
        <v>7476</v>
      </c>
      <c r="W97">
        <v>96</v>
      </c>
    </row>
    <row r="98" spans="1:24" ht="14.7" customHeight="1" thickBot="1" x14ac:dyDescent="0.55000000000000004">
      <c r="A98" s="130" t="s">
        <v>2405</v>
      </c>
      <c r="B98" s="196" t="s">
        <v>6774</v>
      </c>
      <c r="C98" s="196" t="s">
        <v>4572</v>
      </c>
      <c r="D98" s="196" t="s">
        <v>7043</v>
      </c>
      <c r="E98" s="196" t="s">
        <v>7458</v>
      </c>
      <c r="F98" s="196" t="s">
        <v>225</v>
      </c>
      <c r="G98" s="196"/>
      <c r="H98" s="196"/>
      <c r="I98" s="196"/>
      <c r="J98" s="203" t="s">
        <v>7138</v>
      </c>
      <c r="K98" s="195" t="s">
        <v>6760</v>
      </c>
      <c r="L98" s="156" t="s">
        <v>6645</v>
      </c>
      <c r="M98" s="156"/>
      <c r="N98" s="156" t="s">
        <v>6646</v>
      </c>
      <c r="O98" s="157"/>
      <c r="P98" s="37" t="s">
        <v>154</v>
      </c>
      <c r="Q98" s="257" t="s">
        <v>219</v>
      </c>
      <c r="R98" s="156" t="s">
        <v>117</v>
      </c>
      <c r="S98" s="202" t="s">
        <v>117</v>
      </c>
      <c r="T98" t="str">
        <f t="shared" ref="T98:T129" si="6">P98&amp;";"&amp;J98</f>
        <v>nubian;153;153;128</v>
      </c>
      <c r="U98" t="str">
        <f t="shared" si="5"/>
        <v>nubian;Melanesian;;;;;;;;;;;;;x</v>
      </c>
      <c r="V98" t="str">
        <f>Q98&amp;";"&amp;E98&amp;";;;;;;;;;;;;;x"</f>
        <v>east_african;Guinean;;;;;;;;;;;;;x</v>
      </c>
      <c r="W98">
        <v>97</v>
      </c>
      <c r="X98" t="s">
        <v>117</v>
      </c>
    </row>
    <row r="99" spans="1:24" ht="14.7" thickBot="1" x14ac:dyDescent="0.55000000000000004">
      <c r="A99" s="131" t="s">
        <v>4124</v>
      </c>
      <c r="B99" s="196"/>
      <c r="C99" s="196"/>
      <c r="D99" s="196" t="s">
        <v>229</v>
      </c>
      <c r="E99" s="196" t="s">
        <v>7458</v>
      </c>
      <c r="F99" s="196" t="s">
        <v>225</v>
      </c>
      <c r="G99" s="196"/>
      <c r="H99" s="196"/>
      <c r="I99" s="196"/>
      <c r="J99" s="203" t="s">
        <v>7139</v>
      </c>
      <c r="K99" s="195" t="e">
        <v>#N/A</v>
      </c>
      <c r="L99" s="156" t="s">
        <v>6645</v>
      </c>
      <c r="M99" s="157"/>
      <c r="N99" s="156" t="s">
        <v>6646</v>
      </c>
      <c r="O99" s="37" t="s">
        <v>6648</v>
      </c>
      <c r="P99" s="37" t="s">
        <v>6649</v>
      </c>
      <c r="Q99" s="257" t="s">
        <v>219</v>
      </c>
      <c r="T99" t="str">
        <f t="shared" si="6"/>
        <v>daju;242;230;166</v>
      </c>
      <c r="U99" t="str">
        <f t="shared" si="5"/>
        <v>daju;Papuan;;;;;;;;;;;;;x</v>
      </c>
      <c r="V99" t="str">
        <f>Q99&amp;";"&amp;E99&amp;";;;;;;;;;;;;;x"</f>
        <v>east_african;Guinean;;;;;;;;;;;;;x</v>
      </c>
      <c r="W99">
        <v>98</v>
      </c>
      <c r="X99" t="s">
        <v>117</v>
      </c>
    </row>
    <row r="100" spans="1:24" ht="14.7" customHeight="1" thickBot="1" x14ac:dyDescent="0.55000000000000004">
      <c r="A100" s="64" t="s">
        <v>675</v>
      </c>
      <c r="B100" s="196"/>
      <c r="C100" s="196"/>
      <c r="D100" s="196" t="s">
        <v>7039</v>
      </c>
      <c r="E100" s="196" t="s">
        <v>7040</v>
      </c>
      <c r="F100" s="196" t="s">
        <v>107</v>
      </c>
      <c r="G100" s="196"/>
      <c r="H100" s="196"/>
      <c r="I100" s="196"/>
      <c r="J100" s="203" t="s">
        <v>7070</v>
      </c>
      <c r="K100" s="195" t="e">
        <v>#N/A</v>
      </c>
      <c r="L100" s="155" t="s">
        <v>6560</v>
      </c>
      <c r="M100" s="155" t="s">
        <v>6561</v>
      </c>
      <c r="N100" s="155" t="s">
        <v>6543</v>
      </c>
      <c r="O100" s="39" t="s">
        <v>6562</v>
      </c>
      <c r="P100" s="37" t="s">
        <v>144</v>
      </c>
      <c r="Q100" s="257" t="s">
        <v>236</v>
      </c>
      <c r="R100" s="271"/>
      <c r="S100" s="272"/>
      <c r="T100" t="str">
        <f t="shared" si="6"/>
        <v>basque;140;107;10</v>
      </c>
      <c r="U100" t="str">
        <f t="shared" ref="U100:U136" si="7">P100&amp;";"&amp;D100&amp;";;;;;;;;;;;;;x"</f>
        <v>basque;Croweater;;;;;;;;;;;;;x</v>
      </c>
      <c r="V100" t="str">
        <f>Q100&amp;";"&amp;E100&amp;";;;;;;;;;;;;;x"</f>
        <v>iberian;Westralian;;;;;;;;;;;;;x</v>
      </c>
      <c r="W100">
        <v>24</v>
      </c>
      <c r="X100" t="s">
        <v>8450</v>
      </c>
    </row>
    <row r="101" spans="1:24" ht="14.7" customHeight="1" thickBot="1" x14ac:dyDescent="0.55000000000000004">
      <c r="A101" s="68" t="s">
        <v>689</v>
      </c>
      <c r="B101" s="196"/>
      <c r="C101" s="196"/>
      <c r="D101" s="196" t="s">
        <v>7040</v>
      </c>
      <c r="E101" s="196" t="s">
        <v>7040</v>
      </c>
      <c r="F101" s="196" t="s">
        <v>107</v>
      </c>
      <c r="G101" s="196"/>
      <c r="H101" s="196"/>
      <c r="I101" s="196"/>
      <c r="J101" s="203" t="s">
        <v>7074</v>
      </c>
      <c r="K101" s="195" t="s">
        <v>6755</v>
      </c>
      <c r="L101" s="156" t="s">
        <v>6560</v>
      </c>
      <c r="M101" s="156"/>
      <c r="N101" s="156" t="s">
        <v>6563</v>
      </c>
      <c r="O101" s="37" t="s">
        <v>6565</v>
      </c>
      <c r="P101" s="37" t="s">
        <v>186</v>
      </c>
      <c r="Q101" s="257" t="s">
        <v>236</v>
      </c>
      <c r="R101" s="271"/>
      <c r="S101" s="202" t="s">
        <v>117</v>
      </c>
      <c r="T101" t="str">
        <f t="shared" si="6"/>
        <v>visigothic;140;140;38</v>
      </c>
      <c r="U101" t="str">
        <f t="shared" si="7"/>
        <v>visigothic;Westralian;;;;;;;;;;;;;x</v>
      </c>
      <c r="V101" t="str">
        <f>Q101&amp;";"&amp;E101&amp;";;;;;;;;;;;;;x"</f>
        <v>iberian;Westralian;;;;;;;;;;;;;x</v>
      </c>
      <c r="W101">
        <v>28</v>
      </c>
      <c r="X101" t="s">
        <v>8450</v>
      </c>
    </row>
    <row r="102" spans="1:24" ht="14.7" thickBot="1" x14ac:dyDescent="0.55000000000000004">
      <c r="A102" s="141" t="s">
        <v>2798</v>
      </c>
      <c r="B102" s="196"/>
      <c r="C102" s="196"/>
      <c r="D102" s="196" t="s">
        <v>2798</v>
      </c>
      <c r="E102" s="196" t="s">
        <v>7456</v>
      </c>
      <c r="F102" s="196" t="s">
        <v>243</v>
      </c>
      <c r="G102" s="196"/>
      <c r="H102" s="196"/>
      <c r="I102" s="196"/>
      <c r="J102" s="203" t="s">
        <v>7149</v>
      </c>
      <c r="K102" s="195" t="e">
        <v>#N/A</v>
      </c>
      <c r="L102" s="156" t="s">
        <v>6665</v>
      </c>
      <c r="M102" s="157" t="s">
        <v>6666</v>
      </c>
      <c r="N102" s="156" t="s">
        <v>6666</v>
      </c>
      <c r="O102" s="37" t="s">
        <v>6667</v>
      </c>
      <c r="P102" s="37" t="s">
        <v>172</v>
      </c>
      <c r="Q102" s="257" t="s">
        <v>222</v>
      </c>
      <c r="S102" s="202" t="s">
        <v>117</v>
      </c>
      <c r="T102" t="str">
        <f t="shared" si="6"/>
        <v>bengali;115;0;0</v>
      </c>
      <c r="U102" t="str">
        <f t="shared" si="7"/>
        <v>bengali;Bengali;;;;;;;;;;;;;x</v>
      </c>
      <c r="V102" t="str">
        <f>Q102&amp;";"&amp;E102&amp;";;;;;;;;;;;;;x"</f>
        <v>indo_aryan_group;South Asian;;;;;;;;;;;;;x</v>
      </c>
      <c r="W102">
        <v>108</v>
      </c>
      <c r="X102" t="s">
        <v>234</v>
      </c>
    </row>
    <row r="103" spans="1:24" ht="14.7" customHeight="1" thickBot="1" x14ac:dyDescent="0.55000000000000004">
      <c r="A103" s="135" t="s">
        <v>2700</v>
      </c>
      <c r="B103" s="196" t="s">
        <v>213</v>
      </c>
      <c r="C103" s="196" t="s">
        <v>129</v>
      </c>
      <c r="D103" s="196"/>
      <c r="E103" s="196"/>
      <c r="F103" s="196"/>
      <c r="G103" s="196"/>
      <c r="H103" s="196"/>
      <c r="I103" s="196"/>
      <c r="J103" s="203" t="s">
        <v>7143</v>
      </c>
      <c r="K103" s="195" t="e">
        <v>#N/A</v>
      </c>
      <c r="L103" s="155" t="s">
        <v>2530</v>
      </c>
      <c r="M103" s="155" t="s">
        <v>6608</v>
      </c>
      <c r="N103" s="155" t="s">
        <v>6651</v>
      </c>
      <c r="O103" s="37"/>
      <c r="P103" s="37" t="s">
        <v>6652</v>
      </c>
      <c r="Q103" s="257" t="s">
        <v>7435</v>
      </c>
      <c r="R103" s="156" t="s">
        <v>117</v>
      </c>
      <c r="T103" t="str">
        <f t="shared" si="6"/>
        <v>manden [sic];115;115;51</v>
      </c>
      <c r="U103" t="str">
        <f t="shared" si="7"/>
        <v>manden [sic];;;;;;;;;;;;;;x</v>
      </c>
      <c r="V103" t="s">
        <v>7477</v>
      </c>
      <c r="W103">
        <v>102</v>
      </c>
    </row>
    <row r="104" spans="1:24" ht="14.7" thickBot="1" x14ac:dyDescent="0.55000000000000004">
      <c r="A104" s="136" t="s">
        <v>2673</v>
      </c>
      <c r="B104" s="196"/>
      <c r="C104" s="196"/>
      <c r="D104" s="196"/>
      <c r="E104" s="196"/>
      <c r="F104" s="196"/>
      <c r="G104" s="196"/>
      <c r="H104" s="196"/>
      <c r="I104" s="196"/>
      <c r="J104" s="203" t="s">
        <v>7144</v>
      </c>
      <c r="K104" s="195" t="e">
        <v>#N/A</v>
      </c>
      <c r="L104" s="156" t="s">
        <v>2530</v>
      </c>
      <c r="M104" s="156"/>
      <c r="N104" s="156" t="s">
        <v>6651</v>
      </c>
      <c r="O104" s="37"/>
      <c r="P104" s="37" t="s">
        <v>6653</v>
      </c>
      <c r="Q104" s="257" t="s">
        <v>7435</v>
      </c>
      <c r="T104" t="str">
        <f t="shared" si="6"/>
        <v>soninke;89;89;51</v>
      </c>
      <c r="U104" t="str">
        <f t="shared" si="7"/>
        <v>soninke;;;;;;;;;;;;;;x</v>
      </c>
      <c r="V104" t="s">
        <v>7477</v>
      </c>
      <c r="W104">
        <v>103</v>
      </c>
    </row>
    <row r="105" spans="1:24" ht="14.7" thickBot="1" x14ac:dyDescent="0.55000000000000004">
      <c r="A105" s="137" t="s">
        <v>2680</v>
      </c>
      <c r="B105" s="196"/>
      <c r="C105" s="196"/>
      <c r="D105" s="196"/>
      <c r="E105" s="196"/>
      <c r="F105" s="196"/>
      <c r="G105" s="196"/>
      <c r="H105" s="196"/>
      <c r="I105" s="196"/>
      <c r="J105" s="203" t="s">
        <v>7145</v>
      </c>
      <c r="K105" s="195" t="e">
        <v>#N/A</v>
      </c>
      <c r="L105" s="156" t="s">
        <v>2530</v>
      </c>
      <c r="M105" s="157"/>
      <c r="N105" s="156" t="s">
        <v>6651</v>
      </c>
      <c r="O105" s="37"/>
      <c r="P105" s="37" t="s">
        <v>6654</v>
      </c>
      <c r="Q105" s="257" t="s">
        <v>7435</v>
      </c>
      <c r="T105" t="str">
        <f t="shared" si="6"/>
        <v>songhay;128;89;26</v>
      </c>
      <c r="U105" t="str">
        <f t="shared" si="7"/>
        <v>songhay;;;;;;;;;;;;;;x</v>
      </c>
      <c r="V105" t="s">
        <v>7477</v>
      </c>
      <c r="W105">
        <v>104</v>
      </c>
    </row>
    <row r="106" spans="1:24" ht="41.45" customHeight="1" thickBot="1" x14ac:dyDescent="0.55000000000000004">
      <c r="A106" s="144" t="s">
        <v>2827</v>
      </c>
      <c r="B106" s="196"/>
      <c r="C106" s="196"/>
      <c r="D106" s="196" t="s">
        <v>241</v>
      </c>
      <c r="E106" s="196" t="s">
        <v>7456</v>
      </c>
      <c r="F106" s="196" t="s">
        <v>243</v>
      </c>
      <c r="G106" s="196"/>
      <c r="H106" s="196"/>
      <c r="I106" s="196"/>
      <c r="J106" s="203" t="s">
        <v>7152</v>
      </c>
      <c r="K106" s="195" t="s">
        <v>6764</v>
      </c>
      <c r="L106" s="37" t="s">
        <v>6665</v>
      </c>
      <c r="M106" s="37"/>
      <c r="N106" s="37" t="s">
        <v>6666</v>
      </c>
      <c r="O106" s="37"/>
      <c r="P106" s="37" t="s">
        <v>168</v>
      </c>
      <c r="Q106" s="257" t="s">
        <v>222</v>
      </c>
      <c r="R106" s="271"/>
      <c r="S106" s="257" t="s">
        <v>117</v>
      </c>
      <c r="T106" t="str">
        <f t="shared" si="6"/>
        <v>hindustani;230;26;0</v>
      </c>
      <c r="U106" t="str">
        <f t="shared" si="7"/>
        <v>hindustani;Desi;;;;;;;;;;;;;x</v>
      </c>
      <c r="V106" t="str">
        <f>Q106&amp;";"&amp;E106&amp;";;;;;;;;;;;;;x"</f>
        <v>indo_aryan_group;South Asian;;;;;;;;;;;;;x</v>
      </c>
      <c r="W106">
        <v>111</v>
      </c>
      <c r="X106" t="s">
        <v>234</v>
      </c>
    </row>
    <row r="107" spans="1:24" ht="14.7" thickBot="1" x14ac:dyDescent="0.55000000000000004">
      <c r="A107" s="115" t="s">
        <v>2777</v>
      </c>
      <c r="B107" s="196"/>
      <c r="C107" s="196"/>
      <c r="D107" s="196" t="s">
        <v>7410</v>
      </c>
      <c r="E107" s="196" t="s">
        <v>7456</v>
      </c>
      <c r="F107" s="196" t="s">
        <v>243</v>
      </c>
      <c r="G107" s="196"/>
      <c r="H107" s="196"/>
      <c r="I107" s="196"/>
      <c r="J107" s="203" t="s">
        <v>7122</v>
      </c>
      <c r="K107" s="195" t="e">
        <v>#N/A</v>
      </c>
      <c r="L107" s="155" t="s">
        <v>6665</v>
      </c>
      <c r="M107" s="155"/>
      <c r="N107" s="155" t="s">
        <v>6666</v>
      </c>
      <c r="O107" s="155"/>
      <c r="P107" s="37" t="s">
        <v>167</v>
      </c>
      <c r="Q107" s="257" t="s">
        <v>222</v>
      </c>
      <c r="T107" t="str">
        <f t="shared" si="6"/>
        <v>gujurati;102;51;51</v>
      </c>
      <c r="U107" t="str">
        <f t="shared" si="7"/>
        <v>gujurati;Pratihara;;;;;;;;;;;;;x</v>
      </c>
      <c r="V107" t="str">
        <f>Q107&amp;";"&amp;E107&amp;";;;;;;;;;;;;;x"</f>
        <v>indo_aryan_group;South Asian;;;;;;;;;;;;;x</v>
      </c>
      <c r="W107">
        <v>112</v>
      </c>
      <c r="X107" t="s">
        <v>234</v>
      </c>
    </row>
    <row r="108" spans="1:24" ht="14.7" thickBot="1" x14ac:dyDescent="0.55000000000000004">
      <c r="A108" s="140" t="s">
        <v>6663</v>
      </c>
      <c r="B108" s="196"/>
      <c r="C108" s="196"/>
      <c r="D108" s="196"/>
      <c r="E108" s="196"/>
      <c r="F108" s="196"/>
      <c r="G108" s="196"/>
      <c r="H108" s="196"/>
      <c r="I108" s="196"/>
      <c r="J108" s="203" t="s">
        <v>7148</v>
      </c>
      <c r="K108" s="195" t="e">
        <v>#N/A</v>
      </c>
      <c r="L108" s="156" t="s">
        <v>6659</v>
      </c>
      <c r="M108" s="157"/>
      <c r="N108" s="156" t="s">
        <v>6568</v>
      </c>
      <c r="O108" s="157" t="s">
        <v>6661</v>
      </c>
      <c r="P108" s="37" t="s">
        <v>6664</v>
      </c>
      <c r="Q108" s="257" t="s">
        <v>7428</v>
      </c>
      <c r="T108" t="str">
        <f t="shared" si="6"/>
        <v>sephardi;179;51;179</v>
      </c>
      <c r="U108" t="str">
        <f t="shared" si="7"/>
        <v>sephardi;;;;;;;;;;;;;;x</v>
      </c>
      <c r="V108" t="s">
        <v>7478</v>
      </c>
      <c r="W108">
        <v>107</v>
      </c>
    </row>
    <row r="109" spans="1:24" ht="14.7" thickBot="1" x14ac:dyDescent="0.55000000000000004">
      <c r="A109" s="148" t="s">
        <v>2771</v>
      </c>
      <c r="B109" s="196"/>
      <c r="C109" s="196"/>
      <c r="D109" s="196" t="s">
        <v>2771</v>
      </c>
      <c r="E109" s="196" t="s">
        <v>7456</v>
      </c>
      <c r="F109" s="196" t="s">
        <v>243</v>
      </c>
      <c r="G109" s="196"/>
      <c r="H109" s="196"/>
      <c r="I109" s="196"/>
      <c r="J109" s="203" t="s">
        <v>7156</v>
      </c>
      <c r="K109" s="195" t="e">
        <v>#N/A</v>
      </c>
      <c r="L109" s="155" t="s">
        <v>6665</v>
      </c>
      <c r="M109" s="155"/>
      <c r="N109" s="155" t="s">
        <v>6666</v>
      </c>
      <c r="O109" s="155"/>
      <c r="P109" s="37" t="s">
        <v>244</v>
      </c>
      <c r="Q109" s="257" t="s">
        <v>222</v>
      </c>
      <c r="S109" s="202" t="s">
        <v>117</v>
      </c>
      <c r="T109" t="str">
        <f t="shared" si="6"/>
        <v>marathi;204;51;0</v>
      </c>
      <c r="U109" t="str">
        <f t="shared" si="7"/>
        <v>marathi;Marathi;;;;;;;;;;;;;x</v>
      </c>
      <c r="V109" t="str">
        <f>Q109&amp;";"&amp;E109&amp;";;;;;;;;;;;;;x"</f>
        <v>indo_aryan_group;South Asian;;;;;;;;;;;;;x</v>
      </c>
      <c r="W109">
        <v>116</v>
      </c>
      <c r="X109" t="s">
        <v>234</v>
      </c>
    </row>
    <row r="110" spans="1:24" ht="14.7" thickBot="1" x14ac:dyDescent="0.55000000000000004">
      <c r="A110" s="142" t="s">
        <v>2788</v>
      </c>
      <c r="B110" s="196"/>
      <c r="C110" s="196"/>
      <c r="D110" s="196"/>
      <c r="E110" s="196"/>
      <c r="F110" s="196"/>
      <c r="G110" s="196"/>
      <c r="H110" s="196"/>
      <c r="I110" s="196"/>
      <c r="J110" s="203" t="s">
        <v>7150</v>
      </c>
      <c r="K110" s="195" t="e">
        <v>#N/A</v>
      </c>
      <c r="L110" s="156" t="s">
        <v>6665</v>
      </c>
      <c r="M110" s="156"/>
      <c r="N110" s="156" t="s">
        <v>6666</v>
      </c>
      <c r="O110" s="156"/>
      <c r="P110" s="37" t="s">
        <v>6668</v>
      </c>
      <c r="Q110" s="257" t="s">
        <v>7426</v>
      </c>
      <c r="T110" t="str">
        <f t="shared" si="6"/>
        <v>oriya;204;102;0</v>
      </c>
      <c r="U110" t="str">
        <f t="shared" si="7"/>
        <v>oriya;;;;;;;;;;;;;;x</v>
      </c>
      <c r="V110" t="s">
        <v>7479</v>
      </c>
      <c r="W110">
        <v>109</v>
      </c>
    </row>
    <row r="111" spans="1:24" ht="14.7" thickBot="1" x14ac:dyDescent="0.55000000000000004">
      <c r="A111" s="143" t="s">
        <v>2926</v>
      </c>
      <c r="B111" s="196"/>
      <c r="C111" s="196"/>
      <c r="D111" s="196"/>
      <c r="E111" s="196"/>
      <c r="F111" s="196"/>
      <c r="G111" s="196"/>
      <c r="H111" s="196"/>
      <c r="I111" s="196"/>
      <c r="J111" s="203" t="s">
        <v>7151</v>
      </c>
      <c r="K111" s="195" t="e">
        <v>#N/A</v>
      </c>
      <c r="L111" s="156" t="s">
        <v>6665</v>
      </c>
      <c r="M111" s="156"/>
      <c r="N111" s="156" t="s">
        <v>6666</v>
      </c>
      <c r="O111" s="156"/>
      <c r="P111" s="37" t="s">
        <v>6669</v>
      </c>
      <c r="Q111" s="257" t="s">
        <v>7426</v>
      </c>
      <c r="T111" t="str">
        <f t="shared" si="6"/>
        <v>assamese;153;77;0</v>
      </c>
      <c r="U111" t="str">
        <f t="shared" si="7"/>
        <v>assamese;;;;;;;;;;;;;;x</v>
      </c>
      <c r="V111" t="s">
        <v>7479</v>
      </c>
      <c r="W111">
        <v>110</v>
      </c>
    </row>
    <row r="112" spans="1:24" ht="14.7" thickBot="1" x14ac:dyDescent="0.55000000000000004">
      <c r="A112" s="149" t="s">
        <v>2966</v>
      </c>
      <c r="B112" s="196"/>
      <c r="C112" s="196"/>
      <c r="D112" s="196" t="s">
        <v>242</v>
      </c>
      <c r="E112" s="196" t="s">
        <v>7456</v>
      </c>
      <c r="F112" s="196" t="s">
        <v>243</v>
      </c>
      <c r="G112" s="196"/>
      <c r="H112" s="196"/>
      <c r="I112" s="196"/>
      <c r="J112" s="203" t="s">
        <v>7157</v>
      </c>
      <c r="K112" s="195" t="s">
        <v>6765</v>
      </c>
      <c r="L112" s="156" t="s">
        <v>6665</v>
      </c>
      <c r="M112" s="156"/>
      <c r="N112" s="156" t="s">
        <v>6666</v>
      </c>
      <c r="O112" s="156"/>
      <c r="P112" s="37" t="s">
        <v>240</v>
      </c>
      <c r="Q112" s="257" t="s">
        <v>222</v>
      </c>
      <c r="S112" s="202" t="s">
        <v>117</v>
      </c>
      <c r="T112" t="str">
        <f t="shared" si="6"/>
        <v>sinhala;255;77;77</v>
      </c>
      <c r="U112" t="str">
        <f t="shared" si="7"/>
        <v>sinhala;Desh;;;;;;;;;;;;;x</v>
      </c>
      <c r="V112" t="str">
        <f>Q112&amp;";"&amp;E112&amp;";;;;;;;;;;;;;x"</f>
        <v>indo_aryan_group;South Asian;;;;;;;;;;;;;x</v>
      </c>
      <c r="W112">
        <v>117</v>
      </c>
      <c r="X112" t="s">
        <v>234</v>
      </c>
    </row>
    <row r="113" spans="1:24" ht="14.7" thickBot="1" x14ac:dyDescent="0.55000000000000004">
      <c r="A113" s="150" t="s">
        <v>3482</v>
      </c>
      <c r="B113" s="196"/>
      <c r="C113" s="196"/>
      <c r="D113" s="196" t="s">
        <v>7046</v>
      </c>
      <c r="E113" s="196" t="s">
        <v>7456</v>
      </c>
      <c r="F113" s="196" t="s">
        <v>191</v>
      </c>
      <c r="G113" s="196"/>
      <c r="H113" s="196"/>
      <c r="I113" s="196"/>
      <c r="J113" s="203" t="s">
        <v>7158</v>
      </c>
      <c r="K113" s="195" t="e">
        <v>#N/A</v>
      </c>
      <c r="L113" s="156" t="s">
        <v>6665</v>
      </c>
      <c r="M113" s="156"/>
      <c r="N113" s="156" t="s">
        <v>6671</v>
      </c>
      <c r="O113" s="156" t="s">
        <v>6648</v>
      </c>
      <c r="P113" s="37" t="s">
        <v>6672</v>
      </c>
      <c r="Q113" s="257" t="s">
        <v>222</v>
      </c>
      <c r="T113" t="str">
        <f t="shared" si="6"/>
        <v>nepali;166;64;26</v>
      </c>
      <c r="U113" t="str">
        <f t="shared" si="7"/>
        <v>nepali;Javanese;;;;;;;;;;;;;x</v>
      </c>
      <c r="V113" t="str">
        <f>Q113&amp;";"&amp;E113&amp;";;;;;;;;;;;;;x"</f>
        <v>indo_aryan_group;South Asian;;;;;;;;;;;;;x</v>
      </c>
      <c r="W113">
        <v>118</v>
      </c>
      <c r="X113" t="s">
        <v>117</v>
      </c>
    </row>
    <row r="114" spans="1:24" ht="14.7" thickBot="1" x14ac:dyDescent="0.55000000000000004">
      <c r="A114" s="145" t="s">
        <v>2881</v>
      </c>
      <c r="B114" s="196"/>
      <c r="C114" s="196"/>
      <c r="D114" s="196"/>
      <c r="E114" s="196"/>
      <c r="F114" s="196"/>
      <c r="G114" s="196"/>
      <c r="H114" s="196"/>
      <c r="I114" s="196"/>
      <c r="J114" s="203" t="s">
        <v>7153</v>
      </c>
      <c r="K114" s="195" t="e">
        <v>#N/A</v>
      </c>
      <c r="L114" s="156" t="s">
        <v>6665</v>
      </c>
      <c r="M114" s="156"/>
      <c r="N114" s="156" t="s">
        <v>6666</v>
      </c>
      <c r="O114" s="156"/>
      <c r="P114" s="37" t="s">
        <v>165</v>
      </c>
      <c r="Q114" s="257" t="s">
        <v>7426</v>
      </c>
      <c r="T114" t="str">
        <f t="shared" si="6"/>
        <v>panjabi;204;77;51</v>
      </c>
      <c r="U114" t="str">
        <f t="shared" si="7"/>
        <v>panjabi;;;;;;;;;;;;;;x</v>
      </c>
      <c r="V114" t="s">
        <v>7479</v>
      </c>
      <c r="W114">
        <v>113</v>
      </c>
    </row>
    <row r="115" spans="1:24" ht="14.7" thickBot="1" x14ac:dyDescent="0.55000000000000004">
      <c r="A115" s="146" t="s">
        <v>2793</v>
      </c>
      <c r="B115" s="196"/>
      <c r="C115" s="196"/>
      <c r="D115" s="196"/>
      <c r="E115" s="196"/>
      <c r="F115" s="196"/>
      <c r="G115" s="196"/>
      <c r="H115" s="196"/>
      <c r="I115" s="196"/>
      <c r="J115" s="203" t="s">
        <v>7154</v>
      </c>
      <c r="K115" s="195" t="e">
        <v>#N/A</v>
      </c>
      <c r="L115" s="156" t="s">
        <v>6665</v>
      </c>
      <c r="M115" s="156"/>
      <c r="N115" s="156" t="s">
        <v>6666</v>
      </c>
      <c r="O115" s="156"/>
      <c r="P115" s="37" t="s">
        <v>166</v>
      </c>
      <c r="Q115" s="257" t="s">
        <v>7426</v>
      </c>
      <c r="T115" t="str">
        <f t="shared" si="6"/>
        <v>rajput;153;0;0</v>
      </c>
      <c r="U115" t="str">
        <f t="shared" si="7"/>
        <v>rajput;;;;;;;;;;;;;;x</v>
      </c>
      <c r="V115" t="s">
        <v>7479</v>
      </c>
      <c r="W115">
        <v>114</v>
      </c>
    </row>
    <row r="116" spans="1:24" ht="14.7" thickBot="1" x14ac:dyDescent="0.55000000000000004">
      <c r="A116" s="147" t="s">
        <v>2816</v>
      </c>
      <c r="B116" s="196"/>
      <c r="C116" s="196"/>
      <c r="D116" s="196"/>
      <c r="E116" s="196"/>
      <c r="F116" s="196"/>
      <c r="G116" s="196"/>
      <c r="H116" s="196"/>
      <c r="I116" s="196"/>
      <c r="J116" s="203" t="s">
        <v>7155</v>
      </c>
      <c r="K116" s="195" t="e">
        <v>#N/A</v>
      </c>
      <c r="L116" s="156" t="s">
        <v>6665</v>
      </c>
      <c r="M116" s="156"/>
      <c r="N116" s="156" t="s">
        <v>6666</v>
      </c>
      <c r="O116" s="156"/>
      <c r="P116" s="37" t="s">
        <v>6670</v>
      </c>
      <c r="Q116" s="257" t="s">
        <v>7426</v>
      </c>
      <c r="T116" t="str">
        <f t="shared" si="6"/>
        <v>sindhi;255;51;0</v>
      </c>
      <c r="U116" t="str">
        <f t="shared" si="7"/>
        <v>sindhi;;;;;;;;;;;;;;x</v>
      </c>
      <c r="V116" t="s">
        <v>7479</v>
      </c>
      <c r="W116">
        <v>115</v>
      </c>
    </row>
    <row r="117" spans="1:24" ht="14.7" thickBot="1" x14ac:dyDescent="0.55000000000000004">
      <c r="A117" s="122" t="s">
        <v>1980</v>
      </c>
      <c r="B117" s="196"/>
      <c r="C117" s="196"/>
      <c r="D117" s="196" t="s">
        <v>7409</v>
      </c>
      <c r="E117" s="196" t="s">
        <v>7457</v>
      </c>
      <c r="F117" s="196" t="s">
        <v>243</v>
      </c>
      <c r="G117" s="196"/>
      <c r="H117" s="196"/>
      <c r="I117" s="196"/>
      <c r="J117" s="203" t="s">
        <v>7130</v>
      </c>
      <c r="K117" s="195" t="e">
        <v>#N/A</v>
      </c>
      <c r="L117" s="156" t="s">
        <v>6641</v>
      </c>
      <c r="M117" s="156"/>
      <c r="N117" s="156" t="s">
        <v>6574</v>
      </c>
      <c r="O117" s="156" t="s">
        <v>6581</v>
      </c>
      <c r="P117" s="37" t="s">
        <v>151</v>
      </c>
      <c r="Q117" s="257" t="s">
        <v>7484</v>
      </c>
      <c r="S117" s="272"/>
      <c r="T117" t="str">
        <f t="shared" si="6"/>
        <v>sogdian;110;82;82</v>
      </c>
      <c r="U117" t="str">
        <f t="shared" si="7"/>
        <v>sogdian;Parsi;;;;;;;;;;;;;x</v>
      </c>
      <c r="V117" t="str">
        <f t="shared" ref="V117:V136" si="8">Q117&amp;";"&amp;E117&amp;";;;;;;;;;;;;;x"</f>
        <v>iranian;Parsi-Muhajir;;;;;;;;;;;;;x</v>
      </c>
      <c r="W117">
        <v>89</v>
      </c>
      <c r="X117" t="s">
        <v>117</v>
      </c>
    </row>
    <row r="118" spans="1:24" ht="14.7" thickBot="1" x14ac:dyDescent="0.55000000000000004">
      <c r="A118" s="125" t="s">
        <v>1065</v>
      </c>
      <c r="B118" s="196"/>
      <c r="C118" s="196"/>
      <c r="D118" s="196" t="s">
        <v>7860</v>
      </c>
      <c r="E118" s="196" t="s">
        <v>7457</v>
      </c>
      <c r="F118" s="196" t="s">
        <v>243</v>
      </c>
      <c r="G118" s="196"/>
      <c r="H118" s="196"/>
      <c r="I118" s="196"/>
      <c r="J118" s="203" t="s">
        <v>7133</v>
      </c>
      <c r="K118" s="195" t="e">
        <v>#N/A</v>
      </c>
      <c r="L118" s="156" t="s">
        <v>6641</v>
      </c>
      <c r="M118" s="156"/>
      <c r="N118" s="156" t="s">
        <v>6574</v>
      </c>
      <c r="O118" s="157"/>
      <c r="P118" s="37" t="s">
        <v>173</v>
      </c>
      <c r="Q118" s="257" t="s">
        <v>7484</v>
      </c>
      <c r="S118" s="272"/>
      <c r="T118" t="str">
        <f t="shared" si="6"/>
        <v>afghan;153;153;26</v>
      </c>
      <c r="U118" t="str">
        <f t="shared" si="7"/>
        <v>afghan;Muhajir;;;;;;;;;;;;;x</v>
      </c>
      <c r="V118" t="str">
        <f t="shared" si="8"/>
        <v>iranian;Parsi-Muhajir;;;;;;;;;;;;;x</v>
      </c>
      <c r="W118">
        <v>92</v>
      </c>
      <c r="X118" t="s">
        <v>117</v>
      </c>
    </row>
    <row r="119" spans="1:24" ht="14.7" thickBot="1" x14ac:dyDescent="0.55000000000000004">
      <c r="A119" s="139" t="s">
        <v>6658</v>
      </c>
      <c r="B119" s="196"/>
      <c r="C119" s="196"/>
      <c r="D119" s="196" t="s">
        <v>1954</v>
      </c>
      <c r="E119" s="196" t="s">
        <v>1954</v>
      </c>
      <c r="F119" s="196" t="s">
        <v>107</v>
      </c>
      <c r="G119" s="196"/>
      <c r="H119" s="196"/>
      <c r="I119" s="196"/>
      <c r="J119" s="203" t="s">
        <v>7147</v>
      </c>
      <c r="K119" s="195" t="e">
        <v>#N/A</v>
      </c>
      <c r="L119" s="156" t="s">
        <v>6659</v>
      </c>
      <c r="M119" s="157" t="s">
        <v>6567</v>
      </c>
      <c r="N119" s="37" t="s">
        <v>6568</v>
      </c>
      <c r="O119" s="37" t="s">
        <v>6660</v>
      </c>
      <c r="P119" s="37" t="s">
        <v>6662</v>
      </c>
      <c r="Q119" s="257" t="s">
        <v>7485</v>
      </c>
      <c r="T119" t="str">
        <f t="shared" si="6"/>
        <v>ashkenazi;153;77;153</v>
      </c>
      <c r="U119" t="str">
        <f t="shared" si="7"/>
        <v>ashkenazi;Jewish;;;;;;;;;;;;;x</v>
      </c>
      <c r="V119" t="str">
        <f t="shared" si="8"/>
        <v>israelite;Jewish;;;;;;;;;;;;;x</v>
      </c>
      <c r="W119">
        <v>106</v>
      </c>
      <c r="X119" t="s">
        <v>234</v>
      </c>
    </row>
    <row r="120" spans="1:24" ht="14.7" thickBot="1" x14ac:dyDescent="0.55000000000000004">
      <c r="A120" s="59" t="s">
        <v>488</v>
      </c>
      <c r="B120" s="196" t="s">
        <v>7035</v>
      </c>
      <c r="C120" s="196" t="s">
        <v>6776</v>
      </c>
      <c r="D120" s="196" t="s">
        <v>7481</v>
      </c>
      <c r="E120" s="196" t="s">
        <v>7481</v>
      </c>
      <c r="F120" s="196" t="s">
        <v>107</v>
      </c>
      <c r="G120" s="196"/>
      <c r="H120" s="196"/>
      <c r="I120" s="196"/>
      <c r="J120" s="203" t="s">
        <v>7064</v>
      </c>
      <c r="K120" s="195" t="e">
        <v>#N/A</v>
      </c>
      <c r="L120" s="155" t="s">
        <v>6537</v>
      </c>
      <c r="M120" s="155" t="s">
        <v>6511</v>
      </c>
      <c r="N120" s="155" t="s">
        <v>6538</v>
      </c>
      <c r="O120" s="155"/>
      <c r="P120" s="37" t="s">
        <v>7482</v>
      </c>
      <c r="Q120" s="257" t="s">
        <v>7486</v>
      </c>
      <c r="S120" s="272"/>
      <c r="T120" t="str">
        <f t="shared" si="6"/>
        <v>frankish;204;204;51</v>
      </c>
      <c r="U120" t="str">
        <f t="shared" si="7"/>
        <v>frankish;Ozian;;;;;;;;;;;;;x</v>
      </c>
      <c r="V120" t="str">
        <f t="shared" si="8"/>
        <v>latin;Ozian;;;;;;;;;;;;;x</v>
      </c>
      <c r="W120">
        <v>15</v>
      </c>
      <c r="X120" t="s">
        <v>8454</v>
      </c>
    </row>
    <row r="121" spans="1:24" ht="178" thickBot="1" x14ac:dyDescent="0.55000000000000004">
      <c r="A121" s="138" t="s">
        <v>6655</v>
      </c>
      <c r="B121" s="196" t="s">
        <v>4573</v>
      </c>
      <c r="C121" s="196" t="s">
        <v>4572</v>
      </c>
      <c r="D121" s="196" t="s">
        <v>187</v>
      </c>
      <c r="E121" s="196" t="s">
        <v>187</v>
      </c>
      <c r="F121" s="196" t="s">
        <v>225</v>
      </c>
      <c r="G121" s="196" t="s">
        <v>7049</v>
      </c>
      <c r="H121" s="196"/>
      <c r="I121" s="196"/>
      <c r="J121" s="203" t="s">
        <v>7146</v>
      </c>
      <c r="K121" s="195" t="s">
        <v>7044</v>
      </c>
      <c r="L121" s="156" t="s">
        <v>6656</v>
      </c>
      <c r="M121" s="156" t="s">
        <v>6657</v>
      </c>
      <c r="N121" s="156" t="s">
        <v>6657</v>
      </c>
      <c r="O121" s="156" t="s">
        <v>6747</v>
      </c>
      <c r="P121" s="37" t="s">
        <v>185</v>
      </c>
      <c r="Q121" s="257" t="s">
        <v>7487</v>
      </c>
      <c r="R121" s="257" t="s">
        <v>117</v>
      </c>
      <c r="S121" s="272"/>
      <c r="T121" t="str">
        <f t="shared" si="6"/>
        <v>nahuatl;255;128;0</v>
      </c>
      <c r="U121" t="str">
        <f t="shared" si="7"/>
        <v>nahuatl;Polynesian;;;;;;;;;;;;;x</v>
      </c>
      <c r="V121" t="str">
        <f t="shared" si="8"/>
        <v>mesoamerican;Polynesian;;;;;;;;;;;;;x</v>
      </c>
      <c r="W121">
        <v>105</v>
      </c>
      <c r="X121" t="s">
        <v>117</v>
      </c>
    </row>
    <row r="122" spans="1:24" ht="14.7" customHeight="1" thickBot="1" x14ac:dyDescent="0.55000000000000004">
      <c r="A122" s="267" t="s">
        <v>262</v>
      </c>
      <c r="B122" s="196"/>
      <c r="C122" s="196"/>
      <c r="D122" s="196" t="s">
        <v>231</v>
      </c>
      <c r="E122" s="196" t="s">
        <v>230</v>
      </c>
      <c r="F122" s="196" t="s">
        <v>230</v>
      </c>
      <c r="G122" s="196"/>
      <c r="H122" s="196"/>
      <c r="I122" s="196"/>
      <c r="J122" s="203" t="s">
        <v>7051</v>
      </c>
      <c r="K122" s="195" t="s">
        <v>6753</v>
      </c>
      <c r="L122" s="156" t="s">
        <v>6510</v>
      </c>
      <c r="M122" s="157" t="s">
        <v>6511</v>
      </c>
      <c r="N122" s="156" t="s">
        <v>6512</v>
      </c>
      <c r="O122" s="48" t="s">
        <v>6513</v>
      </c>
      <c r="P122" s="37" t="s">
        <v>136</v>
      </c>
      <c r="Q122" s="257" t="s">
        <v>239</v>
      </c>
      <c r="R122" s="271"/>
      <c r="S122" s="202" t="s">
        <v>117</v>
      </c>
      <c r="T122" t="str">
        <f t="shared" si="6"/>
        <v>norse;77;140;204</v>
      </c>
      <c r="U122" t="str">
        <f t="shared" si="7"/>
        <v>norse;Zealander;;;;;;;;;;;;;x</v>
      </c>
      <c r="V122" t="str">
        <f t="shared" si="8"/>
        <v>north_germanic;New Zealander;;;;;;;;;;;;;x</v>
      </c>
      <c r="W122">
        <v>1</v>
      </c>
      <c r="X122" t="s">
        <v>117</v>
      </c>
    </row>
    <row r="123" spans="1:24" ht="14.7" thickBot="1" x14ac:dyDescent="0.55000000000000004">
      <c r="A123" s="154" t="s">
        <v>262</v>
      </c>
      <c r="B123" s="198"/>
      <c r="C123" s="198"/>
      <c r="D123" s="196" t="s">
        <v>231</v>
      </c>
      <c r="E123" s="196" t="s">
        <v>230</v>
      </c>
      <c r="F123" s="196" t="s">
        <v>230</v>
      </c>
      <c r="G123" s="196"/>
      <c r="H123" s="196"/>
      <c r="I123" s="196"/>
      <c r="J123" s="203" t="s">
        <v>7051</v>
      </c>
      <c r="K123" s="195" t="e">
        <v>#N/A</v>
      </c>
      <c r="L123" s="155" t="s">
        <v>6510</v>
      </c>
      <c r="M123" s="155"/>
      <c r="N123" s="155" t="s">
        <v>6512</v>
      </c>
      <c r="O123" s="44" t="s">
        <v>6514</v>
      </c>
      <c r="P123" s="155"/>
      <c r="Q123" s="257" t="s">
        <v>239</v>
      </c>
      <c r="S123" s="257" t="s">
        <v>117</v>
      </c>
      <c r="T123" t="str">
        <f t="shared" si="6"/>
        <v>;77;140;204</v>
      </c>
      <c r="U123" t="str">
        <f t="shared" si="7"/>
        <v>;Zealander;;;;;;;;;;;;;x</v>
      </c>
      <c r="V123" t="str">
        <f t="shared" si="8"/>
        <v>north_germanic;New Zealander;;;;;;;;;;;;;x</v>
      </c>
      <c r="W123">
        <v>2</v>
      </c>
      <c r="X123" t="s">
        <v>117</v>
      </c>
    </row>
    <row r="124" spans="1:24" ht="14.7" thickBot="1" x14ac:dyDescent="0.55000000000000004">
      <c r="A124" s="165" t="s">
        <v>3258</v>
      </c>
      <c r="B124" s="198"/>
      <c r="C124" s="198"/>
      <c r="D124" s="196" t="s">
        <v>7045</v>
      </c>
      <c r="E124" s="196" t="s">
        <v>191</v>
      </c>
      <c r="F124" s="196" t="s">
        <v>191</v>
      </c>
      <c r="G124" s="196"/>
      <c r="H124" s="196"/>
      <c r="I124" s="196"/>
      <c r="J124" s="203" t="s">
        <v>7155</v>
      </c>
      <c r="K124" s="195" t="e">
        <v>#N/A</v>
      </c>
      <c r="L124" s="156" t="s">
        <v>6675</v>
      </c>
      <c r="M124" s="156" t="s">
        <v>6671</v>
      </c>
      <c r="N124" s="156" t="s">
        <v>6671</v>
      </c>
      <c r="O124" s="47" t="s">
        <v>6639</v>
      </c>
      <c r="P124" s="156" t="s">
        <v>163</v>
      </c>
      <c r="Q124" s="257" t="s">
        <v>220</v>
      </c>
      <c r="T124" t="str">
        <f t="shared" si="6"/>
        <v>bodpa;255;51;0</v>
      </c>
      <c r="U124" t="str">
        <f t="shared" si="7"/>
        <v>bodpa;Pinoy ;;;;;;;;;;;;;x</v>
      </c>
      <c r="V124" t="str">
        <f t="shared" si="8"/>
        <v>tibetan_group;S.E.A.;;;;;;;;;;;;;x</v>
      </c>
      <c r="W124">
        <v>122</v>
      </c>
      <c r="X124" t="s">
        <v>117</v>
      </c>
    </row>
    <row r="125" spans="1:24" ht="14.7" thickBot="1" x14ac:dyDescent="0.55000000000000004">
      <c r="A125" s="165" t="s">
        <v>3258</v>
      </c>
      <c r="B125" s="198"/>
      <c r="C125" s="198"/>
      <c r="D125" s="196" t="s">
        <v>7045</v>
      </c>
      <c r="E125" s="196" t="s">
        <v>191</v>
      </c>
      <c r="F125" s="196" t="s">
        <v>191</v>
      </c>
      <c r="G125" s="196"/>
      <c r="H125" s="196"/>
      <c r="I125" s="196"/>
      <c r="J125" s="203" t="s">
        <v>7155</v>
      </c>
      <c r="K125" s="195" t="e">
        <v>#N/A</v>
      </c>
      <c r="L125" s="156" t="s">
        <v>6675</v>
      </c>
      <c r="M125" s="156"/>
      <c r="N125" s="156" t="s">
        <v>6671</v>
      </c>
      <c r="O125" s="47" t="s">
        <v>6638</v>
      </c>
      <c r="P125" s="156"/>
      <c r="Q125" s="257" t="s">
        <v>220</v>
      </c>
      <c r="T125" t="str">
        <f t="shared" si="6"/>
        <v>;255;51;0</v>
      </c>
      <c r="U125" t="str">
        <f t="shared" si="7"/>
        <v>;Pinoy ;;;;;;;;;;;;;x</v>
      </c>
      <c r="V125" t="str">
        <f t="shared" si="8"/>
        <v>tibetan_group;S.E.A.;;;;;;;;;;;;;x</v>
      </c>
      <c r="W125">
        <v>123</v>
      </c>
      <c r="X125" t="s">
        <v>117</v>
      </c>
    </row>
    <row r="126" spans="1:24" ht="14.7" thickBot="1" x14ac:dyDescent="0.55000000000000004">
      <c r="A126" s="166" t="s">
        <v>3258</v>
      </c>
      <c r="B126" s="198"/>
      <c r="C126" s="198"/>
      <c r="D126" s="196" t="s">
        <v>7045</v>
      </c>
      <c r="E126" s="196" t="s">
        <v>191</v>
      </c>
      <c r="F126" s="196" t="s">
        <v>191</v>
      </c>
      <c r="G126" s="196"/>
      <c r="H126" s="196"/>
      <c r="I126" s="196"/>
      <c r="J126" s="203" t="s">
        <v>7155</v>
      </c>
      <c r="K126" s="195" t="e">
        <v>#N/A</v>
      </c>
      <c r="L126" s="156" t="s">
        <v>6675</v>
      </c>
      <c r="M126" s="156"/>
      <c r="N126" s="156" t="s">
        <v>6671</v>
      </c>
      <c r="O126" s="47" t="s">
        <v>6581</v>
      </c>
      <c r="P126" s="157"/>
      <c r="Q126" s="257" t="s">
        <v>220</v>
      </c>
      <c r="T126" t="str">
        <f t="shared" si="6"/>
        <v>;255;51;0</v>
      </c>
      <c r="U126" t="str">
        <f t="shared" si="7"/>
        <v>;Pinoy ;;;;;;;;;;;;;x</v>
      </c>
      <c r="V126" t="str">
        <f t="shared" si="8"/>
        <v>tibetan_group;S.E.A.;;;;;;;;;;;;;x</v>
      </c>
      <c r="W126">
        <v>124</v>
      </c>
      <c r="X126" t="s">
        <v>117</v>
      </c>
    </row>
    <row r="127" spans="1:24" ht="14.7" thickBot="1" x14ac:dyDescent="0.55000000000000004">
      <c r="A127" s="147" t="s">
        <v>3258</v>
      </c>
      <c r="B127" s="196"/>
      <c r="C127" s="196"/>
      <c r="D127" s="196" t="s">
        <v>7045</v>
      </c>
      <c r="E127" s="196" t="s">
        <v>191</v>
      </c>
      <c r="F127" s="196" t="s">
        <v>191</v>
      </c>
      <c r="G127" s="196"/>
      <c r="H127" s="196"/>
      <c r="I127" s="196"/>
      <c r="J127" s="203" t="s">
        <v>7155</v>
      </c>
      <c r="K127" s="195" t="e">
        <v>#N/A</v>
      </c>
      <c r="L127" s="156" t="s">
        <v>6675</v>
      </c>
      <c r="M127" s="156"/>
      <c r="N127" s="156" t="s">
        <v>6671</v>
      </c>
      <c r="O127" s="48" t="s">
        <v>6676</v>
      </c>
      <c r="P127" s="37"/>
      <c r="Q127" s="257" t="s">
        <v>220</v>
      </c>
      <c r="S127" s="272"/>
      <c r="T127" t="str">
        <f t="shared" si="6"/>
        <v>;255;51;0</v>
      </c>
      <c r="U127" t="str">
        <f t="shared" si="7"/>
        <v>;Pinoy ;;;;;;;;;;;;;x</v>
      </c>
      <c r="V127" t="str">
        <f t="shared" si="8"/>
        <v>tibetan_group;S.E.A.;;;;;;;;;;;;;x</v>
      </c>
      <c r="W127">
        <v>125</v>
      </c>
      <c r="X127" t="s">
        <v>117</v>
      </c>
    </row>
    <row r="128" spans="1:24" ht="14.7" customHeight="1" thickBot="1" x14ac:dyDescent="0.55000000000000004">
      <c r="A128" s="264" t="s">
        <v>3324</v>
      </c>
      <c r="B128" s="198"/>
      <c r="C128" s="198"/>
      <c r="D128" s="196" t="s">
        <v>224</v>
      </c>
      <c r="E128" s="196" t="s">
        <v>191</v>
      </c>
      <c r="F128" s="196" t="s">
        <v>191</v>
      </c>
      <c r="G128" s="196"/>
      <c r="H128" s="196"/>
      <c r="I128" s="196"/>
      <c r="J128" s="203" t="s">
        <v>7162</v>
      </c>
      <c r="K128" s="195" t="s">
        <v>6769</v>
      </c>
      <c r="L128" s="156" t="s">
        <v>6675</v>
      </c>
      <c r="M128" s="156"/>
      <c r="N128" s="156" t="s">
        <v>6671</v>
      </c>
      <c r="O128" s="270" t="s">
        <v>6748</v>
      </c>
      <c r="P128" s="155" t="s">
        <v>226</v>
      </c>
      <c r="Q128" s="257" t="s">
        <v>220</v>
      </c>
      <c r="R128" s="271"/>
      <c r="S128" s="202" t="s">
        <v>117</v>
      </c>
      <c r="T128" t="str">
        <f t="shared" si="6"/>
        <v>tangut;204;77;0</v>
      </c>
      <c r="U128" t="str">
        <f t="shared" si="7"/>
        <v>tangut;Bamar;;;;;;;;;;;;;x</v>
      </c>
      <c r="V128" t="str">
        <f t="shared" si="8"/>
        <v>tibetan_group;S.E.A.;;;;;;;;;;;;;x</v>
      </c>
      <c r="W128">
        <v>126</v>
      </c>
      <c r="X128" t="s">
        <v>117</v>
      </c>
    </row>
    <row r="129" spans="1:24" ht="14.7" thickBot="1" x14ac:dyDescent="0.55000000000000004">
      <c r="A129" s="167" t="s">
        <v>3462</v>
      </c>
      <c r="B129" s="198" t="s">
        <v>6783</v>
      </c>
      <c r="C129" s="198" t="s">
        <v>6782</v>
      </c>
      <c r="D129" s="196" t="s">
        <v>193</v>
      </c>
      <c r="E129" s="196" t="s">
        <v>191</v>
      </c>
      <c r="F129" s="196" t="s">
        <v>191</v>
      </c>
      <c r="G129" s="196"/>
      <c r="H129" s="196"/>
      <c r="I129" s="196"/>
      <c r="J129" s="203" t="s">
        <v>7163</v>
      </c>
      <c r="K129" s="195" t="s">
        <v>6770</v>
      </c>
      <c r="L129" s="156" t="s">
        <v>6675</v>
      </c>
      <c r="M129" s="156"/>
      <c r="N129" s="156" t="s">
        <v>6671</v>
      </c>
      <c r="O129" s="47" t="s">
        <v>6639</v>
      </c>
      <c r="P129" s="156" t="s">
        <v>164</v>
      </c>
      <c r="Q129" s="257" t="s">
        <v>220</v>
      </c>
      <c r="R129" s="257" t="s">
        <v>117</v>
      </c>
      <c r="S129" s="202" t="s">
        <v>117</v>
      </c>
      <c r="T129" t="str">
        <f t="shared" si="6"/>
        <v>zhangzhung;255;102;0</v>
      </c>
      <c r="U129" t="str">
        <f t="shared" si="7"/>
        <v>zhangzhung;Indonesian;;;;;;;;;;;;;x</v>
      </c>
      <c r="V129" t="str">
        <f t="shared" si="8"/>
        <v>tibetan_group;S.E.A.;;;;;;;;;;;;;x</v>
      </c>
      <c r="W129">
        <v>127</v>
      </c>
      <c r="X129" t="s">
        <v>117</v>
      </c>
    </row>
    <row r="130" spans="1:24" ht="14.7" thickBot="1" x14ac:dyDescent="0.55000000000000004">
      <c r="A130" s="167" t="s">
        <v>3462</v>
      </c>
      <c r="B130" s="198"/>
      <c r="C130" s="198"/>
      <c r="D130" s="196" t="s">
        <v>193</v>
      </c>
      <c r="E130" s="196" t="s">
        <v>191</v>
      </c>
      <c r="F130" s="196" t="s">
        <v>191</v>
      </c>
      <c r="G130" s="196"/>
      <c r="H130" s="196"/>
      <c r="I130" s="196"/>
      <c r="J130" s="203" t="s">
        <v>7163</v>
      </c>
      <c r="K130" s="195" t="s">
        <v>6770</v>
      </c>
      <c r="L130" s="156" t="s">
        <v>6675</v>
      </c>
      <c r="M130" s="156"/>
      <c r="N130" s="156" t="s">
        <v>6671</v>
      </c>
      <c r="O130" s="47" t="s">
        <v>6638</v>
      </c>
      <c r="P130" s="156"/>
      <c r="Q130" s="257" t="s">
        <v>220</v>
      </c>
      <c r="S130" s="202" t="s">
        <v>117</v>
      </c>
      <c r="T130" t="str">
        <f t="shared" ref="T130:T136" si="9">P130&amp;";"&amp;J130</f>
        <v>;255;102;0</v>
      </c>
      <c r="U130" t="str">
        <f t="shared" si="7"/>
        <v>;Indonesian;;;;;;;;;;;;;x</v>
      </c>
      <c r="V130" t="str">
        <f t="shared" si="8"/>
        <v>tibetan_group;S.E.A.;;;;;;;;;;;;;x</v>
      </c>
      <c r="W130">
        <v>128</v>
      </c>
      <c r="X130" t="s">
        <v>117</v>
      </c>
    </row>
    <row r="131" spans="1:24" ht="14.7" thickBot="1" x14ac:dyDescent="0.55000000000000004">
      <c r="A131" s="168" t="s">
        <v>3462</v>
      </c>
      <c r="B131" s="198"/>
      <c r="C131" s="198"/>
      <c r="D131" s="196" t="s">
        <v>193</v>
      </c>
      <c r="E131" s="196" t="s">
        <v>191</v>
      </c>
      <c r="F131" s="196" t="s">
        <v>191</v>
      </c>
      <c r="G131" s="196"/>
      <c r="H131" s="196"/>
      <c r="I131" s="196"/>
      <c r="J131" s="203" t="s">
        <v>7163</v>
      </c>
      <c r="K131" s="195" t="s">
        <v>6770</v>
      </c>
      <c r="L131" s="156" t="s">
        <v>6675</v>
      </c>
      <c r="M131" s="156"/>
      <c r="N131" s="156" t="s">
        <v>6671</v>
      </c>
      <c r="O131" s="47" t="s">
        <v>6581</v>
      </c>
      <c r="P131" s="157"/>
      <c r="Q131" s="257" t="s">
        <v>220</v>
      </c>
      <c r="S131" s="202" t="s">
        <v>117</v>
      </c>
      <c r="T131" t="str">
        <f t="shared" si="9"/>
        <v>;255;102;0</v>
      </c>
      <c r="U131" t="str">
        <f t="shared" si="7"/>
        <v>;Indonesian;;;;;;;;;;;;;x</v>
      </c>
      <c r="V131" t="str">
        <f t="shared" si="8"/>
        <v>tibetan_group;S.E.A.;;;;;;;;;;;;;x</v>
      </c>
      <c r="W131">
        <v>129</v>
      </c>
      <c r="X131" t="s">
        <v>117</v>
      </c>
    </row>
    <row r="132" spans="1:24" ht="14.7" thickBot="1" x14ac:dyDescent="0.55000000000000004">
      <c r="A132" s="263" t="s">
        <v>3462</v>
      </c>
      <c r="B132" s="196"/>
      <c r="C132" s="196"/>
      <c r="D132" s="196" t="s">
        <v>193</v>
      </c>
      <c r="E132" s="196" t="s">
        <v>191</v>
      </c>
      <c r="F132" s="196" t="s">
        <v>191</v>
      </c>
      <c r="G132" s="196"/>
      <c r="H132" s="196"/>
      <c r="I132" s="196"/>
      <c r="J132" s="203" t="s">
        <v>7163</v>
      </c>
      <c r="K132" s="195" t="s">
        <v>6770</v>
      </c>
      <c r="L132" s="156" t="s">
        <v>6675</v>
      </c>
      <c r="M132" s="157"/>
      <c r="N132" s="156" t="s">
        <v>6671</v>
      </c>
      <c r="O132" s="48" t="s">
        <v>6676</v>
      </c>
      <c r="P132" s="37"/>
      <c r="Q132" s="257" t="s">
        <v>220</v>
      </c>
      <c r="S132" s="202" t="s">
        <v>117</v>
      </c>
      <c r="T132" t="str">
        <f t="shared" si="9"/>
        <v>;255;102;0</v>
      </c>
      <c r="U132" t="str">
        <f t="shared" si="7"/>
        <v>;Indonesian;;;;;;;;;;;;;x</v>
      </c>
      <c r="V132" t="str">
        <f t="shared" si="8"/>
        <v>tibetan_group;S.E.A.;;;;;;;;;;;;;x</v>
      </c>
      <c r="W132">
        <v>130</v>
      </c>
      <c r="X132" t="s">
        <v>117</v>
      </c>
    </row>
    <row r="133" spans="1:24" ht="14.7" thickBot="1" x14ac:dyDescent="0.55000000000000004">
      <c r="A133" s="262" t="s">
        <v>3257</v>
      </c>
      <c r="B133" s="198"/>
      <c r="C133" s="198"/>
      <c r="D133" s="196" t="s">
        <v>228</v>
      </c>
      <c r="E133" s="196" t="s">
        <v>191</v>
      </c>
      <c r="F133" s="196" t="s">
        <v>225</v>
      </c>
      <c r="G133" s="196"/>
      <c r="H133" s="196"/>
      <c r="I133" s="196"/>
      <c r="J133" s="203" t="s">
        <v>7164</v>
      </c>
      <c r="K133" s="195" t="s">
        <v>6771</v>
      </c>
      <c r="L133" s="155" t="s">
        <v>6675</v>
      </c>
      <c r="M133" s="155"/>
      <c r="N133" s="155" t="s">
        <v>6671</v>
      </c>
      <c r="O133" s="44" t="s">
        <v>6562</v>
      </c>
      <c r="P133" s="155" t="s">
        <v>227</v>
      </c>
      <c r="Q133" s="257" t="s">
        <v>220</v>
      </c>
      <c r="S133" s="202" t="s">
        <v>117</v>
      </c>
      <c r="T133" t="str">
        <f t="shared" si="9"/>
        <v>sumpa;204;51;26</v>
      </c>
      <c r="U133" t="str">
        <f t="shared" si="7"/>
        <v>sumpa;Filipino;;;;;;;;;;;;;x</v>
      </c>
      <c r="V133" t="str">
        <f t="shared" si="8"/>
        <v>tibetan_group;S.E.A.;;;;;;;;;;;;;x</v>
      </c>
      <c r="W133">
        <v>131</v>
      </c>
      <c r="X133" t="s">
        <v>117</v>
      </c>
    </row>
    <row r="134" spans="1:24" ht="14.7" thickBot="1" x14ac:dyDescent="0.55000000000000004">
      <c r="A134" s="261" t="s">
        <v>4434</v>
      </c>
      <c r="B134" s="198"/>
      <c r="C134" s="198"/>
      <c r="D134" s="196" t="s">
        <v>7042</v>
      </c>
      <c r="E134" s="196" t="s">
        <v>107</v>
      </c>
      <c r="F134" s="196" t="s">
        <v>107</v>
      </c>
      <c r="G134" s="196"/>
      <c r="H134" s="196"/>
      <c r="I134" s="196"/>
      <c r="J134" s="203" t="s">
        <v>7059</v>
      </c>
      <c r="K134" s="195" t="e">
        <v>#N/A</v>
      </c>
      <c r="L134" s="156" t="s">
        <v>6528</v>
      </c>
      <c r="M134" s="156" t="s">
        <v>6511</v>
      </c>
      <c r="N134" s="156" t="s">
        <v>6529</v>
      </c>
      <c r="O134" s="156" t="s">
        <v>6530</v>
      </c>
      <c r="P134" s="156" t="s">
        <v>233</v>
      </c>
      <c r="Q134" s="257" t="s">
        <v>204</v>
      </c>
      <c r="S134" s="272"/>
      <c r="T134" t="str">
        <f t="shared" si="9"/>
        <v>english;204;51;51</v>
      </c>
      <c r="U134" t="str">
        <f t="shared" si="7"/>
        <v>english;Victorian;;;;;;;;;;;;;x</v>
      </c>
      <c r="V134" t="str">
        <f t="shared" si="8"/>
        <v>west_germanic;Australian;;;;;;;;;;;;;x</v>
      </c>
      <c r="W134">
        <v>10</v>
      </c>
      <c r="X134" t="s">
        <v>8451</v>
      </c>
    </row>
    <row r="135" spans="1:24" ht="14.7" thickBot="1" x14ac:dyDescent="0.55000000000000004">
      <c r="A135" s="260" t="s">
        <v>325</v>
      </c>
      <c r="B135" s="198" t="s">
        <v>6781</v>
      </c>
      <c r="C135" s="198" t="s">
        <v>6776</v>
      </c>
      <c r="D135" s="196" t="s">
        <v>197</v>
      </c>
      <c r="E135" s="196" t="s">
        <v>107</v>
      </c>
      <c r="F135" s="196" t="s">
        <v>107</v>
      </c>
      <c r="G135" s="196"/>
      <c r="H135" s="196"/>
      <c r="I135" s="196"/>
      <c r="J135" s="203" t="s">
        <v>7060</v>
      </c>
      <c r="K135" s="195" t="e">
        <v>#N/A</v>
      </c>
      <c r="L135" s="156" t="s">
        <v>6528</v>
      </c>
      <c r="M135" s="156"/>
      <c r="N135" s="156" t="s">
        <v>6531</v>
      </c>
      <c r="O135" s="156" t="s">
        <v>6516</v>
      </c>
      <c r="P135" s="156" t="s">
        <v>139</v>
      </c>
      <c r="Q135" s="257" t="s">
        <v>204</v>
      </c>
      <c r="R135" s="257" t="s">
        <v>117</v>
      </c>
      <c r="S135" s="272"/>
      <c r="T135" t="str">
        <f t="shared" si="9"/>
        <v>saxon;204;77;77</v>
      </c>
      <c r="U135" t="str">
        <f t="shared" si="7"/>
        <v>saxon;Sydneysider;;;;;;;;;;;;;x</v>
      </c>
      <c r="V135" t="str">
        <f t="shared" si="8"/>
        <v>west_germanic;Australian;;;;;;;;;;;;;x</v>
      </c>
      <c r="W135">
        <v>11</v>
      </c>
      <c r="X135" t="s">
        <v>8454</v>
      </c>
    </row>
    <row r="136" spans="1:24" ht="27.7" thickBot="1" x14ac:dyDescent="0.55000000000000004">
      <c r="A136" s="266" t="s">
        <v>520</v>
      </c>
      <c r="B136" s="198" t="s">
        <v>7038</v>
      </c>
      <c r="C136" s="198" t="s">
        <v>6776</v>
      </c>
      <c r="D136" s="196" t="s">
        <v>7041</v>
      </c>
      <c r="E136" s="196" t="s">
        <v>107</v>
      </c>
      <c r="F136" s="196" t="s">
        <v>107</v>
      </c>
      <c r="G136" s="196"/>
      <c r="H136" s="196"/>
      <c r="I136" s="196"/>
      <c r="J136" s="203" t="s">
        <v>7061</v>
      </c>
      <c r="K136" s="195" t="e">
        <v>#N/A</v>
      </c>
      <c r="L136" s="156" t="s">
        <v>6528</v>
      </c>
      <c r="M136" s="157"/>
      <c r="N136" s="156" t="s">
        <v>6531</v>
      </c>
      <c r="O136" s="157" t="s">
        <v>6532</v>
      </c>
      <c r="P136" s="157" t="s">
        <v>137</v>
      </c>
      <c r="Q136" s="257" t="s">
        <v>204</v>
      </c>
      <c r="R136" s="257" t="s">
        <v>117</v>
      </c>
      <c r="S136" s="202" t="s">
        <v>117</v>
      </c>
      <c r="T136" t="str">
        <f t="shared" si="9"/>
        <v>old_saxon;128;26;26</v>
      </c>
      <c r="U136" t="str">
        <f t="shared" si="7"/>
        <v>old_saxon;Novocastrian;;;;;;;;;;;;;x</v>
      </c>
      <c r="V136" t="str">
        <f t="shared" si="8"/>
        <v>west_germanic;Australian;;;;;;;;;;;;;x</v>
      </c>
      <c r="W136">
        <v>12</v>
      </c>
      <c r="X136" t="s">
        <v>8457</v>
      </c>
    </row>
    <row r="137" spans="1:24" ht="28" thickBot="1" x14ac:dyDescent="0.55000000000000004">
      <c r="A137" s="169" t="s">
        <v>6681</v>
      </c>
      <c r="B137" s="196"/>
      <c r="C137" s="196"/>
      <c r="D137" s="196"/>
      <c r="E137" s="196"/>
      <c r="F137" s="196"/>
      <c r="G137" s="196"/>
      <c r="H137" s="196"/>
      <c r="I137" s="196"/>
      <c r="J137" s="203" t="s">
        <v>7126</v>
      </c>
      <c r="K137" s="195" t="e">
        <v>#N/A</v>
      </c>
      <c r="L137" s="155" t="s">
        <v>6681</v>
      </c>
      <c r="M137" s="155" t="s">
        <v>6682</v>
      </c>
      <c r="N137" s="155" t="s">
        <v>6682</v>
      </c>
      <c r="O137" s="155" t="s">
        <v>6749</v>
      </c>
      <c r="P137" s="155" t="s">
        <v>6685</v>
      </c>
      <c r="Q137" s="257" t="e">
        <v>#N/A</v>
      </c>
      <c r="T137" t="str">
        <f t="shared" ref="T137:T169" si="10">P137&amp;";"&amp;J137</f>
        <v>horse;77;26;26</v>
      </c>
      <c r="U137" t="str">
        <f t="shared" ref="U137:U169" si="11">P137&amp;";"&amp;D137&amp;";;;;;;;;;;;;;x"</f>
        <v>horse;;;;;;;;;;;;;;x</v>
      </c>
      <c r="V137" t="e">
        <v>#N/A</v>
      </c>
      <c r="W137">
        <v>136</v>
      </c>
    </row>
    <row r="138" spans="1:24" ht="14.7" thickBot="1" x14ac:dyDescent="0.55000000000000004">
      <c r="A138" s="170" t="s">
        <v>6681</v>
      </c>
      <c r="B138" s="198"/>
      <c r="C138" s="198"/>
      <c r="D138" s="196"/>
      <c r="E138" s="196"/>
      <c r="F138" s="196"/>
      <c r="G138" s="196"/>
      <c r="H138" s="196"/>
      <c r="I138" s="196"/>
      <c r="J138" s="203" t="s">
        <v>7126</v>
      </c>
      <c r="K138" s="195" t="e">
        <v>#N/A</v>
      </c>
      <c r="L138" s="156" t="s">
        <v>6681</v>
      </c>
      <c r="M138" s="156"/>
      <c r="N138" s="156" t="s">
        <v>6682</v>
      </c>
      <c r="O138" s="47" t="s">
        <v>6683</v>
      </c>
      <c r="P138" s="156"/>
      <c r="Q138" s="257" t="e">
        <v>#N/A</v>
      </c>
      <c r="T138" t="str">
        <f t="shared" si="10"/>
        <v>;77;26;26</v>
      </c>
      <c r="U138" t="str">
        <f t="shared" si="11"/>
        <v>;;;;;;;;;;;;;;x</v>
      </c>
      <c r="V138" t="e">
        <v>#N/A</v>
      </c>
      <c r="W138">
        <v>137</v>
      </c>
    </row>
    <row r="139" spans="1:24" ht="14.7" thickBot="1" x14ac:dyDescent="0.55000000000000004">
      <c r="A139" s="171" t="s">
        <v>6681</v>
      </c>
      <c r="B139" s="198"/>
      <c r="C139" s="198"/>
      <c r="D139" s="196"/>
      <c r="E139" s="196"/>
      <c r="F139" s="196"/>
      <c r="G139" s="196"/>
      <c r="H139" s="196"/>
      <c r="I139" s="196"/>
      <c r="J139" s="203" t="s">
        <v>7126</v>
      </c>
      <c r="K139" s="195" t="e">
        <v>#N/A</v>
      </c>
      <c r="L139" s="156" t="s">
        <v>6681</v>
      </c>
      <c r="M139" s="157"/>
      <c r="N139" s="156" t="s">
        <v>6682</v>
      </c>
      <c r="O139" s="48" t="s">
        <v>6684</v>
      </c>
      <c r="P139" s="157"/>
      <c r="Q139" s="257" t="e">
        <v>#N/A</v>
      </c>
      <c r="T139" t="str">
        <f t="shared" si="10"/>
        <v>;77;26;26</v>
      </c>
      <c r="U139" t="str">
        <f t="shared" si="11"/>
        <v>;;;;;;;;;;;;;;x</v>
      </c>
      <c r="V139" t="e">
        <v>#N/A</v>
      </c>
      <c r="W139">
        <v>138</v>
      </c>
    </row>
    <row r="140" spans="1:24" ht="14.7" thickBot="1" x14ac:dyDescent="0.55000000000000004">
      <c r="A140" s="172" t="s">
        <v>6686</v>
      </c>
      <c r="B140" s="198"/>
      <c r="C140" s="198"/>
      <c r="D140" s="196"/>
      <c r="E140" s="196"/>
      <c r="F140" s="196"/>
      <c r="G140" s="196"/>
      <c r="H140" s="196"/>
      <c r="I140" s="196"/>
      <c r="J140" s="203" t="s">
        <v>7166</v>
      </c>
      <c r="K140" s="195" t="e">
        <v>#N/A</v>
      </c>
      <c r="L140" s="155" t="s">
        <v>6686</v>
      </c>
      <c r="M140" s="155" t="s">
        <v>6687</v>
      </c>
      <c r="N140" s="155" t="s">
        <v>6687</v>
      </c>
      <c r="O140" s="40" t="s">
        <v>6688</v>
      </c>
      <c r="P140" s="155" t="s">
        <v>6692</v>
      </c>
      <c r="Q140" s="257" t="e">
        <v>#N/A</v>
      </c>
      <c r="T140" t="str">
        <f t="shared" si="10"/>
        <v>cat;26;77;26</v>
      </c>
      <c r="U140" t="str">
        <f t="shared" si="11"/>
        <v>cat;;;;;;;;;;;;;;x</v>
      </c>
      <c r="V140" t="e">
        <v>#N/A</v>
      </c>
      <c r="W140">
        <v>139</v>
      </c>
    </row>
    <row r="141" spans="1:24" ht="14.7" thickBot="1" x14ac:dyDescent="0.55000000000000004">
      <c r="A141" s="173" t="s">
        <v>6686</v>
      </c>
      <c r="B141" s="198"/>
      <c r="C141" s="198"/>
      <c r="D141" s="196"/>
      <c r="E141" s="196"/>
      <c r="F141" s="196"/>
      <c r="G141" s="196"/>
      <c r="H141" s="196"/>
      <c r="I141" s="196"/>
      <c r="J141" s="203" t="s">
        <v>7166</v>
      </c>
      <c r="K141" s="195" t="e">
        <v>#N/A</v>
      </c>
      <c r="L141" s="156" t="s">
        <v>6686</v>
      </c>
      <c r="M141" s="156"/>
      <c r="N141" s="156" t="s">
        <v>6687</v>
      </c>
      <c r="O141" s="47" t="s">
        <v>6689</v>
      </c>
      <c r="P141" s="156"/>
      <c r="Q141" s="257" t="e">
        <v>#N/A</v>
      </c>
      <c r="T141" t="str">
        <f t="shared" si="10"/>
        <v>;26;77;26</v>
      </c>
      <c r="U141" t="str">
        <f t="shared" si="11"/>
        <v>;;;;;;;;;;;;;;x</v>
      </c>
      <c r="V141" t="e">
        <v>#N/A</v>
      </c>
      <c r="W141">
        <v>140</v>
      </c>
    </row>
    <row r="142" spans="1:24" ht="14.7" thickBot="1" x14ac:dyDescent="0.55000000000000004">
      <c r="A142" s="173" t="s">
        <v>6686</v>
      </c>
      <c r="B142" s="198"/>
      <c r="C142" s="198"/>
      <c r="D142" s="196"/>
      <c r="E142" s="196"/>
      <c r="F142" s="196"/>
      <c r="G142" s="196"/>
      <c r="H142" s="196"/>
      <c r="I142" s="196"/>
      <c r="J142" s="203" t="s">
        <v>7166</v>
      </c>
      <c r="K142" s="195" t="e">
        <v>#N/A</v>
      </c>
      <c r="L142" s="156" t="s">
        <v>6686</v>
      </c>
      <c r="M142" s="156"/>
      <c r="N142" s="156" t="s">
        <v>6687</v>
      </c>
      <c r="O142" s="47" t="s">
        <v>6690</v>
      </c>
      <c r="P142" s="156"/>
      <c r="Q142" s="257" t="e">
        <v>#N/A</v>
      </c>
      <c r="T142" t="str">
        <f t="shared" si="10"/>
        <v>;26;77;26</v>
      </c>
      <c r="U142" t="str">
        <f t="shared" si="11"/>
        <v>;;;;;;;;;;;;;;x</v>
      </c>
      <c r="V142" t="e">
        <v>#N/A</v>
      </c>
      <c r="W142">
        <v>141</v>
      </c>
    </row>
    <row r="143" spans="1:24" ht="14.7" thickBot="1" x14ac:dyDescent="0.55000000000000004">
      <c r="A143" s="174" t="s">
        <v>6686</v>
      </c>
      <c r="B143" s="198"/>
      <c r="C143" s="198"/>
      <c r="D143" s="196"/>
      <c r="E143" s="196"/>
      <c r="F143" s="196"/>
      <c r="G143" s="196"/>
      <c r="H143" s="196"/>
      <c r="I143" s="196"/>
      <c r="J143" s="203" t="s">
        <v>7166</v>
      </c>
      <c r="K143" s="195" t="e">
        <v>#N/A</v>
      </c>
      <c r="L143" s="156" t="s">
        <v>6686</v>
      </c>
      <c r="M143" s="157"/>
      <c r="N143" s="156" t="s">
        <v>6687</v>
      </c>
      <c r="O143" s="48" t="s">
        <v>6691</v>
      </c>
      <c r="P143" s="157"/>
      <c r="Q143" s="257" t="e">
        <v>#N/A</v>
      </c>
      <c r="T143" t="str">
        <f t="shared" si="10"/>
        <v>;26;77;26</v>
      </c>
      <c r="U143" t="str">
        <f t="shared" si="11"/>
        <v>;;;;;;;;;;;;;;x</v>
      </c>
      <c r="V143" t="e">
        <v>#N/A</v>
      </c>
      <c r="W143">
        <v>142</v>
      </c>
    </row>
    <row r="144" spans="1:24" ht="14.7" thickBot="1" x14ac:dyDescent="0.55000000000000004">
      <c r="A144" s="175" t="s">
        <v>6693</v>
      </c>
      <c r="B144" s="198"/>
      <c r="C144" s="198"/>
      <c r="D144" s="196"/>
      <c r="E144" s="196"/>
      <c r="F144" s="196"/>
      <c r="G144" s="196"/>
      <c r="H144" s="196"/>
      <c r="I144" s="196"/>
      <c r="J144" s="203" t="s">
        <v>7167</v>
      </c>
      <c r="K144" s="195" t="e">
        <v>#N/A</v>
      </c>
      <c r="L144" s="155" t="s">
        <v>6693</v>
      </c>
      <c r="M144" s="155" t="s">
        <v>6694</v>
      </c>
      <c r="N144" s="155" t="s">
        <v>6694</v>
      </c>
      <c r="O144" s="44" t="s">
        <v>6695</v>
      </c>
      <c r="P144" s="155" t="s">
        <v>6698</v>
      </c>
      <c r="Q144" s="257" t="e">
        <v>#N/A</v>
      </c>
      <c r="T144" t="str">
        <f t="shared" si="10"/>
        <v>bear;26;26;77</v>
      </c>
      <c r="U144" t="str">
        <f t="shared" si="11"/>
        <v>bear;;;;;;;;;;;;;;x</v>
      </c>
      <c r="V144" t="e">
        <v>#N/A</v>
      </c>
      <c r="W144">
        <v>143</v>
      </c>
    </row>
    <row r="145" spans="1:23" ht="14.7" thickBot="1" x14ac:dyDescent="0.55000000000000004">
      <c r="A145" s="176" t="s">
        <v>6693</v>
      </c>
      <c r="B145" s="198"/>
      <c r="C145" s="198"/>
      <c r="D145" s="196"/>
      <c r="E145" s="196"/>
      <c r="F145" s="196"/>
      <c r="G145" s="196"/>
      <c r="H145" s="196"/>
      <c r="I145" s="196"/>
      <c r="J145" s="203" t="s">
        <v>7167</v>
      </c>
      <c r="K145" s="195" t="e">
        <v>#N/A</v>
      </c>
      <c r="L145" s="156" t="s">
        <v>6693</v>
      </c>
      <c r="M145" s="156"/>
      <c r="N145" s="156" t="s">
        <v>6694</v>
      </c>
      <c r="O145" s="47" t="s">
        <v>6696</v>
      </c>
      <c r="P145" s="156"/>
      <c r="Q145" s="257" t="e">
        <v>#N/A</v>
      </c>
      <c r="T145" t="str">
        <f t="shared" si="10"/>
        <v>;26;26;77</v>
      </c>
      <c r="U145" t="str">
        <f t="shared" si="11"/>
        <v>;;;;;;;;;;;;;;x</v>
      </c>
      <c r="V145" t="e">
        <v>#N/A</v>
      </c>
      <c r="W145">
        <v>144</v>
      </c>
    </row>
    <row r="146" spans="1:23" ht="14.7" thickBot="1" x14ac:dyDescent="0.55000000000000004">
      <c r="A146" s="177" t="s">
        <v>6693</v>
      </c>
      <c r="B146" s="198"/>
      <c r="C146" s="198"/>
      <c r="D146" s="196"/>
      <c r="E146" s="196"/>
      <c r="F146" s="196"/>
      <c r="G146" s="196"/>
      <c r="H146" s="196"/>
      <c r="I146" s="196"/>
      <c r="J146" s="203" t="s">
        <v>7167</v>
      </c>
      <c r="K146" s="195" t="e">
        <v>#N/A</v>
      </c>
      <c r="L146" s="156" t="s">
        <v>6693</v>
      </c>
      <c r="M146" s="157"/>
      <c r="N146" s="156" t="s">
        <v>6694</v>
      </c>
      <c r="O146" s="45" t="s">
        <v>6697</v>
      </c>
      <c r="P146" s="157"/>
      <c r="Q146" s="257" t="e">
        <v>#N/A</v>
      </c>
      <c r="T146" t="str">
        <f t="shared" si="10"/>
        <v>;26;26;77</v>
      </c>
      <c r="U146" t="str">
        <f t="shared" si="11"/>
        <v>;;;;;;;;;;;;;;x</v>
      </c>
      <c r="V146" t="e">
        <v>#N/A</v>
      </c>
      <c r="W146">
        <v>145</v>
      </c>
    </row>
    <row r="147" spans="1:23" ht="14.7" thickBot="1" x14ac:dyDescent="0.55000000000000004">
      <c r="A147" s="178" t="s">
        <v>6699</v>
      </c>
      <c r="B147" s="198"/>
      <c r="C147" s="198"/>
      <c r="D147" s="196"/>
      <c r="E147" s="196"/>
      <c r="F147" s="196"/>
      <c r="G147" s="196"/>
      <c r="H147" s="196"/>
      <c r="I147" s="196"/>
      <c r="J147" s="203" t="s">
        <v>7168</v>
      </c>
      <c r="K147" s="195" t="e">
        <v>#N/A</v>
      </c>
      <c r="L147" s="155" t="s">
        <v>6699</v>
      </c>
      <c r="M147" s="155" t="s">
        <v>6700</v>
      </c>
      <c r="N147" s="155" t="s">
        <v>6700</v>
      </c>
      <c r="O147" s="46" t="s">
        <v>6701</v>
      </c>
      <c r="P147" s="155" t="s">
        <v>6703</v>
      </c>
      <c r="Q147" s="257" t="e">
        <v>#N/A</v>
      </c>
      <c r="T147" t="str">
        <f t="shared" si="10"/>
        <v>hedgehog_culture;51;77;255</v>
      </c>
      <c r="U147" t="str">
        <f t="shared" si="11"/>
        <v>hedgehog_culture;;;;;;;;;;;;;;x</v>
      </c>
      <c r="V147" t="e">
        <v>#N/A</v>
      </c>
      <c r="W147">
        <v>146</v>
      </c>
    </row>
    <row r="148" spans="1:23" ht="14.7" thickBot="1" x14ac:dyDescent="0.55000000000000004">
      <c r="A148" s="179" t="s">
        <v>6699</v>
      </c>
      <c r="B148" s="198"/>
      <c r="C148" s="198"/>
      <c r="D148" s="196"/>
      <c r="E148" s="196"/>
      <c r="F148" s="196"/>
      <c r="G148" s="196"/>
      <c r="H148" s="196"/>
      <c r="I148" s="196"/>
      <c r="J148" s="203" t="s">
        <v>7168</v>
      </c>
      <c r="K148" s="195" t="e">
        <v>#N/A</v>
      </c>
      <c r="L148" s="156" t="s">
        <v>6699</v>
      </c>
      <c r="M148" s="156"/>
      <c r="N148" s="156" t="s">
        <v>6700</v>
      </c>
      <c r="O148" s="47" t="s">
        <v>6689</v>
      </c>
      <c r="P148" s="156"/>
      <c r="Q148" s="257" t="e">
        <v>#N/A</v>
      </c>
      <c r="T148" t="str">
        <f t="shared" si="10"/>
        <v>;51;77;255</v>
      </c>
      <c r="U148" t="str">
        <f t="shared" si="11"/>
        <v>;;;;;;;;;;;;;;x</v>
      </c>
      <c r="V148" t="e">
        <v>#N/A</v>
      </c>
      <c r="W148">
        <v>147</v>
      </c>
    </row>
    <row r="149" spans="1:23" ht="14.7" thickBot="1" x14ac:dyDescent="0.55000000000000004">
      <c r="A149" s="180" t="s">
        <v>6699</v>
      </c>
      <c r="B149" s="198"/>
      <c r="C149" s="198"/>
      <c r="D149" s="196"/>
      <c r="E149" s="196"/>
      <c r="F149" s="196"/>
      <c r="G149" s="196"/>
      <c r="H149" s="196"/>
      <c r="I149" s="196"/>
      <c r="J149" s="203" t="s">
        <v>7168</v>
      </c>
      <c r="K149" s="195" t="e">
        <v>#N/A</v>
      </c>
      <c r="L149" s="156" t="s">
        <v>6699</v>
      </c>
      <c r="M149" s="157"/>
      <c r="N149" s="156" t="s">
        <v>6700</v>
      </c>
      <c r="O149" s="48" t="s">
        <v>6702</v>
      </c>
      <c r="P149" s="157"/>
      <c r="Q149" s="257" t="e">
        <v>#N/A</v>
      </c>
      <c r="T149" t="str">
        <f t="shared" si="10"/>
        <v>;51;77;255</v>
      </c>
      <c r="U149" t="str">
        <f t="shared" si="11"/>
        <v>;;;;;;;;;;;;;;x</v>
      </c>
      <c r="V149" t="e">
        <v>#N/A</v>
      </c>
      <c r="W149">
        <v>148</v>
      </c>
    </row>
    <row r="150" spans="1:23" ht="14.7" thickBot="1" x14ac:dyDescent="0.55000000000000004">
      <c r="A150" s="181" t="s">
        <v>6704</v>
      </c>
      <c r="B150" s="198"/>
      <c r="C150" s="198"/>
      <c r="D150" s="196"/>
      <c r="E150" s="196"/>
      <c r="F150" s="196"/>
      <c r="G150" s="196"/>
      <c r="H150" s="196"/>
      <c r="I150" s="196"/>
      <c r="J150" s="203" t="s">
        <v>7169</v>
      </c>
      <c r="K150" s="195" t="e">
        <v>#N/A</v>
      </c>
      <c r="L150" s="155" t="s">
        <v>6705</v>
      </c>
      <c r="M150" s="155" t="s">
        <v>6706</v>
      </c>
      <c r="N150" s="155" t="s">
        <v>6706</v>
      </c>
      <c r="O150" s="46" t="s">
        <v>6701</v>
      </c>
      <c r="P150" s="155" t="s">
        <v>6708</v>
      </c>
      <c r="Q150" s="257" t="e">
        <v>#N/A</v>
      </c>
      <c r="T150" t="str">
        <f t="shared" si="10"/>
        <v>duck_culture;255;255;255</v>
      </c>
      <c r="U150" t="str">
        <f t="shared" si="11"/>
        <v>duck_culture;;;;;;;;;;;;;;x</v>
      </c>
      <c r="V150" t="e">
        <v>#N/A</v>
      </c>
      <c r="W150">
        <v>149</v>
      </c>
    </row>
    <row r="151" spans="1:23" ht="14.7" thickBot="1" x14ac:dyDescent="0.55000000000000004">
      <c r="A151" s="182" t="s">
        <v>6704</v>
      </c>
      <c r="B151" s="198"/>
      <c r="C151" s="198"/>
      <c r="D151" s="196"/>
      <c r="E151" s="196"/>
      <c r="F151" s="196"/>
      <c r="G151" s="196"/>
      <c r="H151" s="196"/>
      <c r="I151" s="196"/>
      <c r="J151" s="203" t="s">
        <v>7169</v>
      </c>
      <c r="K151" s="195" t="e">
        <v>#N/A</v>
      </c>
      <c r="L151" s="156" t="s">
        <v>6705</v>
      </c>
      <c r="M151" s="156"/>
      <c r="N151" s="156" t="s">
        <v>6706</v>
      </c>
      <c r="O151" s="47" t="s">
        <v>6689</v>
      </c>
      <c r="P151" s="156"/>
      <c r="Q151" s="257" t="e">
        <v>#N/A</v>
      </c>
      <c r="T151" t="str">
        <f t="shared" si="10"/>
        <v>;255;255;255</v>
      </c>
      <c r="U151" t="str">
        <f t="shared" si="11"/>
        <v>;;;;;;;;;;;;;;x</v>
      </c>
      <c r="V151" t="e">
        <v>#N/A</v>
      </c>
      <c r="W151">
        <v>150</v>
      </c>
    </row>
    <row r="152" spans="1:23" ht="14.7" thickBot="1" x14ac:dyDescent="0.55000000000000004">
      <c r="A152" s="183" t="s">
        <v>6704</v>
      </c>
      <c r="B152" s="198"/>
      <c r="C152" s="198"/>
      <c r="D152" s="196"/>
      <c r="E152" s="196"/>
      <c r="F152" s="196"/>
      <c r="G152" s="196"/>
      <c r="H152" s="196"/>
      <c r="I152" s="196"/>
      <c r="J152" s="203" t="s">
        <v>7169</v>
      </c>
      <c r="K152" s="195" t="e">
        <v>#N/A</v>
      </c>
      <c r="L152" s="156" t="s">
        <v>6705</v>
      </c>
      <c r="M152" s="157"/>
      <c r="N152" s="156" t="s">
        <v>6706</v>
      </c>
      <c r="O152" s="48" t="s">
        <v>6707</v>
      </c>
      <c r="P152" s="157"/>
      <c r="Q152" s="257" t="e">
        <v>#N/A</v>
      </c>
      <c r="T152" t="str">
        <f t="shared" si="10"/>
        <v>;255;255;255</v>
      </c>
      <c r="U152" t="str">
        <f t="shared" si="11"/>
        <v>;;;;;;;;;;;;;;x</v>
      </c>
      <c r="V152" t="e">
        <v>#N/A</v>
      </c>
      <c r="W152">
        <v>151</v>
      </c>
    </row>
    <row r="153" spans="1:23" ht="14.7" thickBot="1" x14ac:dyDescent="0.55000000000000004">
      <c r="A153" s="184" t="s">
        <v>6709</v>
      </c>
      <c r="B153" s="198"/>
      <c r="C153" s="198"/>
      <c r="D153" s="196"/>
      <c r="E153" s="196"/>
      <c r="F153" s="196"/>
      <c r="G153" s="196"/>
      <c r="H153" s="196"/>
      <c r="I153" s="196"/>
      <c r="J153" s="203" t="s">
        <v>7170</v>
      </c>
      <c r="K153" s="195" t="e">
        <v>#N/A</v>
      </c>
      <c r="L153" s="155" t="s">
        <v>6710</v>
      </c>
      <c r="M153" s="155" t="s">
        <v>6711</v>
      </c>
      <c r="N153" s="155" t="s">
        <v>6711</v>
      </c>
      <c r="O153" s="46" t="s">
        <v>6689</v>
      </c>
      <c r="P153" s="155" t="s">
        <v>6713</v>
      </c>
      <c r="Q153" s="257" t="e">
        <v>#N/A</v>
      </c>
      <c r="T153" t="str">
        <f t="shared" si="10"/>
        <v>dog_culture;102;77;0</v>
      </c>
      <c r="U153" t="str">
        <f t="shared" si="11"/>
        <v>dog_culture;;;;;;;;;;;;;;x</v>
      </c>
      <c r="V153" t="e">
        <v>#N/A</v>
      </c>
      <c r="W153">
        <v>152</v>
      </c>
    </row>
    <row r="154" spans="1:23" ht="14.7" thickBot="1" x14ac:dyDescent="0.55000000000000004">
      <c r="A154" s="185" t="s">
        <v>6709</v>
      </c>
      <c r="B154" s="198"/>
      <c r="C154" s="198"/>
      <c r="D154" s="196"/>
      <c r="E154" s="196"/>
      <c r="F154" s="196"/>
      <c r="G154" s="196"/>
      <c r="H154" s="196"/>
      <c r="I154" s="196"/>
      <c r="J154" s="203" t="s">
        <v>7170</v>
      </c>
      <c r="K154" s="195" t="e">
        <v>#N/A</v>
      </c>
      <c r="L154" s="156" t="s">
        <v>6710</v>
      </c>
      <c r="M154" s="157"/>
      <c r="N154" s="156" t="s">
        <v>6711</v>
      </c>
      <c r="O154" s="48" t="s">
        <v>6712</v>
      </c>
      <c r="P154" s="157"/>
      <c r="Q154" s="257" t="e">
        <v>#N/A</v>
      </c>
      <c r="T154" t="str">
        <f t="shared" si="10"/>
        <v>;102;77;0</v>
      </c>
      <c r="U154" t="str">
        <f t="shared" si="11"/>
        <v>;;;;;;;;;;;;;;x</v>
      </c>
      <c r="V154" t="e">
        <v>#N/A</v>
      </c>
      <c r="W154">
        <v>153</v>
      </c>
    </row>
    <row r="155" spans="1:23" ht="14.7" thickBot="1" x14ac:dyDescent="0.55000000000000004">
      <c r="A155" s="186" t="s">
        <v>6714</v>
      </c>
      <c r="B155" s="198"/>
      <c r="C155" s="198"/>
      <c r="D155" s="196"/>
      <c r="E155" s="196"/>
      <c r="F155" s="196"/>
      <c r="G155" s="196"/>
      <c r="H155" s="196"/>
      <c r="I155" s="196"/>
      <c r="J155" s="203" t="s">
        <v>7171</v>
      </c>
      <c r="K155" s="195" t="e">
        <v>#N/A</v>
      </c>
      <c r="L155" s="155" t="s">
        <v>6715</v>
      </c>
      <c r="M155" s="155" t="s">
        <v>6716</v>
      </c>
      <c r="N155" s="155" t="s">
        <v>6716</v>
      </c>
      <c r="O155" s="46" t="s">
        <v>6717</v>
      </c>
      <c r="P155" s="155" t="s">
        <v>6722</v>
      </c>
      <c r="Q155" s="257" t="e">
        <v>#N/A</v>
      </c>
      <c r="T155" t="str">
        <f t="shared" si="10"/>
        <v>elephant_culture;204;204;204</v>
      </c>
      <c r="U155" t="str">
        <f t="shared" si="11"/>
        <v>elephant_culture;;;;;;;;;;;;;;x</v>
      </c>
      <c r="V155" t="e">
        <v>#N/A</v>
      </c>
      <c r="W155">
        <v>154</v>
      </c>
    </row>
    <row r="156" spans="1:23" ht="14.7" thickBot="1" x14ac:dyDescent="0.55000000000000004">
      <c r="A156" s="187" t="s">
        <v>6714</v>
      </c>
      <c r="B156" s="198"/>
      <c r="C156" s="198"/>
      <c r="D156" s="196"/>
      <c r="E156" s="196"/>
      <c r="F156" s="196"/>
      <c r="G156" s="196"/>
      <c r="H156" s="196"/>
      <c r="I156" s="196"/>
      <c r="J156" s="203" t="s">
        <v>7171</v>
      </c>
      <c r="K156" s="195" t="e">
        <v>#N/A</v>
      </c>
      <c r="L156" s="156" t="s">
        <v>6715</v>
      </c>
      <c r="M156" s="156"/>
      <c r="N156" s="156" t="s">
        <v>6716</v>
      </c>
      <c r="O156" s="47" t="s">
        <v>6718</v>
      </c>
      <c r="P156" s="156"/>
      <c r="Q156" s="257" t="e">
        <v>#N/A</v>
      </c>
      <c r="T156" t="str">
        <f t="shared" si="10"/>
        <v>;204;204;204</v>
      </c>
      <c r="U156" t="str">
        <f t="shared" si="11"/>
        <v>;;;;;;;;;;;;;;x</v>
      </c>
      <c r="V156" t="e">
        <v>#N/A</v>
      </c>
      <c r="W156">
        <v>155</v>
      </c>
    </row>
    <row r="157" spans="1:23" ht="14.7" thickBot="1" x14ac:dyDescent="0.55000000000000004">
      <c r="A157" s="187" t="s">
        <v>6714</v>
      </c>
      <c r="B157" s="198"/>
      <c r="C157" s="198"/>
      <c r="D157" s="196"/>
      <c r="E157" s="196"/>
      <c r="F157" s="196"/>
      <c r="G157" s="196"/>
      <c r="H157" s="196"/>
      <c r="I157" s="196"/>
      <c r="J157" s="203" t="s">
        <v>7171</v>
      </c>
      <c r="K157" s="195" t="e">
        <v>#N/A</v>
      </c>
      <c r="L157" s="156" t="s">
        <v>6715</v>
      </c>
      <c r="M157" s="156"/>
      <c r="N157" s="156" t="s">
        <v>6716</v>
      </c>
      <c r="O157" s="47" t="s">
        <v>6719</v>
      </c>
      <c r="P157" s="156"/>
      <c r="Q157" s="257" t="e">
        <v>#N/A</v>
      </c>
      <c r="T157" t="str">
        <f t="shared" si="10"/>
        <v>;204;204;204</v>
      </c>
      <c r="U157" t="str">
        <f t="shared" si="11"/>
        <v>;;;;;;;;;;;;;;x</v>
      </c>
      <c r="V157" t="e">
        <v>#N/A</v>
      </c>
      <c r="W157">
        <v>156</v>
      </c>
    </row>
    <row r="158" spans="1:23" ht="14.7" thickBot="1" x14ac:dyDescent="0.55000000000000004">
      <c r="A158" s="187" t="s">
        <v>6714</v>
      </c>
      <c r="B158" s="198"/>
      <c r="C158" s="198"/>
      <c r="D158" s="196"/>
      <c r="E158" s="196"/>
      <c r="F158" s="196"/>
      <c r="G158" s="196"/>
      <c r="H158" s="196"/>
      <c r="I158" s="196"/>
      <c r="J158" s="203" t="s">
        <v>7171</v>
      </c>
      <c r="K158" s="195" t="e">
        <v>#N/A</v>
      </c>
      <c r="L158" s="156" t="s">
        <v>6715</v>
      </c>
      <c r="M158" s="156"/>
      <c r="N158" s="156" t="s">
        <v>6716</v>
      </c>
      <c r="O158" s="47" t="s">
        <v>6720</v>
      </c>
      <c r="P158" s="156"/>
      <c r="Q158" s="257" t="e">
        <v>#N/A</v>
      </c>
      <c r="T158" t="str">
        <f t="shared" si="10"/>
        <v>;204;204;204</v>
      </c>
      <c r="U158" t="str">
        <f t="shared" si="11"/>
        <v>;;;;;;;;;;;;;;x</v>
      </c>
      <c r="V158" t="e">
        <v>#N/A</v>
      </c>
      <c r="W158">
        <v>157</v>
      </c>
    </row>
    <row r="159" spans="1:23" ht="14.7" thickBot="1" x14ac:dyDescent="0.55000000000000004">
      <c r="A159" s="188" t="s">
        <v>6714</v>
      </c>
      <c r="B159" s="198"/>
      <c r="C159" s="198"/>
      <c r="D159" s="196"/>
      <c r="E159" s="196"/>
      <c r="F159" s="196"/>
      <c r="G159" s="196"/>
      <c r="H159" s="196"/>
      <c r="I159" s="196"/>
      <c r="J159" s="203" t="s">
        <v>7171</v>
      </c>
      <c r="K159" s="195" t="e">
        <v>#N/A</v>
      </c>
      <c r="L159" s="156" t="s">
        <v>6715</v>
      </c>
      <c r="M159" s="157"/>
      <c r="N159" s="156" t="s">
        <v>6716</v>
      </c>
      <c r="O159" s="48" t="s">
        <v>6721</v>
      </c>
      <c r="P159" s="157"/>
      <c r="Q159" s="257" t="e">
        <v>#N/A</v>
      </c>
      <c r="T159" t="str">
        <f t="shared" si="10"/>
        <v>;204;204;204</v>
      </c>
      <c r="U159" t="str">
        <f t="shared" si="11"/>
        <v>;;;;;;;;;;;;;;x</v>
      </c>
      <c r="V159" t="e">
        <v>#N/A</v>
      </c>
      <c r="W159">
        <v>158</v>
      </c>
    </row>
    <row r="160" spans="1:23" ht="14.7" thickBot="1" x14ac:dyDescent="0.55000000000000004">
      <c r="A160" s="189" t="s">
        <v>6723</v>
      </c>
      <c r="B160" s="198"/>
      <c r="C160" s="198"/>
      <c r="D160" s="196"/>
      <c r="E160" s="196"/>
      <c r="F160" s="196"/>
      <c r="G160" s="196"/>
      <c r="H160" s="196"/>
      <c r="I160" s="196"/>
      <c r="J160" s="203" t="s">
        <v>7154</v>
      </c>
      <c r="K160" s="195" t="e">
        <v>#N/A</v>
      </c>
      <c r="L160" s="155" t="s">
        <v>6724</v>
      </c>
      <c r="M160" s="155" t="s">
        <v>6725</v>
      </c>
      <c r="N160" s="155" t="s">
        <v>6725</v>
      </c>
      <c r="O160" s="46" t="s">
        <v>6638</v>
      </c>
      <c r="P160" s="155" t="s">
        <v>6733</v>
      </c>
      <c r="Q160" s="257" t="e">
        <v>#N/A</v>
      </c>
      <c r="T160" t="str">
        <f t="shared" si="10"/>
        <v>dragon_culture;153;0;0</v>
      </c>
      <c r="U160" t="str">
        <f t="shared" si="11"/>
        <v>dragon_culture;;;;;;;;;;;;;;x</v>
      </c>
      <c r="V160" t="e">
        <v>#N/A</v>
      </c>
      <c r="W160">
        <v>159</v>
      </c>
    </row>
    <row r="161" spans="1:23" ht="14.7" thickBot="1" x14ac:dyDescent="0.55000000000000004">
      <c r="A161" s="190" t="s">
        <v>6723</v>
      </c>
      <c r="B161" s="198"/>
      <c r="C161" s="198"/>
      <c r="D161" s="196"/>
      <c r="E161" s="196"/>
      <c r="F161" s="196"/>
      <c r="G161" s="196"/>
      <c r="H161" s="196"/>
      <c r="I161" s="196"/>
      <c r="J161" s="203" t="s">
        <v>7154</v>
      </c>
      <c r="K161" s="195" t="e">
        <v>#N/A</v>
      </c>
      <c r="L161" s="156" t="s">
        <v>6724</v>
      </c>
      <c r="M161" s="156"/>
      <c r="N161" s="156" t="s">
        <v>6725</v>
      </c>
      <c r="O161" s="47" t="s">
        <v>6726</v>
      </c>
      <c r="P161" s="156"/>
      <c r="Q161" s="257" t="e">
        <v>#N/A</v>
      </c>
      <c r="T161" t="str">
        <f t="shared" si="10"/>
        <v>;153;0;0</v>
      </c>
      <c r="U161" t="str">
        <f t="shared" si="11"/>
        <v>;;;;;;;;;;;;;;x</v>
      </c>
      <c r="V161" t="e">
        <v>#N/A</v>
      </c>
      <c r="W161">
        <v>160</v>
      </c>
    </row>
    <row r="162" spans="1:23" ht="14.7" thickBot="1" x14ac:dyDescent="0.55000000000000004">
      <c r="A162" s="190" t="s">
        <v>6723</v>
      </c>
      <c r="B162" s="198"/>
      <c r="C162" s="198"/>
      <c r="D162" s="196"/>
      <c r="E162" s="196"/>
      <c r="F162" s="196"/>
      <c r="G162" s="196"/>
      <c r="H162" s="196"/>
      <c r="I162" s="196"/>
      <c r="J162" s="203" t="s">
        <v>7154</v>
      </c>
      <c r="K162" s="195" t="e">
        <v>#N/A</v>
      </c>
      <c r="L162" s="156" t="s">
        <v>6724</v>
      </c>
      <c r="M162" s="156"/>
      <c r="N162" s="156" t="s">
        <v>6725</v>
      </c>
      <c r="O162" s="47" t="s">
        <v>6727</v>
      </c>
      <c r="P162" s="156"/>
      <c r="Q162" s="257" t="e">
        <v>#N/A</v>
      </c>
      <c r="T162" t="str">
        <f t="shared" si="10"/>
        <v>;153;0;0</v>
      </c>
      <c r="U162" t="str">
        <f t="shared" si="11"/>
        <v>;;;;;;;;;;;;;;x</v>
      </c>
      <c r="V162" t="e">
        <v>#N/A</v>
      </c>
      <c r="W162">
        <v>161</v>
      </c>
    </row>
    <row r="163" spans="1:23" ht="14.7" thickBot="1" x14ac:dyDescent="0.55000000000000004">
      <c r="A163" s="190" t="s">
        <v>6723</v>
      </c>
      <c r="B163" s="198"/>
      <c r="C163" s="198"/>
      <c r="D163" s="196"/>
      <c r="E163" s="196"/>
      <c r="F163" s="196"/>
      <c r="G163" s="196"/>
      <c r="H163" s="196"/>
      <c r="I163" s="196"/>
      <c r="J163" s="203" t="s">
        <v>7154</v>
      </c>
      <c r="K163" s="195" t="e">
        <v>#N/A</v>
      </c>
      <c r="L163" s="156" t="s">
        <v>6724</v>
      </c>
      <c r="M163" s="156"/>
      <c r="N163" s="156" t="s">
        <v>6725</v>
      </c>
      <c r="O163" s="47" t="s">
        <v>6728</v>
      </c>
      <c r="P163" s="156"/>
      <c r="Q163" s="257" t="e">
        <v>#N/A</v>
      </c>
      <c r="T163" t="str">
        <f t="shared" si="10"/>
        <v>;153;0;0</v>
      </c>
      <c r="U163" t="str">
        <f t="shared" si="11"/>
        <v>;;;;;;;;;;;;;;x</v>
      </c>
      <c r="V163" t="e">
        <v>#N/A</v>
      </c>
      <c r="W163">
        <v>162</v>
      </c>
    </row>
    <row r="164" spans="1:23" ht="14.7" thickBot="1" x14ac:dyDescent="0.55000000000000004">
      <c r="A164" s="190" t="s">
        <v>6723</v>
      </c>
      <c r="B164" s="198"/>
      <c r="C164" s="198"/>
      <c r="D164" s="196"/>
      <c r="E164" s="196"/>
      <c r="F164" s="196"/>
      <c r="G164" s="196"/>
      <c r="H164" s="196"/>
      <c r="I164" s="196"/>
      <c r="J164" s="203" t="s">
        <v>7154</v>
      </c>
      <c r="K164" s="195" t="e">
        <v>#N/A</v>
      </c>
      <c r="L164" s="156" t="s">
        <v>6724</v>
      </c>
      <c r="M164" s="156"/>
      <c r="N164" s="156" t="s">
        <v>6725</v>
      </c>
      <c r="O164" s="47" t="s">
        <v>6729</v>
      </c>
      <c r="P164" s="156"/>
      <c r="Q164" s="257" t="e">
        <v>#N/A</v>
      </c>
      <c r="T164" t="str">
        <f t="shared" si="10"/>
        <v>;153;0;0</v>
      </c>
      <c r="U164" t="str">
        <f t="shared" si="11"/>
        <v>;;;;;;;;;;;;;;x</v>
      </c>
      <c r="V164" t="e">
        <v>#N/A</v>
      </c>
      <c r="W164">
        <v>163</v>
      </c>
    </row>
    <row r="165" spans="1:23" ht="14.7" thickBot="1" x14ac:dyDescent="0.55000000000000004">
      <c r="A165" s="190" t="s">
        <v>6723</v>
      </c>
      <c r="B165" s="198"/>
      <c r="C165" s="198"/>
      <c r="D165" s="196"/>
      <c r="E165" s="196"/>
      <c r="F165" s="196"/>
      <c r="G165" s="196"/>
      <c r="H165" s="196"/>
      <c r="I165" s="196"/>
      <c r="J165" s="203" t="s">
        <v>7154</v>
      </c>
      <c r="K165" s="195" t="e">
        <v>#N/A</v>
      </c>
      <c r="L165" s="156" t="s">
        <v>6724</v>
      </c>
      <c r="M165" s="156"/>
      <c r="N165" s="156" t="s">
        <v>6725</v>
      </c>
      <c r="O165" s="47" t="s">
        <v>6730</v>
      </c>
      <c r="P165" s="156"/>
      <c r="Q165" s="257" t="e">
        <v>#N/A</v>
      </c>
      <c r="T165" t="str">
        <f t="shared" si="10"/>
        <v>;153;0;0</v>
      </c>
      <c r="U165" t="str">
        <f t="shared" si="11"/>
        <v>;;;;;;;;;;;;;;x</v>
      </c>
      <c r="V165" t="e">
        <v>#N/A</v>
      </c>
      <c r="W165">
        <v>164</v>
      </c>
    </row>
    <row r="166" spans="1:23" ht="14.7" thickBot="1" x14ac:dyDescent="0.55000000000000004">
      <c r="A166" s="190" t="s">
        <v>6723</v>
      </c>
      <c r="B166" s="198"/>
      <c r="C166" s="198"/>
      <c r="D166" s="196"/>
      <c r="E166" s="196"/>
      <c r="F166" s="196"/>
      <c r="G166" s="196"/>
      <c r="H166" s="196"/>
      <c r="I166" s="196"/>
      <c r="J166" s="203" t="s">
        <v>7154</v>
      </c>
      <c r="K166" s="195" t="e">
        <v>#N/A</v>
      </c>
      <c r="L166" s="156" t="s">
        <v>6724</v>
      </c>
      <c r="M166" s="156"/>
      <c r="N166" s="156" t="s">
        <v>6725</v>
      </c>
      <c r="O166" s="38" t="s">
        <v>6731</v>
      </c>
      <c r="P166" s="156"/>
      <c r="Q166" s="257" t="e">
        <v>#N/A</v>
      </c>
      <c r="T166" t="str">
        <f t="shared" si="10"/>
        <v>;153;0;0</v>
      </c>
      <c r="U166" t="str">
        <f t="shared" si="11"/>
        <v>;;;;;;;;;;;;;;x</v>
      </c>
      <c r="V166" t="e">
        <v>#N/A</v>
      </c>
      <c r="W166">
        <v>165</v>
      </c>
    </row>
    <row r="167" spans="1:23" ht="14.7" thickBot="1" x14ac:dyDescent="0.55000000000000004">
      <c r="A167" s="191" t="s">
        <v>6723</v>
      </c>
      <c r="B167" s="198"/>
      <c r="C167" s="198"/>
      <c r="D167" s="196"/>
      <c r="E167" s="196"/>
      <c r="F167" s="196"/>
      <c r="G167" s="196"/>
      <c r="H167" s="196"/>
      <c r="I167" s="196"/>
      <c r="J167" s="203" t="s">
        <v>7154</v>
      </c>
      <c r="K167" s="195" t="e">
        <v>#N/A</v>
      </c>
      <c r="L167" s="156" t="s">
        <v>6724</v>
      </c>
      <c r="M167" s="157"/>
      <c r="N167" s="156" t="s">
        <v>6725</v>
      </c>
      <c r="O167" s="48" t="s">
        <v>6732</v>
      </c>
      <c r="P167" s="157"/>
      <c r="Q167" s="257" t="e">
        <v>#N/A</v>
      </c>
      <c r="T167" t="str">
        <f t="shared" si="10"/>
        <v>;153;0;0</v>
      </c>
      <c r="U167" t="str">
        <f t="shared" si="11"/>
        <v>;;;;;;;;;;;;;;x</v>
      </c>
      <c r="V167" t="e">
        <v>#N/A</v>
      </c>
      <c r="W167">
        <v>166</v>
      </c>
    </row>
    <row r="168" spans="1:23" ht="14.7" thickBot="1" x14ac:dyDescent="0.55000000000000004">
      <c r="A168" s="192" t="s">
        <v>6734</v>
      </c>
      <c r="B168" s="198"/>
      <c r="C168" s="198"/>
      <c r="D168" s="196"/>
      <c r="E168" s="196"/>
      <c r="F168" s="196"/>
      <c r="G168" s="196"/>
      <c r="H168" s="196"/>
      <c r="I168" s="196"/>
      <c r="J168" s="203" t="s">
        <v>7172</v>
      </c>
      <c r="K168" s="195" t="e">
        <v>#N/A</v>
      </c>
      <c r="L168" s="155" t="s">
        <v>6735</v>
      </c>
      <c r="M168" s="155" t="s">
        <v>6736</v>
      </c>
      <c r="N168" s="155" t="s">
        <v>6736</v>
      </c>
      <c r="O168" s="46" t="s">
        <v>6737</v>
      </c>
      <c r="P168" s="155" t="s">
        <v>6740</v>
      </c>
      <c r="Q168" s="257" t="e">
        <v>#N/A</v>
      </c>
      <c r="T168" t="str">
        <f t="shared" si="10"/>
        <v>red_panda;3;77;0</v>
      </c>
      <c r="U168" t="str">
        <f t="shared" si="11"/>
        <v>red_panda;;;;;;;;;;;;;;x</v>
      </c>
      <c r="V168" t="e">
        <v>#N/A</v>
      </c>
      <c r="W168">
        <v>167</v>
      </c>
    </row>
    <row r="169" spans="1:23" ht="14.7" thickBot="1" x14ac:dyDescent="0.55000000000000004">
      <c r="A169" s="193" t="s">
        <v>6734</v>
      </c>
      <c r="B169" s="198"/>
      <c r="C169" s="198"/>
      <c r="D169" s="196"/>
      <c r="E169" s="196"/>
      <c r="F169" s="196"/>
      <c r="G169" s="196"/>
      <c r="H169" s="196"/>
      <c r="I169" s="196"/>
      <c r="J169" s="203" t="s">
        <v>7172</v>
      </c>
      <c r="K169" s="195" t="e">
        <v>#N/A</v>
      </c>
      <c r="L169" s="156" t="s">
        <v>6735</v>
      </c>
      <c r="M169" s="156"/>
      <c r="N169" s="156" t="s">
        <v>6736</v>
      </c>
      <c r="O169" s="47" t="s">
        <v>6738</v>
      </c>
      <c r="P169" s="156"/>
      <c r="Q169" s="257" t="e">
        <v>#N/A</v>
      </c>
      <c r="T169" t="str">
        <f t="shared" si="10"/>
        <v>;3;77;0</v>
      </c>
      <c r="U169" t="str">
        <f t="shared" si="11"/>
        <v>;;;;;;;;;;;;;;x</v>
      </c>
      <c r="V169" t="e">
        <v>#N/A</v>
      </c>
      <c r="W169">
        <v>168</v>
      </c>
    </row>
    <row r="170" spans="1:23" ht="14.7" thickBot="1" x14ac:dyDescent="0.55000000000000004">
      <c r="A170" s="194" t="s">
        <v>6734</v>
      </c>
      <c r="B170" s="198"/>
      <c r="C170" s="198"/>
      <c r="D170" s="196"/>
      <c r="E170" s="196"/>
      <c r="F170" s="196"/>
      <c r="G170" s="196"/>
      <c r="H170" s="196"/>
      <c r="I170" s="196"/>
      <c r="J170" s="203" t="s">
        <v>7172</v>
      </c>
      <c r="K170" s="195" t="e">
        <v>#N/A</v>
      </c>
      <c r="L170" s="156" t="s">
        <v>6735</v>
      </c>
      <c r="M170" s="157"/>
      <c r="N170" s="156" t="s">
        <v>6736</v>
      </c>
      <c r="O170" s="48" t="s">
        <v>6739</v>
      </c>
      <c r="P170" s="157"/>
      <c r="Q170" s="257" t="e">
        <v>#N/A</v>
      </c>
      <c r="W170">
        <v>169</v>
      </c>
    </row>
    <row r="171" spans="1:23" x14ac:dyDescent="0.5">
      <c r="Q171" s="257" t="e">
        <v>#N/A</v>
      </c>
      <c r="W171">
        <v>170</v>
      </c>
    </row>
  </sheetData>
  <autoFilter ref="A1:X171" xr:uid="{6EFCD0ED-F17D-486D-8DF9-BB671BEF56DF}"/>
  <hyperlinks>
    <hyperlink ref="O123" r:id="rId1" location="runestone" tooltip="Decisions" display="https://ck2.paradoxwikis.com/Decisions - runestone" xr:uid="{BD8BF8F6-27FB-4E32-A9F7-91EDE4E62A59}"/>
    <hyperlink ref="O100" r:id="rId2" tooltip="Absolute cognatic" display="https://ck2.paradoxwikis.com/Absolute_cognatic" xr:uid="{F5FF7B2B-1478-44D9-95AA-52A15EBB21B5}"/>
    <hyperlink ref="O25" r:id="rId3" tooltip="Tanistry" display="https://ck2.paradoxwikis.com/Tanistry" xr:uid="{49A5C877-1ECE-4230-B28E-7D8202E248B9}"/>
    <hyperlink ref="O56" r:id="rId4" tooltip="Horse Lords" display="https://ck2.paradoxwikis.com/Horse_Lords" xr:uid="{82F8FB59-D6A0-490F-B583-434AE714E14A}"/>
    <hyperlink ref="O86" r:id="rId5" tooltip="Tribal Invasion" display="https://ck2.paradoxwikis.com/Tribal_Invasion" xr:uid="{16F93067-51C4-46C7-AD5D-85D84414E73C}"/>
    <hyperlink ref="O133" r:id="rId6" tooltip="Absolute cognatic" display="https://ck2.paradoxwikis.com/Absolute_cognatic" xr:uid="{3E92B637-0A44-4136-9075-6D7042C6D5B5}"/>
    <hyperlink ref="O140" r:id="rId7" location="Absurd_Events" tooltip="Game rules" display="https://ck2.paradoxwikis.com/Game_rules - Absurd_Events" xr:uid="{2644D3F8-6AA2-42D4-8B6E-3AC607AB1514}"/>
    <hyperlink ref="O144" r:id="rId8" location="Actions_that_kill_prisoners" tooltip="Imprisonment" display="https://ck2.paradoxwikis.com/Imprisonment - Actions_that_kill_prisoners" xr:uid="{491CAA80-C1BA-4DFE-801F-331378637339}"/>
    <hyperlink ref="O146" r:id="rId9" tooltip="Duel" display="https://ck2.paradoxwikis.com/Duel" xr:uid="{CF084569-AC50-4935-B49E-04B220D8746D}"/>
    <hyperlink ref="O166" r:id="rId10" location="Actions_that_kill_prisoners" tooltip="Imprisonment" display="https://ck2.paradoxwikis.com/Imprisonment - Actions_that_kill_prisoners" xr:uid="{31F49DB5-5E21-42C5-8670-3FE4F74664A7}"/>
  </hyperlinks>
  <pageMargins left="0.7" right="0.7" top="0.75" bottom="0.75" header="0.3" footer="0.3"/>
  <pageSetup orientation="portrait" horizontalDpi="0" verticalDpi="0" r:id="rId11"/>
  <drawing r:id="rId1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057C98-1663-4DD9-B97C-B855AE1354CC}">
  <dimension ref="A1:N181"/>
  <sheetViews>
    <sheetView topLeftCell="A110" workbookViewId="0">
      <selection activeCell="B1" sqref="B1:B113"/>
    </sheetView>
  </sheetViews>
  <sheetFormatPr defaultRowHeight="14.35" x14ac:dyDescent="0.5"/>
  <sheetData>
    <row r="1" spans="1:14" ht="34.85" customHeight="1" x14ac:dyDescent="0.5">
      <c r="A1" s="281" t="s">
        <v>7861</v>
      </c>
      <c r="B1" t="str">
        <f t="shared" ref="B1:B32" si="0">PROPER(A1)</f>
        <v>Crash</v>
      </c>
    </row>
    <row r="2" spans="1:14" ht="34.85" customHeight="1" x14ac:dyDescent="0.5">
      <c r="A2" s="281" t="s">
        <v>7862</v>
      </c>
      <c r="B2" t="str">
        <f t="shared" si="0"/>
        <v>Fysh</v>
      </c>
    </row>
    <row r="3" spans="1:14" ht="148.85" customHeight="1" thickBot="1" x14ac:dyDescent="0.55000000000000004">
      <c r="A3" s="281" t="s">
        <v>7863</v>
      </c>
      <c r="B3" t="str">
        <f t="shared" si="0"/>
        <v>Heller</v>
      </c>
    </row>
    <row r="4" spans="1:14" ht="87" customHeight="1" thickBot="1" x14ac:dyDescent="0.55000000000000004">
      <c r="A4" s="281" t="s">
        <v>7864</v>
      </c>
      <c r="B4" t="str">
        <f t="shared" si="0"/>
        <v>Jacksin</v>
      </c>
      <c r="C4" s="278"/>
      <c r="D4" s="279"/>
      <c r="E4" s="276"/>
      <c r="F4" s="277"/>
      <c r="H4" s="279"/>
      <c r="I4" s="276"/>
      <c r="J4" s="277"/>
      <c r="L4" s="279"/>
      <c r="M4" s="279"/>
      <c r="N4" s="280"/>
    </row>
    <row r="5" spans="1:14" ht="23.45" customHeight="1" thickBot="1" x14ac:dyDescent="0.55000000000000004">
      <c r="A5" s="281" t="s">
        <v>7865</v>
      </c>
      <c r="B5" t="str">
        <f t="shared" si="0"/>
        <v>Kuba</v>
      </c>
      <c r="C5" s="278"/>
      <c r="D5" s="279"/>
      <c r="E5" s="276"/>
      <c r="F5" s="277"/>
      <c r="H5" s="279"/>
      <c r="I5" s="276"/>
      <c r="J5" s="277"/>
      <c r="L5" s="279"/>
      <c r="M5" s="279"/>
      <c r="N5" s="280"/>
    </row>
    <row r="6" spans="1:14" ht="103.2" customHeight="1" thickBot="1" x14ac:dyDescent="0.55000000000000004">
      <c r="A6" s="281" t="s">
        <v>7866</v>
      </c>
      <c r="B6" t="str">
        <f t="shared" si="0"/>
        <v>Legend</v>
      </c>
      <c r="C6" s="278"/>
      <c r="D6" s="279"/>
      <c r="E6" s="276"/>
      <c r="F6" s="277"/>
      <c r="H6" s="279"/>
      <c r="I6" s="276"/>
      <c r="J6" s="277"/>
      <c r="L6" s="279"/>
      <c r="M6" s="279"/>
      <c r="N6" s="280"/>
    </row>
    <row r="7" spans="1:14" ht="23.45" customHeight="1" thickBot="1" x14ac:dyDescent="0.55000000000000004">
      <c r="A7" s="281" t="s">
        <v>7867</v>
      </c>
      <c r="B7" t="str">
        <f t="shared" si="0"/>
        <v>Lundynn</v>
      </c>
      <c r="C7" s="278"/>
      <c r="D7" s="279"/>
      <c r="E7" s="276"/>
      <c r="F7" s="277"/>
      <c r="H7" s="279"/>
      <c r="I7" s="276"/>
      <c r="J7" s="277"/>
      <c r="L7" s="279"/>
      <c r="M7" s="279"/>
      <c r="N7" s="280"/>
    </row>
    <row r="8" spans="1:14" ht="58.2" customHeight="1" thickBot="1" x14ac:dyDescent="0.55000000000000004">
      <c r="A8" s="281" t="s">
        <v>7868</v>
      </c>
      <c r="B8" t="str">
        <f t="shared" si="0"/>
        <v>Lynxx</v>
      </c>
      <c r="C8" s="278"/>
      <c r="D8" s="279"/>
      <c r="E8" s="276"/>
      <c r="F8" s="277"/>
      <c r="H8" s="279"/>
      <c r="I8" s="276"/>
      <c r="J8" s="277"/>
      <c r="L8" s="279"/>
      <c r="M8" s="279"/>
      <c r="N8" s="280"/>
    </row>
    <row r="9" spans="1:14" ht="23.45" customHeight="1" thickBot="1" x14ac:dyDescent="0.55000000000000004">
      <c r="A9" s="281" t="s">
        <v>7869</v>
      </c>
      <c r="B9" t="str">
        <f t="shared" si="0"/>
        <v>Pinches</v>
      </c>
      <c r="C9" s="278"/>
      <c r="D9" s="279"/>
      <c r="E9" s="276"/>
      <c r="F9" s="277"/>
      <c r="H9" s="279"/>
      <c r="I9" s="276"/>
      <c r="J9" s="277"/>
      <c r="L9" s="279"/>
      <c r="M9" s="279"/>
      <c r="N9" s="280"/>
    </row>
    <row r="10" spans="1:14" ht="23.45" customHeight="1" thickBot="1" x14ac:dyDescent="0.55000000000000004">
      <c r="A10" s="281" t="s">
        <v>7870</v>
      </c>
      <c r="B10" t="str">
        <f t="shared" si="0"/>
        <v>Rolexus</v>
      </c>
      <c r="C10" s="278"/>
      <c r="D10" s="279"/>
      <c r="E10" s="276"/>
      <c r="F10" s="277"/>
      <c r="H10" s="279"/>
      <c r="I10" s="276"/>
      <c r="J10" s="277"/>
      <c r="L10" s="279"/>
      <c r="M10" s="279"/>
      <c r="N10" s="280"/>
    </row>
    <row r="11" spans="1:14" ht="34.85" customHeight="1" thickBot="1" x14ac:dyDescent="0.55000000000000004">
      <c r="A11" s="282" t="s">
        <v>7892</v>
      </c>
      <c r="B11" t="str">
        <f t="shared" si="0"/>
        <v>Axe</v>
      </c>
      <c r="C11" s="278"/>
      <c r="D11" s="279"/>
      <c r="E11" s="276"/>
      <c r="F11" s="277"/>
      <c r="H11" s="279"/>
      <c r="I11" s="276"/>
      <c r="J11" s="277"/>
      <c r="L11" s="279"/>
      <c r="M11" s="279"/>
      <c r="N11" s="280"/>
    </row>
    <row r="12" spans="1:14" ht="137.44999999999999" customHeight="1" thickBot="1" x14ac:dyDescent="0.55000000000000004">
      <c r="A12" s="282" t="s">
        <v>7893</v>
      </c>
      <c r="B12" t="str">
        <f t="shared" si="0"/>
        <v>Bamboo</v>
      </c>
      <c r="C12" s="278"/>
      <c r="D12" s="279"/>
      <c r="E12" s="276"/>
      <c r="F12" s="277"/>
      <c r="H12" s="279"/>
      <c r="I12" s="276"/>
      <c r="J12" s="277"/>
      <c r="L12" s="279"/>
      <c r="M12" s="279"/>
      <c r="N12" s="280"/>
    </row>
    <row r="13" spans="1:14" ht="202.2" customHeight="1" thickBot="1" x14ac:dyDescent="0.55000000000000004">
      <c r="A13" s="282" t="s">
        <v>7894</v>
      </c>
      <c r="B13" t="str">
        <f t="shared" si="0"/>
        <v>Chaton</v>
      </c>
      <c r="C13" s="278"/>
      <c r="D13" s="279"/>
      <c r="E13" s="276"/>
      <c r="F13" s="277"/>
      <c r="H13" s="279"/>
      <c r="I13" s="276"/>
      <c r="J13" s="277"/>
      <c r="L13" s="279"/>
      <c r="M13" s="279"/>
      <c r="N13" s="280"/>
    </row>
    <row r="14" spans="1:14" ht="148.85" customHeight="1" thickBot="1" x14ac:dyDescent="0.55000000000000004">
      <c r="A14" s="282" t="s">
        <v>7895</v>
      </c>
      <c r="B14" t="str">
        <f t="shared" si="0"/>
        <v>Dagger</v>
      </c>
      <c r="C14" s="278"/>
      <c r="D14" s="279"/>
      <c r="E14" s="276"/>
      <c r="F14" s="277"/>
      <c r="H14" s="279"/>
      <c r="I14" s="276"/>
      <c r="J14" s="277"/>
      <c r="L14" s="279"/>
      <c r="M14" s="279"/>
      <c r="N14" s="280"/>
    </row>
    <row r="15" spans="1:14" ht="46.2" customHeight="1" thickBot="1" x14ac:dyDescent="0.55000000000000004">
      <c r="A15" s="282" t="s">
        <v>7896</v>
      </c>
      <c r="B15" t="str">
        <f t="shared" si="0"/>
        <v>Jaguar</v>
      </c>
      <c r="C15" s="278"/>
      <c r="D15" s="279"/>
      <c r="E15" s="276"/>
      <c r="F15" s="277"/>
      <c r="H15" s="279"/>
      <c r="I15" s="276"/>
      <c r="J15" s="277"/>
      <c r="L15" s="279"/>
      <c r="M15" s="279"/>
      <c r="N15" s="280"/>
    </row>
    <row r="16" spans="1:14" ht="126" customHeight="1" thickBot="1" x14ac:dyDescent="0.55000000000000004">
      <c r="A16" s="282" t="s">
        <v>7897</v>
      </c>
      <c r="B16" t="str">
        <f t="shared" si="0"/>
        <v>Jaxtynn</v>
      </c>
      <c r="C16" s="278"/>
      <c r="D16" s="279"/>
      <c r="E16" s="276"/>
      <c r="F16" s="277"/>
      <c r="H16" s="279"/>
      <c r="I16" s="276"/>
      <c r="J16" s="277"/>
      <c r="L16" s="279"/>
      <c r="M16" s="279"/>
      <c r="N16" s="280"/>
    </row>
    <row r="17" spans="1:14" ht="87" customHeight="1" thickBot="1" x14ac:dyDescent="0.55000000000000004">
      <c r="A17" s="282" t="s">
        <v>7898</v>
      </c>
      <c r="B17" t="str">
        <f t="shared" si="0"/>
        <v>Jevin</v>
      </c>
      <c r="C17" s="278"/>
      <c r="D17" s="279"/>
      <c r="E17" s="276"/>
      <c r="F17" s="277"/>
      <c r="H17" s="279"/>
      <c r="I17" s="276"/>
      <c r="J17" s="277"/>
      <c r="L17" s="279"/>
      <c r="M17" s="279"/>
      <c r="N17" s="280"/>
    </row>
    <row r="18" spans="1:14" ht="126" customHeight="1" thickBot="1" x14ac:dyDescent="0.55000000000000004">
      <c r="A18" s="282" t="s">
        <v>7899</v>
      </c>
      <c r="B18" t="str">
        <f t="shared" si="0"/>
        <v>Mordax</v>
      </c>
      <c r="C18" s="278"/>
      <c r="D18" s="279"/>
      <c r="E18" s="276"/>
      <c r="F18" s="277"/>
      <c r="H18" s="279"/>
      <c r="I18" s="276"/>
      <c r="J18" s="277"/>
      <c r="L18" s="279"/>
      <c r="M18" s="279"/>
      <c r="N18" s="280"/>
    </row>
    <row r="19" spans="1:14" ht="245.45" customHeight="1" thickBot="1" x14ac:dyDescent="0.55000000000000004">
      <c r="A19" s="282" t="s">
        <v>7900</v>
      </c>
      <c r="B19" t="str">
        <f t="shared" si="0"/>
        <v>Rad</v>
      </c>
      <c r="C19" s="278"/>
      <c r="D19" s="279"/>
      <c r="E19" s="276"/>
      <c r="F19" s="277"/>
      <c r="H19" s="279"/>
      <c r="I19" s="276"/>
      <c r="J19" s="277"/>
      <c r="L19" s="279"/>
      <c r="M19" s="279"/>
      <c r="N19" s="280"/>
    </row>
    <row r="20" spans="1:14" ht="103.2" customHeight="1" thickBot="1" x14ac:dyDescent="0.55000000000000004">
      <c r="A20" s="282" t="s">
        <v>7901</v>
      </c>
      <c r="B20" t="str">
        <f t="shared" si="0"/>
        <v>Tygrrr</v>
      </c>
      <c r="C20" s="278"/>
      <c r="D20" s="279"/>
      <c r="E20" s="276"/>
      <c r="F20" s="277"/>
      <c r="H20" s="279"/>
      <c r="I20" s="276"/>
      <c r="J20" s="277"/>
      <c r="L20" s="279"/>
      <c r="M20" s="279"/>
      <c r="N20" s="280"/>
    </row>
    <row r="21" spans="1:14" ht="58.2" customHeight="1" thickBot="1" x14ac:dyDescent="0.55000000000000004">
      <c r="A21" s="283" t="s">
        <v>7911</v>
      </c>
      <c r="B21" t="str">
        <f t="shared" si="0"/>
        <v>Brayan</v>
      </c>
      <c r="C21" s="278"/>
      <c r="D21" s="279"/>
      <c r="E21" s="276"/>
      <c r="F21" s="277"/>
      <c r="H21" s="279"/>
      <c r="I21" s="276"/>
      <c r="J21" s="277"/>
      <c r="L21" s="279"/>
      <c r="M21" s="279"/>
      <c r="N21" s="280"/>
    </row>
    <row r="22" spans="1:14" ht="148.85" customHeight="1" thickBot="1" x14ac:dyDescent="0.55000000000000004">
      <c r="A22" s="283" t="s">
        <v>7912</v>
      </c>
      <c r="B22" t="str">
        <f t="shared" si="0"/>
        <v>Kanaan</v>
      </c>
      <c r="C22" s="278"/>
      <c r="D22" s="279"/>
      <c r="E22" s="276"/>
      <c r="F22" s="277"/>
      <c r="H22" s="279"/>
      <c r="I22" s="276"/>
      <c r="J22" s="277"/>
      <c r="L22" s="279"/>
      <c r="M22" s="279"/>
      <c r="N22" s="280"/>
    </row>
    <row r="23" spans="1:14" ht="58.2" customHeight="1" thickBot="1" x14ac:dyDescent="0.55000000000000004">
      <c r="A23" s="283" t="s">
        <v>7913</v>
      </c>
      <c r="B23" t="str">
        <f t="shared" si="0"/>
        <v>Kairo</v>
      </c>
      <c r="C23" s="278"/>
      <c r="D23" s="279"/>
      <c r="E23" s="276"/>
      <c r="F23" s="277"/>
      <c r="H23" s="279"/>
      <c r="I23" s="276"/>
      <c r="J23" s="277"/>
      <c r="L23" s="279"/>
      <c r="M23" s="279"/>
      <c r="N23" s="280"/>
    </row>
    <row r="24" spans="1:14" ht="23.45" customHeight="1" thickBot="1" x14ac:dyDescent="0.55000000000000004">
      <c r="A24" s="283" t="s">
        <v>7914</v>
      </c>
      <c r="B24" t="str">
        <f t="shared" si="0"/>
        <v>Pluto</v>
      </c>
      <c r="C24" s="278"/>
      <c r="D24" s="279"/>
      <c r="E24" s="276"/>
      <c r="F24" s="277"/>
      <c r="H24" s="279"/>
      <c r="I24" s="276"/>
      <c r="J24" s="277"/>
      <c r="L24" s="279"/>
      <c r="M24" s="279"/>
      <c r="N24" s="280"/>
    </row>
    <row r="25" spans="1:14" ht="34.85" customHeight="1" thickBot="1" x14ac:dyDescent="0.55000000000000004">
      <c r="A25" s="283" t="s">
        <v>7915</v>
      </c>
      <c r="B25" t="str">
        <f t="shared" si="0"/>
        <v>Precise</v>
      </c>
      <c r="C25" s="278"/>
      <c r="D25" s="279"/>
      <c r="E25" s="276"/>
      <c r="F25" s="277"/>
      <c r="H25" s="279"/>
      <c r="I25" s="276"/>
      <c r="J25" s="277"/>
      <c r="L25" s="279"/>
      <c r="M25" s="279"/>
      <c r="N25" s="280"/>
    </row>
    <row r="26" spans="1:14" ht="23.45" customHeight="1" thickBot="1" x14ac:dyDescent="0.55000000000000004">
      <c r="A26" s="283" t="s">
        <v>7916</v>
      </c>
      <c r="B26" t="str">
        <f t="shared" si="0"/>
        <v>Sincere</v>
      </c>
      <c r="C26" s="278"/>
      <c r="D26" s="279"/>
      <c r="E26" s="276"/>
      <c r="F26" s="277"/>
      <c r="H26" s="279"/>
      <c r="I26" s="276"/>
      <c r="J26" s="277"/>
      <c r="L26" s="279"/>
      <c r="M26" s="279"/>
      <c r="N26" s="280"/>
    </row>
    <row r="27" spans="1:14" ht="58.2" customHeight="1" thickBot="1" x14ac:dyDescent="0.55000000000000004">
      <c r="A27" s="283" t="s">
        <v>7917</v>
      </c>
      <c r="B27" t="str">
        <f t="shared" si="0"/>
        <v>Tenysi</v>
      </c>
      <c r="C27" s="278"/>
      <c r="D27" s="279"/>
      <c r="E27" s="276"/>
      <c r="F27" s="277"/>
      <c r="H27" s="279"/>
      <c r="I27" s="276"/>
      <c r="J27" s="277"/>
      <c r="L27" s="279"/>
      <c r="M27" s="279"/>
      <c r="N27" s="280"/>
    </row>
    <row r="28" spans="1:14" ht="23.45" customHeight="1" thickBot="1" x14ac:dyDescent="0.55000000000000004">
      <c r="A28" s="283" t="s">
        <v>7918</v>
      </c>
      <c r="B28" t="str">
        <f t="shared" si="0"/>
        <v>Tigger</v>
      </c>
      <c r="C28" s="278"/>
      <c r="D28" s="279"/>
      <c r="E28" s="276"/>
      <c r="F28" s="277"/>
      <c r="H28" s="279"/>
      <c r="I28" s="276"/>
      <c r="J28" s="277"/>
      <c r="L28" s="279"/>
      <c r="M28" s="279"/>
      <c r="N28" s="280"/>
    </row>
    <row r="29" spans="1:14" ht="43.85" customHeight="1" thickBot="1" x14ac:dyDescent="0.55000000000000004">
      <c r="A29" s="283" t="s">
        <v>7919</v>
      </c>
      <c r="B29" t="str">
        <f t="shared" si="0"/>
        <v>Tokyo</v>
      </c>
      <c r="C29" s="278"/>
      <c r="D29" s="279"/>
      <c r="E29" s="276"/>
      <c r="F29" s="277"/>
      <c r="H29" s="279"/>
      <c r="I29" s="276"/>
      <c r="J29" s="277"/>
      <c r="L29" s="279"/>
      <c r="M29" s="279"/>
      <c r="N29" s="280"/>
    </row>
    <row r="30" spans="1:14" ht="15" customHeight="1" thickBot="1" x14ac:dyDescent="0.55000000000000004">
      <c r="A30" s="283" t="s">
        <v>7920</v>
      </c>
      <c r="B30" t="str">
        <f t="shared" si="0"/>
        <v>Wiatt</v>
      </c>
      <c r="C30" s="278"/>
      <c r="D30" s="279"/>
      <c r="E30" s="276"/>
      <c r="F30" s="277"/>
      <c r="H30" s="279"/>
      <c r="I30" s="276"/>
      <c r="J30" s="277"/>
      <c r="L30" s="279"/>
      <c r="M30" s="279"/>
      <c r="N30" s="280"/>
    </row>
    <row r="31" spans="1:14" ht="69" customHeight="1" thickBot="1" x14ac:dyDescent="0.55000000000000004">
      <c r="A31" s="283" t="s">
        <v>7921</v>
      </c>
      <c r="B31" t="str">
        <f t="shared" si="0"/>
        <v>Bylan</v>
      </c>
      <c r="C31" s="278"/>
      <c r="D31" s="279"/>
      <c r="E31" s="276"/>
      <c r="F31" s="277"/>
      <c r="H31" s="279"/>
      <c r="I31" s="276"/>
      <c r="J31" s="277"/>
      <c r="L31" s="279"/>
      <c r="M31" s="279"/>
      <c r="N31" s="280"/>
    </row>
    <row r="32" spans="1:14" ht="23.45" customHeight="1" thickBot="1" x14ac:dyDescent="0.55000000000000004">
      <c r="A32" s="283" t="s">
        <v>7922</v>
      </c>
      <c r="B32" t="str">
        <f t="shared" si="0"/>
        <v>Carridyn</v>
      </c>
      <c r="C32" s="278"/>
      <c r="D32" s="279"/>
      <c r="E32" s="276"/>
      <c r="F32" s="277"/>
      <c r="H32" s="279"/>
      <c r="I32" s="276"/>
      <c r="J32" s="277"/>
      <c r="L32" s="279"/>
      <c r="M32" s="279"/>
      <c r="N32" s="280"/>
    </row>
    <row r="33" spans="1:14" ht="58.2" customHeight="1" thickBot="1" x14ac:dyDescent="0.55000000000000004">
      <c r="A33" s="283" t="s">
        <v>7923</v>
      </c>
      <c r="B33" t="str">
        <f t="shared" ref="B33:B64" si="1">PROPER(A33)</f>
        <v>Hairry</v>
      </c>
      <c r="C33" s="278"/>
      <c r="D33" s="279"/>
      <c r="E33" s="276"/>
      <c r="F33" s="277"/>
      <c r="H33" s="279"/>
      <c r="I33" s="276"/>
      <c r="J33" s="277"/>
      <c r="L33" s="279"/>
      <c r="M33" s="279"/>
      <c r="N33" s="280"/>
    </row>
    <row r="34" spans="1:14" ht="23.45" customHeight="1" thickBot="1" x14ac:dyDescent="0.55000000000000004">
      <c r="A34" s="283" t="s">
        <v>7924</v>
      </c>
      <c r="B34" t="str">
        <f t="shared" si="1"/>
        <v>Jaze</v>
      </c>
      <c r="C34" s="278"/>
      <c r="D34" s="279"/>
      <c r="E34" s="276"/>
      <c r="F34" s="277"/>
      <c r="H34" s="279"/>
      <c r="I34" s="276"/>
      <c r="J34" s="277"/>
      <c r="L34" s="279"/>
      <c r="M34" s="279"/>
      <c r="N34" s="280"/>
    </row>
    <row r="35" spans="1:14" ht="43.85" customHeight="1" thickBot="1" x14ac:dyDescent="0.55000000000000004">
      <c r="A35" s="283" t="s">
        <v>7925</v>
      </c>
      <c r="B35" t="str">
        <f t="shared" si="1"/>
        <v>Konor</v>
      </c>
      <c r="C35" s="278"/>
      <c r="D35" s="279"/>
      <c r="E35" s="276"/>
      <c r="F35" s="277"/>
      <c r="H35" s="279"/>
      <c r="I35" s="276"/>
      <c r="J35" s="277"/>
      <c r="L35" s="279"/>
      <c r="M35" s="279"/>
      <c r="N35" s="280"/>
    </row>
    <row r="36" spans="1:14" ht="15" customHeight="1" thickBot="1" x14ac:dyDescent="0.55000000000000004">
      <c r="A36" s="283" t="s">
        <v>7926</v>
      </c>
      <c r="B36" t="str">
        <f t="shared" si="1"/>
        <v>Kreighton</v>
      </c>
      <c r="C36" s="278"/>
      <c r="D36" s="279"/>
      <c r="E36" s="276"/>
      <c r="F36" s="277"/>
      <c r="H36" s="279"/>
      <c r="I36" s="276"/>
      <c r="J36" s="277"/>
      <c r="L36" s="279"/>
      <c r="M36" s="279"/>
      <c r="N36" s="280"/>
    </row>
    <row r="37" spans="1:14" ht="58.2" customHeight="1" thickBot="1" x14ac:dyDescent="0.55000000000000004">
      <c r="A37" s="283" t="s">
        <v>7927</v>
      </c>
      <c r="B37" t="str">
        <f t="shared" si="1"/>
        <v>Squire</v>
      </c>
      <c r="C37" s="278"/>
      <c r="D37" s="279"/>
      <c r="E37" s="276"/>
      <c r="F37" s="277"/>
      <c r="H37" s="279"/>
      <c r="I37" s="276"/>
      <c r="J37" s="277"/>
      <c r="L37" s="279"/>
      <c r="M37" s="279"/>
      <c r="N37" s="280"/>
    </row>
    <row r="38" spans="1:14" ht="23.45" customHeight="1" thickBot="1" x14ac:dyDescent="0.55000000000000004">
      <c r="A38" s="283" t="s">
        <v>7928</v>
      </c>
      <c r="B38" t="str">
        <f t="shared" si="1"/>
        <v>Tayn</v>
      </c>
      <c r="C38" s="278"/>
      <c r="D38" s="279"/>
      <c r="E38" s="276"/>
      <c r="F38" s="277"/>
      <c r="H38" s="279"/>
      <c r="I38" s="276"/>
      <c r="J38" s="277"/>
      <c r="L38" s="279"/>
      <c r="M38" s="279"/>
      <c r="N38" s="280"/>
    </row>
    <row r="39" spans="1:14" ht="43.85" customHeight="1" thickBot="1" x14ac:dyDescent="0.55000000000000004">
      <c r="A39" s="283" t="s">
        <v>7929</v>
      </c>
      <c r="B39" t="str">
        <f t="shared" si="1"/>
        <v>Vaelen</v>
      </c>
      <c r="C39" s="278"/>
      <c r="D39" s="279"/>
      <c r="E39" s="276"/>
      <c r="F39" s="277"/>
      <c r="H39" s="279"/>
      <c r="I39" s="276"/>
      <c r="J39" s="277"/>
      <c r="L39" s="279"/>
      <c r="M39" s="279"/>
      <c r="N39" s="280"/>
    </row>
    <row r="40" spans="1:14" ht="23.45" customHeight="1" thickBot="1" x14ac:dyDescent="0.55000000000000004">
      <c r="A40" s="283" t="s">
        <v>7930</v>
      </c>
      <c r="B40" t="str">
        <f t="shared" si="1"/>
        <v>Xayvya</v>
      </c>
      <c r="C40" s="278"/>
      <c r="D40" s="279"/>
      <c r="E40" s="276"/>
      <c r="F40" s="277"/>
      <c r="H40" s="279"/>
      <c r="I40" s="276"/>
      <c r="J40" s="277"/>
      <c r="L40" s="279"/>
      <c r="M40" s="279"/>
      <c r="N40" s="280"/>
    </row>
    <row r="41" spans="1:14" ht="34.85" customHeight="1" thickBot="1" x14ac:dyDescent="0.55000000000000004">
      <c r="A41" s="284" t="s">
        <v>7941</v>
      </c>
      <c r="B41" t="str">
        <f t="shared" si="1"/>
        <v>Bacardi</v>
      </c>
      <c r="C41" s="278"/>
      <c r="D41" s="279"/>
      <c r="E41" s="276"/>
      <c r="F41" s="277"/>
      <c r="H41" s="279"/>
      <c r="I41" s="276"/>
      <c r="J41" s="277"/>
      <c r="L41" s="279"/>
      <c r="M41" s="279"/>
      <c r="N41" s="280"/>
    </row>
    <row r="42" spans="1:14" ht="69" customHeight="1" thickBot="1" x14ac:dyDescent="0.55000000000000004">
      <c r="A42" s="284" t="s">
        <v>7942</v>
      </c>
      <c r="B42" t="str">
        <f t="shared" si="1"/>
        <v>Gaige</v>
      </c>
      <c r="C42" s="278"/>
      <c r="D42" s="279"/>
      <c r="E42" s="276"/>
      <c r="F42" s="277"/>
      <c r="H42" s="279"/>
      <c r="I42" s="276"/>
      <c r="J42" s="277"/>
      <c r="L42" s="279"/>
      <c r="M42" s="279"/>
      <c r="N42" s="280"/>
    </row>
    <row r="43" spans="1:14" ht="126" customHeight="1" thickBot="1" x14ac:dyDescent="0.55000000000000004">
      <c r="A43" s="284" t="s">
        <v>7943</v>
      </c>
      <c r="B43" t="str">
        <f t="shared" si="1"/>
        <v>Harisyn</v>
      </c>
      <c r="C43" s="278"/>
      <c r="D43" s="279"/>
      <c r="E43" s="276"/>
      <c r="F43" s="277"/>
      <c r="H43" s="279"/>
      <c r="I43" s="276"/>
      <c r="J43" s="277"/>
      <c r="L43" s="279"/>
      <c r="M43" s="279"/>
      <c r="N43" s="280"/>
    </row>
    <row r="44" spans="1:14" ht="91.85" customHeight="1" thickBot="1" x14ac:dyDescent="0.55000000000000004">
      <c r="A44" s="284" t="s">
        <v>7944</v>
      </c>
      <c r="B44" t="str">
        <f t="shared" si="1"/>
        <v>Jakxsen</v>
      </c>
      <c r="C44" s="278"/>
      <c r="D44" s="279"/>
      <c r="E44" s="276"/>
      <c r="F44" s="277"/>
      <c r="H44" s="279"/>
      <c r="I44" s="276"/>
      <c r="J44" s="277"/>
      <c r="L44" s="279"/>
      <c r="M44" s="279"/>
      <c r="N44" s="280"/>
    </row>
    <row r="45" spans="1:14" ht="103.2" customHeight="1" thickBot="1" x14ac:dyDescent="0.55000000000000004">
      <c r="A45" s="284" t="s">
        <v>7945</v>
      </c>
      <c r="B45" t="str">
        <f t="shared" si="1"/>
        <v>Jarren</v>
      </c>
      <c r="C45" s="278"/>
      <c r="D45" s="279"/>
      <c r="E45" s="276"/>
      <c r="F45" s="277"/>
      <c r="H45" s="279"/>
      <c r="I45" s="276"/>
      <c r="J45" s="277"/>
      <c r="L45" s="279"/>
      <c r="M45" s="279"/>
      <c r="N45" s="280"/>
    </row>
    <row r="46" spans="1:14" ht="144.6" customHeight="1" thickBot="1" x14ac:dyDescent="0.55000000000000004">
      <c r="A46" s="284" t="s">
        <v>7946</v>
      </c>
      <c r="B46" t="str">
        <f t="shared" si="1"/>
        <v>Kendrew</v>
      </c>
      <c r="C46" s="278"/>
    </row>
    <row r="47" spans="1:14" ht="23.45" customHeight="1" thickBot="1" x14ac:dyDescent="0.55000000000000004">
      <c r="A47" s="284" t="s">
        <v>7947</v>
      </c>
      <c r="B47" t="str">
        <f t="shared" si="1"/>
        <v>Laken</v>
      </c>
      <c r="C47" s="278"/>
    </row>
    <row r="48" spans="1:14" ht="297" customHeight="1" thickBot="1" x14ac:dyDescent="0.55000000000000004">
      <c r="A48" s="284" t="s">
        <v>7948</v>
      </c>
      <c r="B48" t="str">
        <f t="shared" si="1"/>
        <v>Nicomachus</v>
      </c>
      <c r="C48" s="278"/>
    </row>
    <row r="49" spans="1:13" ht="91.85" customHeight="1" thickBot="1" x14ac:dyDescent="0.55000000000000004">
      <c r="A49" s="284" t="s">
        <v>7949</v>
      </c>
      <c r="B49" t="str">
        <f t="shared" si="1"/>
        <v>Wyliumm</v>
      </c>
      <c r="C49" s="278"/>
    </row>
    <row r="50" spans="1:13" ht="72.599999999999994" customHeight="1" thickBot="1" x14ac:dyDescent="0.55000000000000004">
      <c r="A50" s="284" t="s">
        <v>7950</v>
      </c>
      <c r="B50" t="str">
        <f t="shared" si="1"/>
        <v>Zyler</v>
      </c>
      <c r="C50" s="278"/>
    </row>
    <row r="51" spans="1:13" ht="23.45" customHeight="1" thickBot="1" x14ac:dyDescent="0.55000000000000004">
      <c r="A51" s="286" t="s">
        <v>7961</v>
      </c>
      <c r="B51" t="str">
        <f t="shared" si="1"/>
        <v>Blade</v>
      </c>
      <c r="C51" s="278"/>
    </row>
    <row r="52" spans="1:13" ht="23.45" customHeight="1" thickBot="1" x14ac:dyDescent="0.55000000000000004">
      <c r="A52" s="286" t="s">
        <v>7962</v>
      </c>
      <c r="B52" t="str">
        <f t="shared" si="1"/>
        <v>Brogan</v>
      </c>
      <c r="C52" s="278"/>
    </row>
    <row r="53" spans="1:13" ht="34.85" customHeight="1" thickBot="1" x14ac:dyDescent="0.55000000000000004">
      <c r="A53" s="286" t="s">
        <v>7963</v>
      </c>
      <c r="B53" t="str">
        <f t="shared" si="1"/>
        <v>Daxon</v>
      </c>
      <c r="C53" s="278"/>
    </row>
    <row r="54" spans="1:13" ht="58.2" customHeight="1" thickBot="1" x14ac:dyDescent="0.55000000000000004">
      <c r="A54" s="286" t="s">
        <v>7964</v>
      </c>
      <c r="B54" t="str">
        <f t="shared" si="1"/>
        <v>Izaak</v>
      </c>
      <c r="C54" s="278"/>
    </row>
    <row r="55" spans="1:13" ht="23.45" customHeight="1" thickBot="1" x14ac:dyDescent="0.55000000000000004">
      <c r="A55" s="286" t="s">
        <v>7965</v>
      </c>
      <c r="B55" t="str">
        <f t="shared" si="1"/>
        <v>Jathon</v>
      </c>
      <c r="C55" s="278"/>
    </row>
    <row r="56" spans="1:13" ht="23.45" customHeight="1" thickBot="1" x14ac:dyDescent="0.55000000000000004">
      <c r="A56" s="286" t="s">
        <v>7966</v>
      </c>
      <c r="B56" t="str">
        <f t="shared" si="1"/>
        <v>J’Zayden</v>
      </c>
      <c r="C56" s="278"/>
    </row>
    <row r="57" spans="1:13" ht="34.85" customHeight="1" thickBot="1" x14ac:dyDescent="0.55000000000000004">
      <c r="A57" s="286" t="s">
        <v>7967</v>
      </c>
      <c r="B57" t="str">
        <f t="shared" si="1"/>
        <v>Khodii</v>
      </c>
      <c r="C57" s="278"/>
    </row>
    <row r="58" spans="1:13" ht="80.45" customHeight="1" thickBot="1" x14ac:dyDescent="0.55000000000000004">
      <c r="A58" s="286" t="s">
        <v>7968</v>
      </c>
      <c r="B58" t="str">
        <f t="shared" si="1"/>
        <v>Macsen</v>
      </c>
      <c r="C58" s="278"/>
    </row>
    <row r="59" spans="1:13" ht="29.45" customHeight="1" thickBot="1" x14ac:dyDescent="0.55000000000000004">
      <c r="A59" s="286" t="s">
        <v>7969</v>
      </c>
      <c r="B59" t="str">
        <f t="shared" si="1"/>
        <v>Zabryn</v>
      </c>
      <c r="C59" s="278"/>
    </row>
    <row r="60" spans="1:13" ht="23.45" customHeight="1" thickBot="1" x14ac:dyDescent="0.55000000000000004">
      <c r="A60" t="s">
        <v>7979</v>
      </c>
      <c r="B60" t="str">
        <f t="shared" si="1"/>
        <v xml:space="preserve"> Afernee</v>
      </c>
      <c r="C60" s="278"/>
      <c r="M60" s="285"/>
    </row>
    <row r="61" spans="1:13" ht="23.45" customHeight="1" thickBot="1" x14ac:dyDescent="0.55000000000000004">
      <c r="A61" t="s">
        <v>7980</v>
      </c>
      <c r="B61" t="str">
        <f t="shared" si="1"/>
        <v xml:space="preserve"> Ashtyn</v>
      </c>
      <c r="C61" s="278"/>
    </row>
    <row r="62" spans="1:13" ht="23.45" customHeight="1" thickBot="1" x14ac:dyDescent="0.55000000000000004">
      <c r="A62" t="s">
        <v>7981</v>
      </c>
      <c r="B62" t="str">
        <f t="shared" si="1"/>
        <v xml:space="preserve"> Beejay</v>
      </c>
      <c r="C62" s="278"/>
    </row>
    <row r="63" spans="1:13" ht="148.85" customHeight="1" thickBot="1" x14ac:dyDescent="0.55000000000000004">
      <c r="A63" t="s">
        <v>7982</v>
      </c>
      <c r="B63" t="str">
        <f t="shared" si="1"/>
        <v xml:space="preserve"> Cruz</v>
      </c>
      <c r="C63" s="278"/>
    </row>
    <row r="64" spans="1:13" ht="87" customHeight="1" thickBot="1" x14ac:dyDescent="0.55000000000000004">
      <c r="A64" t="s">
        <v>7983</v>
      </c>
      <c r="B64" t="str">
        <f t="shared" si="1"/>
        <v xml:space="preserve"> Haze</v>
      </c>
      <c r="C64" s="278"/>
    </row>
    <row r="65" spans="1:13" ht="23.45" customHeight="1" thickBot="1" x14ac:dyDescent="0.55000000000000004">
      <c r="A65" t="s">
        <v>7984</v>
      </c>
      <c r="B65" t="str">
        <f t="shared" ref="B65:B71" si="2">PROPER(A65)</f>
        <v xml:space="preserve"> Holden</v>
      </c>
      <c r="C65" s="278"/>
    </row>
    <row r="66" spans="1:13" ht="148.85" customHeight="1" thickBot="1" x14ac:dyDescent="0.55000000000000004">
      <c r="A66" t="s">
        <v>7985</v>
      </c>
      <c r="B66" t="str">
        <f t="shared" si="2"/>
        <v xml:space="preserve"> Kash</v>
      </c>
      <c r="C66" s="278"/>
    </row>
    <row r="67" spans="1:13" ht="87" customHeight="1" thickBot="1" x14ac:dyDescent="0.55000000000000004">
      <c r="A67" t="s">
        <v>7986</v>
      </c>
      <c r="B67" t="str">
        <f t="shared" si="2"/>
        <v xml:space="preserve"> Storm</v>
      </c>
      <c r="C67" s="278"/>
    </row>
    <row r="68" spans="1:13" ht="34.85" customHeight="1" thickBot="1" x14ac:dyDescent="0.55000000000000004">
      <c r="A68" t="s">
        <v>7987</v>
      </c>
      <c r="B68" t="str">
        <f t="shared" si="2"/>
        <v xml:space="preserve"> Tyson</v>
      </c>
      <c r="C68" s="278"/>
    </row>
    <row r="69" spans="1:13" ht="87" customHeight="1" thickBot="1" x14ac:dyDescent="0.55000000000000004">
      <c r="A69" t="s">
        <v>7988</v>
      </c>
      <c r="B69" t="str">
        <f t="shared" si="2"/>
        <v xml:space="preserve"> Zaiden</v>
      </c>
      <c r="C69" s="278"/>
    </row>
    <row r="70" spans="1:13" ht="23.45" customHeight="1" thickBot="1" x14ac:dyDescent="0.55000000000000004">
      <c r="A70" s="273" t="s">
        <v>7999</v>
      </c>
      <c r="B70" t="str">
        <f t="shared" si="2"/>
        <v>Damo</v>
      </c>
      <c r="C70" s="278"/>
      <c r="M70" s="287"/>
    </row>
    <row r="71" spans="1:13" ht="43.85" customHeight="1" thickBot="1" x14ac:dyDescent="0.55000000000000004">
      <c r="A71" t="s">
        <v>8000</v>
      </c>
      <c r="B71" t="str">
        <f t="shared" si="2"/>
        <v>Darren</v>
      </c>
      <c r="C71" s="278"/>
    </row>
    <row r="72" spans="1:13" ht="114.6" customHeight="1" thickBot="1" x14ac:dyDescent="0.55000000000000004">
      <c r="A72" s="288" t="s">
        <v>8002</v>
      </c>
      <c r="B72" t="str">
        <f t="shared" ref="B72:B113" si="3">PROPER(A72)</f>
        <v>Jayden</v>
      </c>
      <c r="C72" s="278"/>
    </row>
    <row r="73" spans="1:13" ht="80.45" customHeight="1" thickBot="1" x14ac:dyDescent="0.55000000000000004">
      <c r="A73" s="288" t="s">
        <v>8003</v>
      </c>
      <c r="B73" t="str">
        <f t="shared" si="3"/>
        <v>Harisyn</v>
      </c>
      <c r="C73" s="278"/>
    </row>
    <row r="74" spans="1:13" ht="23.45" customHeight="1" thickBot="1" x14ac:dyDescent="0.55000000000000004">
      <c r="A74" s="288" t="s">
        <v>8004</v>
      </c>
      <c r="B74" t="str">
        <f t="shared" si="3"/>
        <v>"Jack Daniel"</v>
      </c>
      <c r="C74" s="278"/>
    </row>
    <row r="75" spans="1:13" ht="34.85" customHeight="1" thickBot="1" x14ac:dyDescent="0.55000000000000004">
      <c r="A75" s="288" t="s">
        <v>7930</v>
      </c>
      <c r="B75" t="str">
        <f t="shared" si="3"/>
        <v>Xayvya</v>
      </c>
      <c r="C75" s="278"/>
    </row>
    <row r="76" spans="1:13" ht="72.599999999999994" customHeight="1" thickBot="1" x14ac:dyDescent="0.55000000000000004">
      <c r="A76" s="288" t="s">
        <v>7938</v>
      </c>
      <c r="B76" t="str">
        <f t="shared" si="3"/>
        <v>Ryliee</v>
      </c>
      <c r="C76" s="278"/>
    </row>
    <row r="77" spans="1:13" ht="23.45" customHeight="1" thickBot="1" x14ac:dyDescent="0.55000000000000004">
      <c r="A77" s="288" t="s">
        <v>8008</v>
      </c>
      <c r="B77" t="str">
        <f t="shared" si="3"/>
        <v>Kev</v>
      </c>
      <c r="C77" s="278"/>
    </row>
    <row r="78" spans="1:13" ht="29.45" customHeight="1" thickBot="1" x14ac:dyDescent="0.55000000000000004">
      <c r="A78" s="288" t="s">
        <v>8009</v>
      </c>
      <c r="B78" t="str">
        <f t="shared" si="3"/>
        <v>Trev</v>
      </c>
      <c r="C78" s="278"/>
    </row>
    <row r="79" spans="1:13" ht="34.85" customHeight="1" thickBot="1" x14ac:dyDescent="0.55000000000000004">
      <c r="A79" s="288" t="s">
        <v>8010</v>
      </c>
      <c r="B79" t="str">
        <f t="shared" si="3"/>
        <v>Dazza</v>
      </c>
      <c r="C79" s="278"/>
    </row>
    <row r="80" spans="1:13" ht="72.599999999999994" customHeight="1" thickBot="1" x14ac:dyDescent="0.55000000000000004">
      <c r="A80" s="288" t="s">
        <v>8011</v>
      </c>
      <c r="B80" t="str">
        <f t="shared" si="3"/>
        <v>Wayno</v>
      </c>
      <c r="C80" s="278"/>
    </row>
    <row r="81" spans="1:3" ht="34.85" customHeight="1" thickBot="1" x14ac:dyDescent="0.55000000000000004">
      <c r="A81" s="288" t="s">
        <v>8012</v>
      </c>
      <c r="B81" t="str">
        <f t="shared" si="3"/>
        <v>Wazza</v>
      </c>
      <c r="C81" s="278"/>
    </row>
    <row r="82" spans="1:3" ht="126" customHeight="1" thickBot="1" x14ac:dyDescent="0.55000000000000004">
      <c r="A82" s="288" t="s">
        <v>8013</v>
      </c>
      <c r="B82" t="str">
        <f t="shared" si="3"/>
        <v>Davo</v>
      </c>
      <c r="C82" s="278"/>
    </row>
    <row r="83" spans="1:3" ht="23.45" customHeight="1" thickBot="1" x14ac:dyDescent="0.55000000000000004">
      <c r="A83" s="288" t="s">
        <v>8014</v>
      </c>
      <c r="B83" t="str">
        <f t="shared" si="3"/>
        <v>Bazza</v>
      </c>
      <c r="C83" s="278"/>
    </row>
    <row r="84" spans="1:3" ht="58.2" customHeight="1" thickBot="1" x14ac:dyDescent="0.55000000000000004">
      <c r="A84" s="288" t="s">
        <v>8015</v>
      </c>
      <c r="B84" t="str">
        <f t="shared" si="3"/>
        <v>Gazza</v>
      </c>
      <c r="C84" s="278"/>
    </row>
    <row r="85" spans="1:3" ht="46.2" customHeight="1" thickBot="1" x14ac:dyDescent="0.55000000000000004">
      <c r="A85" s="288" t="s">
        <v>8016</v>
      </c>
      <c r="B85" t="str">
        <f t="shared" si="3"/>
        <v>Tezza</v>
      </c>
      <c r="C85" s="278"/>
    </row>
    <row r="86" spans="1:3" ht="58.2" customHeight="1" thickBot="1" x14ac:dyDescent="0.55000000000000004">
      <c r="A86" s="288" t="s">
        <v>8017</v>
      </c>
      <c r="B86" t="str">
        <f t="shared" si="3"/>
        <v>Lazza</v>
      </c>
      <c r="C86" s="278"/>
    </row>
    <row r="87" spans="1:3" ht="23.45" customHeight="1" thickBot="1" x14ac:dyDescent="0.55000000000000004">
      <c r="A87" s="288" t="s">
        <v>8018</v>
      </c>
      <c r="B87" t="str">
        <f t="shared" si="3"/>
        <v>Kirky</v>
      </c>
      <c r="C87" s="278"/>
    </row>
    <row r="88" spans="1:3" ht="58.2" customHeight="1" thickBot="1" x14ac:dyDescent="0.55000000000000004">
      <c r="A88" s="288" t="s">
        <v>8019</v>
      </c>
      <c r="B88" t="str">
        <f t="shared" si="3"/>
        <v>Ecca</v>
      </c>
      <c r="C88" s="278"/>
    </row>
    <row r="89" spans="1:3" ht="23.45" customHeight="1" thickBot="1" x14ac:dyDescent="0.55000000000000004">
      <c r="A89" s="288" t="s">
        <v>8020</v>
      </c>
      <c r="B89" t="str">
        <f t="shared" si="3"/>
        <v>Trace</v>
      </c>
      <c r="C89" s="278"/>
    </row>
    <row r="90" spans="1:3" ht="34.85" customHeight="1" thickBot="1" x14ac:dyDescent="0.55000000000000004">
      <c r="A90" s="288" t="s">
        <v>8021</v>
      </c>
      <c r="B90" t="str">
        <f t="shared" si="3"/>
        <v>Jimbo</v>
      </c>
      <c r="C90" s="278"/>
    </row>
    <row r="91" spans="1:3" ht="34.85" customHeight="1" thickBot="1" x14ac:dyDescent="0.55000000000000004">
      <c r="A91" s="288" t="s">
        <v>7827</v>
      </c>
      <c r="B91" t="str">
        <f t="shared" si="3"/>
        <v>Bobby</v>
      </c>
      <c r="C91" s="278"/>
    </row>
    <row r="92" spans="1:3" ht="34.85" customHeight="1" thickBot="1" x14ac:dyDescent="0.55000000000000004">
      <c r="A92" s="288" t="s">
        <v>8022</v>
      </c>
      <c r="B92" t="str">
        <f t="shared" si="3"/>
        <v>Bobbo</v>
      </c>
      <c r="C92" s="278"/>
    </row>
    <row r="93" spans="1:3" ht="148.85" customHeight="1" thickBot="1" x14ac:dyDescent="0.55000000000000004">
      <c r="A93" s="288" t="s">
        <v>8023</v>
      </c>
      <c r="B93" t="str">
        <f t="shared" si="3"/>
        <v>Shayno</v>
      </c>
      <c r="C93" s="278"/>
    </row>
    <row r="94" spans="1:3" ht="87" customHeight="1" thickBot="1" x14ac:dyDescent="0.55000000000000004">
      <c r="A94" s="288" t="s">
        <v>8024</v>
      </c>
      <c r="B94" t="str">
        <f t="shared" si="3"/>
        <v>Stevo</v>
      </c>
      <c r="C94" s="278"/>
    </row>
    <row r="95" spans="1:3" ht="23.45" customHeight="1" thickBot="1" x14ac:dyDescent="0.55000000000000004">
      <c r="A95" s="288" t="s">
        <v>8025</v>
      </c>
      <c r="B95" t="str">
        <f t="shared" si="3"/>
        <v>Poida</v>
      </c>
      <c r="C95" s="278"/>
    </row>
    <row r="96" spans="1:3" ht="103.2" customHeight="1" thickBot="1" x14ac:dyDescent="0.55000000000000004">
      <c r="A96" s="288" t="s">
        <v>8026</v>
      </c>
      <c r="B96" t="str">
        <f t="shared" si="3"/>
        <v>Lancey</v>
      </c>
      <c r="C96" s="278"/>
    </row>
    <row r="97" spans="1:3" ht="23.45" customHeight="1" thickBot="1" x14ac:dyDescent="0.55000000000000004">
      <c r="A97" s="288" t="s">
        <v>8027</v>
      </c>
      <c r="B97" t="str">
        <f t="shared" si="3"/>
        <v>Greggo</v>
      </c>
      <c r="C97" s="278"/>
    </row>
    <row r="98" spans="1:3" ht="58.2" customHeight="1" thickBot="1" x14ac:dyDescent="0.55000000000000004">
      <c r="A98" s="288" t="s">
        <v>8006</v>
      </c>
      <c r="B98" t="str">
        <f t="shared" si="3"/>
        <v>Beryl</v>
      </c>
      <c r="C98" s="278"/>
    </row>
    <row r="99" spans="1:3" ht="23.45" customHeight="1" thickBot="1" x14ac:dyDescent="0.55000000000000004">
      <c r="A99" s="288" t="s">
        <v>8028</v>
      </c>
      <c r="B99" t="str">
        <f t="shared" si="3"/>
        <v>Dezzie</v>
      </c>
      <c r="C99" s="278"/>
    </row>
    <row r="100" spans="1:3" ht="23.45" customHeight="1" thickBot="1" x14ac:dyDescent="0.55000000000000004">
      <c r="A100" s="288" t="s">
        <v>8029</v>
      </c>
      <c r="B100" t="str">
        <f t="shared" si="3"/>
        <v>Dougie</v>
      </c>
      <c r="C100" s="278"/>
    </row>
    <row r="101" spans="1:3" ht="34.85" customHeight="1" thickBot="1" x14ac:dyDescent="0.55000000000000004">
      <c r="A101" s="288" t="s">
        <v>7859</v>
      </c>
      <c r="B101" t="str">
        <f t="shared" si="3"/>
        <v>Maxie</v>
      </c>
      <c r="C101" s="278"/>
    </row>
    <row r="102" spans="1:3" ht="137.44999999999999" customHeight="1" thickBot="1" x14ac:dyDescent="0.55000000000000004">
      <c r="A102" s="288" t="s">
        <v>8030</v>
      </c>
      <c r="B102" t="str">
        <f t="shared" si="3"/>
        <v>Reggie</v>
      </c>
      <c r="C102" s="278"/>
    </row>
    <row r="103" spans="1:3" ht="202.2" customHeight="1" thickBot="1" x14ac:dyDescent="0.55000000000000004">
      <c r="A103" s="288" t="s">
        <v>8031</v>
      </c>
      <c r="B103" t="str">
        <f t="shared" si="3"/>
        <v>Stayer</v>
      </c>
      <c r="C103" s="278"/>
    </row>
    <row r="104" spans="1:3" ht="148.85" customHeight="1" thickBot="1" x14ac:dyDescent="0.55000000000000004">
      <c r="A104" s="288" t="s">
        <v>7826</v>
      </c>
      <c r="B104" t="str">
        <f t="shared" si="3"/>
        <v>Dick</v>
      </c>
      <c r="C104" s="278"/>
    </row>
    <row r="105" spans="1:3" ht="46.2" customHeight="1" thickBot="1" x14ac:dyDescent="0.55000000000000004">
      <c r="A105" s="288" t="s">
        <v>8032</v>
      </c>
      <c r="B105" t="str">
        <f t="shared" si="3"/>
        <v>Nev</v>
      </c>
      <c r="C105" s="278"/>
    </row>
    <row r="106" spans="1:3" ht="126" customHeight="1" thickBot="1" x14ac:dyDescent="0.55000000000000004">
      <c r="A106" s="288" t="s">
        <v>7864</v>
      </c>
      <c r="B106" t="str">
        <f t="shared" si="3"/>
        <v>Jacksin</v>
      </c>
      <c r="C106" s="278"/>
    </row>
    <row r="107" spans="1:3" ht="87" customHeight="1" thickBot="1" x14ac:dyDescent="0.55000000000000004">
      <c r="A107" s="288" t="s">
        <v>8033</v>
      </c>
      <c r="B107" t="str">
        <f t="shared" si="3"/>
        <v>Nige</v>
      </c>
      <c r="C107" s="278"/>
    </row>
    <row r="108" spans="1:3" ht="126" customHeight="1" thickBot="1" x14ac:dyDescent="0.55000000000000004">
      <c r="A108" s="288" t="s">
        <v>8034</v>
      </c>
      <c r="B108" t="str">
        <f t="shared" si="3"/>
        <v>Percy</v>
      </c>
      <c r="C108" s="278"/>
    </row>
    <row r="109" spans="1:3" ht="245.45" customHeight="1" thickBot="1" x14ac:dyDescent="0.55000000000000004">
      <c r="A109" s="288" t="s">
        <v>8035</v>
      </c>
      <c r="B109" t="str">
        <f t="shared" si="3"/>
        <v>Gordo</v>
      </c>
      <c r="C109" s="278"/>
    </row>
    <row r="110" spans="1:3" ht="103.2" customHeight="1" thickBot="1" x14ac:dyDescent="0.55000000000000004">
      <c r="A110" s="288" t="s">
        <v>7784</v>
      </c>
      <c r="B110" t="str">
        <f t="shared" si="3"/>
        <v>Ronnie</v>
      </c>
      <c r="C110" s="278"/>
    </row>
    <row r="111" spans="1:3" ht="58.2" customHeight="1" thickBot="1" x14ac:dyDescent="0.55000000000000004">
      <c r="A111" s="288" t="s">
        <v>8012</v>
      </c>
      <c r="B111" t="str">
        <f t="shared" si="3"/>
        <v>Wazza</v>
      </c>
      <c r="C111" s="278"/>
    </row>
    <row r="112" spans="1:3" ht="148.85" customHeight="1" thickBot="1" x14ac:dyDescent="0.55000000000000004">
      <c r="A112" t="s">
        <v>8061</v>
      </c>
      <c r="B112" t="str">
        <f t="shared" si="3"/>
        <v xml:space="preserve"> Oliver</v>
      </c>
      <c r="C112" s="278"/>
    </row>
    <row r="113" spans="1:3" ht="58.2" customHeight="1" thickBot="1" x14ac:dyDescent="0.55000000000000004">
      <c r="A113" s="288" t="s">
        <v>8197</v>
      </c>
      <c r="B113" t="str">
        <f t="shared" si="3"/>
        <v>"Ned Kelly"</v>
      </c>
      <c r="C113" s="278"/>
    </row>
    <row r="114" spans="1:3" ht="23.45" customHeight="1" thickBot="1" x14ac:dyDescent="0.55000000000000004">
      <c r="C114" s="278"/>
    </row>
    <row r="115" spans="1:3" ht="34.85" customHeight="1" thickBot="1" x14ac:dyDescent="0.55000000000000004">
      <c r="C115" s="278"/>
    </row>
    <row r="116" spans="1:3" ht="23.45" customHeight="1" thickBot="1" x14ac:dyDescent="0.55000000000000004">
      <c r="C116" s="278"/>
    </row>
    <row r="117" spans="1:3" ht="58.2" customHeight="1" thickBot="1" x14ac:dyDescent="0.55000000000000004">
      <c r="C117" s="278"/>
    </row>
    <row r="118" spans="1:3" ht="23.45" customHeight="1" thickBot="1" x14ac:dyDescent="0.55000000000000004">
      <c r="C118" s="278"/>
    </row>
    <row r="119" spans="1:3" ht="43.85" customHeight="1" thickBot="1" x14ac:dyDescent="0.55000000000000004">
      <c r="C119" s="278"/>
    </row>
    <row r="120" spans="1:3" ht="14.7" thickBot="1" x14ac:dyDescent="0.55000000000000004">
      <c r="C120" s="278"/>
    </row>
    <row r="121" spans="1:3" ht="69" customHeight="1" thickBot="1" x14ac:dyDescent="0.55000000000000004">
      <c r="C121" s="278"/>
    </row>
    <row r="122" spans="1:3" ht="23.45" customHeight="1" thickBot="1" x14ac:dyDescent="0.55000000000000004">
      <c r="C122" s="278"/>
    </row>
    <row r="123" spans="1:3" ht="58.2" customHeight="1" thickBot="1" x14ac:dyDescent="0.55000000000000004">
      <c r="C123" s="278"/>
    </row>
    <row r="124" spans="1:3" ht="23.45" customHeight="1" thickBot="1" x14ac:dyDescent="0.55000000000000004">
      <c r="C124" s="278"/>
    </row>
    <row r="125" spans="1:3" ht="43.85" customHeight="1" thickBot="1" x14ac:dyDescent="0.55000000000000004">
      <c r="C125" s="278"/>
    </row>
    <row r="126" spans="1:3" ht="14.7" thickBot="1" x14ac:dyDescent="0.55000000000000004">
      <c r="C126" s="278"/>
    </row>
    <row r="127" spans="1:3" ht="57.6" customHeight="1" thickBot="1" x14ac:dyDescent="0.55000000000000004">
      <c r="C127" s="278"/>
    </row>
    <row r="128" spans="1:3" ht="22.85" customHeight="1" thickBot="1" x14ac:dyDescent="0.55000000000000004">
      <c r="C128" s="278"/>
    </row>
    <row r="129" ht="43.2" customHeight="1" x14ac:dyDescent="0.5"/>
    <row r="130" ht="22.85" customHeight="1" x14ac:dyDescent="0.5"/>
    <row r="131" ht="34.200000000000003" customHeight="1" x14ac:dyDescent="0.5"/>
    <row r="132" ht="68.45" customHeight="1" x14ac:dyDescent="0.5"/>
    <row r="133" ht="125.45" customHeight="1" x14ac:dyDescent="0.5"/>
    <row r="134" ht="91.2" customHeight="1" x14ac:dyDescent="0.5"/>
    <row r="135" ht="102.6" customHeight="1" x14ac:dyDescent="0.5"/>
    <row r="136" ht="144" customHeight="1" x14ac:dyDescent="0.5"/>
    <row r="137" ht="22.85" customHeight="1" x14ac:dyDescent="0.5"/>
    <row r="138" ht="296.45" customHeight="1" x14ac:dyDescent="0.5"/>
    <row r="139" ht="91.2" customHeight="1" x14ac:dyDescent="0.5"/>
    <row r="140" ht="72" customHeight="1" x14ac:dyDescent="0.5"/>
    <row r="141" ht="22.85" customHeight="1" x14ac:dyDescent="0.5"/>
    <row r="142" ht="22.85" customHeight="1" x14ac:dyDescent="0.5"/>
    <row r="143" ht="34.200000000000003" customHeight="1" x14ac:dyDescent="0.5"/>
    <row r="144" ht="57.6" customHeight="1" x14ac:dyDescent="0.5"/>
    <row r="145" ht="22.85" customHeight="1" x14ac:dyDescent="0.5"/>
    <row r="146" ht="22.85" customHeight="1" x14ac:dyDescent="0.5"/>
    <row r="147" ht="34.200000000000003" customHeight="1" x14ac:dyDescent="0.5"/>
    <row r="148" ht="79.849999999999994" customHeight="1" x14ac:dyDescent="0.5"/>
    <row r="149" ht="28.85" customHeight="1" x14ac:dyDescent="0.5"/>
    <row r="150" ht="22.85" customHeight="1" x14ac:dyDescent="0.5"/>
    <row r="151" ht="43.2" customHeight="1" x14ac:dyDescent="0.5"/>
    <row r="152" ht="22.85" customHeight="1" x14ac:dyDescent="0.5"/>
    <row r="153" ht="22.85" customHeight="1" x14ac:dyDescent="0.5"/>
    <row r="154" ht="148.19999999999999" customHeight="1" x14ac:dyDescent="0.5"/>
    <row r="155" ht="86.45" customHeight="1" x14ac:dyDescent="0.5"/>
    <row r="156" ht="22.85" customHeight="1" x14ac:dyDescent="0.5"/>
    <row r="157" ht="148.19999999999999" customHeight="1" x14ac:dyDescent="0.5"/>
    <row r="158" ht="86.45" customHeight="1" x14ac:dyDescent="0.5"/>
    <row r="159" ht="34.200000000000003" customHeight="1" x14ac:dyDescent="0.5"/>
    <row r="160" ht="86.45" customHeight="1" x14ac:dyDescent="0.5"/>
    <row r="161" ht="22.85" customHeight="1" x14ac:dyDescent="0.5"/>
    <row r="162" ht="43.2" customHeight="1" x14ac:dyDescent="0.5"/>
    <row r="163" ht="114" customHeight="1" x14ac:dyDescent="0.5"/>
    <row r="164" ht="79.849999999999994" customHeight="1" x14ac:dyDescent="0.5"/>
    <row r="165" ht="22.85" customHeight="1" x14ac:dyDescent="0.5"/>
    <row r="166" ht="34.200000000000003" customHeight="1" x14ac:dyDescent="0.5"/>
    <row r="167" ht="72" customHeight="1" x14ac:dyDescent="0.5"/>
    <row r="168" ht="22.85" customHeight="1" x14ac:dyDescent="0.5"/>
    <row r="169" ht="28.85" customHeight="1" x14ac:dyDescent="0.5"/>
    <row r="170" ht="34.200000000000003" customHeight="1" x14ac:dyDescent="0.5"/>
    <row r="171" ht="72" customHeight="1" x14ac:dyDescent="0.5"/>
    <row r="172" ht="34.200000000000003" customHeight="1" x14ac:dyDescent="0.5"/>
    <row r="173" ht="125.45" customHeight="1" x14ac:dyDescent="0.5"/>
    <row r="174" ht="22.85" customHeight="1" x14ac:dyDescent="0.5"/>
    <row r="175" ht="57.6" customHeight="1" x14ac:dyDescent="0.5"/>
    <row r="176" ht="45.6" customHeight="1" x14ac:dyDescent="0.5"/>
    <row r="177" ht="57.6" customHeight="1" x14ac:dyDescent="0.5"/>
    <row r="178" ht="22.85" customHeight="1" x14ac:dyDescent="0.5"/>
    <row r="179" ht="57.6" customHeight="1" x14ac:dyDescent="0.5"/>
    <row r="180" ht="22.85" customHeight="1" x14ac:dyDescent="0.5"/>
    <row r="181" ht="34.200000000000003" customHeight="1" x14ac:dyDescent="0.5"/>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78C6EE-1193-41EE-A085-0810EB3DFBCE}">
  <dimension ref="A1:L1642"/>
  <sheetViews>
    <sheetView topLeftCell="A49" workbookViewId="0">
      <selection activeCell="B1" sqref="B1:B82"/>
    </sheetView>
  </sheetViews>
  <sheetFormatPr defaultRowHeight="14.35" x14ac:dyDescent="0.5"/>
  <cols>
    <col min="1" max="1" width="14.41015625" bestFit="1" customWidth="1"/>
  </cols>
  <sheetData>
    <row r="1" spans="1:12" x14ac:dyDescent="0.5">
      <c r="A1" s="281" t="s">
        <v>7871</v>
      </c>
      <c r="B1" t="str">
        <f t="shared" ref="B1:B32" si="0">PROPER(A1)</f>
        <v>Chardae</v>
      </c>
    </row>
    <row r="2" spans="1:12" ht="14.7" thickBot="1" x14ac:dyDescent="0.55000000000000004">
      <c r="A2" s="281" t="s">
        <v>7872</v>
      </c>
      <c r="B2" t="str">
        <f t="shared" si="0"/>
        <v>Jenesis</v>
      </c>
    </row>
    <row r="3" spans="1:12" ht="14.7" thickBot="1" x14ac:dyDescent="0.55000000000000004">
      <c r="A3" s="281" t="s">
        <v>7873</v>
      </c>
      <c r="B3" t="str">
        <f t="shared" si="0"/>
        <v>Mattel</v>
      </c>
      <c r="C3" s="278"/>
      <c r="D3" s="279"/>
      <c r="E3" s="276"/>
      <c r="F3" s="277"/>
      <c r="H3" s="279"/>
      <c r="I3" s="276"/>
      <c r="J3" s="277"/>
      <c r="L3" s="279"/>
    </row>
    <row r="4" spans="1:12" ht="14.7" thickBot="1" x14ac:dyDescent="0.55000000000000004">
      <c r="A4" s="281" t="s">
        <v>7882</v>
      </c>
      <c r="B4" t="str">
        <f t="shared" si="0"/>
        <v>Sativa</v>
      </c>
      <c r="C4" s="278"/>
      <c r="D4" s="279"/>
      <c r="E4" s="276"/>
      <c r="F4" s="277"/>
      <c r="H4" s="279"/>
      <c r="I4" s="276"/>
      <c r="J4" s="277"/>
      <c r="L4" s="279"/>
    </row>
    <row r="5" spans="1:12" ht="14.7" thickBot="1" x14ac:dyDescent="0.55000000000000004">
      <c r="A5" s="281" t="s">
        <v>7883</v>
      </c>
      <c r="B5" t="str">
        <f t="shared" si="0"/>
        <v>Indica</v>
      </c>
      <c r="C5" s="278"/>
      <c r="D5" s="279"/>
      <c r="E5" s="276"/>
      <c r="F5" s="277"/>
      <c r="H5" s="279"/>
      <c r="I5" s="276"/>
      <c r="J5" s="277"/>
      <c r="L5" s="279"/>
    </row>
    <row r="6" spans="1:12" ht="14.7" thickBot="1" x14ac:dyDescent="0.55000000000000004">
      <c r="A6" s="281" t="s">
        <v>7874</v>
      </c>
      <c r="B6" t="str">
        <f t="shared" si="0"/>
        <v>Sharlet</v>
      </c>
      <c r="C6" s="278"/>
      <c r="D6" s="279"/>
      <c r="E6" s="276"/>
      <c r="F6" s="277"/>
      <c r="H6" s="279"/>
      <c r="I6" s="276"/>
      <c r="J6" s="277"/>
      <c r="L6" s="279"/>
    </row>
    <row r="7" spans="1:12" ht="14.7" thickBot="1" x14ac:dyDescent="0.55000000000000004">
      <c r="A7" s="281" t="s">
        <v>7875</v>
      </c>
      <c r="B7" t="str">
        <f t="shared" si="0"/>
        <v>Summerbreeze</v>
      </c>
      <c r="C7" s="278"/>
      <c r="D7" s="279"/>
      <c r="E7" s="276"/>
      <c r="F7" s="277"/>
      <c r="H7" s="279"/>
      <c r="I7" s="276"/>
      <c r="J7" s="277"/>
      <c r="L7" s="279"/>
    </row>
    <row r="8" spans="1:12" ht="14.7" thickBot="1" x14ac:dyDescent="0.55000000000000004">
      <c r="A8" s="281" t="s">
        <v>7876</v>
      </c>
      <c r="B8" t="str">
        <f t="shared" si="0"/>
        <v>Trynyty</v>
      </c>
      <c r="C8" s="278"/>
      <c r="D8" s="279"/>
      <c r="E8" s="276"/>
      <c r="F8" s="277"/>
      <c r="H8" s="279"/>
      <c r="I8" s="276"/>
      <c r="J8" s="277"/>
      <c r="L8" s="279"/>
    </row>
    <row r="9" spans="1:12" ht="14.7" thickBot="1" x14ac:dyDescent="0.55000000000000004">
      <c r="A9" s="281" t="s">
        <v>7880</v>
      </c>
      <c r="B9" t="str">
        <f t="shared" si="0"/>
        <v>Crystal</v>
      </c>
      <c r="C9" s="278"/>
      <c r="D9" s="279"/>
      <c r="E9" s="276"/>
      <c r="F9" s="277"/>
      <c r="H9" s="279"/>
      <c r="I9" s="276"/>
      <c r="J9" s="277"/>
      <c r="L9" s="279"/>
    </row>
    <row r="10" spans="1:12" ht="14.7" thickBot="1" x14ac:dyDescent="0.55000000000000004">
      <c r="A10" s="281" t="s">
        <v>7877</v>
      </c>
      <c r="B10" t="str">
        <f t="shared" si="0"/>
        <v>Velveeta</v>
      </c>
      <c r="C10" s="278"/>
      <c r="D10" s="279"/>
      <c r="E10" s="276"/>
      <c r="F10" s="277"/>
      <c r="H10" s="279"/>
      <c r="I10" s="276"/>
      <c r="J10" s="277"/>
      <c r="L10" s="279"/>
    </row>
    <row r="11" spans="1:12" ht="14.7" thickBot="1" x14ac:dyDescent="0.55000000000000004">
      <c r="A11" s="281" t="s">
        <v>7878</v>
      </c>
      <c r="B11" t="str">
        <f t="shared" si="0"/>
        <v>Wednezdai</v>
      </c>
      <c r="C11" s="278"/>
      <c r="D11" s="279"/>
      <c r="E11" s="276"/>
      <c r="F11" s="277"/>
      <c r="H11" s="279"/>
      <c r="I11" s="276"/>
      <c r="J11" s="277"/>
      <c r="L11" s="279"/>
    </row>
    <row r="12" spans="1:12" ht="14.7" thickBot="1" x14ac:dyDescent="0.55000000000000004">
      <c r="A12" s="281" t="s">
        <v>7879</v>
      </c>
      <c r="B12" t="str">
        <f t="shared" si="0"/>
        <v>Zacqueline</v>
      </c>
      <c r="C12" s="278"/>
      <c r="D12" s="279"/>
      <c r="E12" s="276"/>
      <c r="F12" s="277"/>
      <c r="H12" s="279"/>
      <c r="I12" s="276"/>
      <c r="J12" s="277"/>
      <c r="L12" s="279"/>
    </row>
    <row r="13" spans="1:12" ht="14.7" thickBot="1" x14ac:dyDescent="0.55000000000000004">
      <c r="A13" s="281" t="s">
        <v>7881</v>
      </c>
      <c r="B13" t="str">
        <f t="shared" si="0"/>
        <v>Yolo</v>
      </c>
      <c r="C13" s="278"/>
      <c r="D13" s="279"/>
      <c r="E13" s="276"/>
      <c r="F13" s="277"/>
      <c r="H13" s="279"/>
      <c r="I13" s="276"/>
      <c r="J13" s="277"/>
      <c r="L13" s="279"/>
    </row>
    <row r="14" spans="1:12" ht="14.7" thickBot="1" x14ac:dyDescent="0.55000000000000004">
      <c r="A14" s="281" t="s">
        <v>7825</v>
      </c>
      <c r="B14" t="str">
        <f t="shared" si="0"/>
        <v>Rachel</v>
      </c>
      <c r="C14" s="278"/>
      <c r="D14" s="279"/>
      <c r="E14" s="276"/>
      <c r="F14" s="277"/>
      <c r="H14" s="279"/>
      <c r="I14" s="276"/>
      <c r="J14" s="277"/>
      <c r="L14" s="279"/>
    </row>
    <row r="15" spans="1:12" ht="14.7" thickBot="1" x14ac:dyDescent="0.55000000000000004">
      <c r="A15" s="273" t="s">
        <v>7823</v>
      </c>
      <c r="B15" t="str">
        <f t="shared" si="0"/>
        <v>Sarah</v>
      </c>
      <c r="C15" s="278"/>
      <c r="D15" s="279"/>
      <c r="E15" s="276"/>
      <c r="F15" s="277"/>
      <c r="H15" s="279"/>
      <c r="I15" s="276"/>
      <c r="J15" s="277"/>
      <c r="L15" s="279"/>
    </row>
    <row r="16" spans="1:12" ht="14.7" thickBot="1" x14ac:dyDescent="0.55000000000000004">
      <c r="A16" s="282" t="s">
        <v>7884</v>
      </c>
      <c r="B16" t="str">
        <f t="shared" si="0"/>
        <v>Carryn</v>
      </c>
      <c r="C16" s="278"/>
      <c r="D16" s="279"/>
      <c r="E16" s="276"/>
      <c r="F16" s="277"/>
      <c r="H16" s="279"/>
      <c r="I16" s="276"/>
      <c r="J16" s="277"/>
      <c r="L16" s="279"/>
    </row>
    <row r="17" spans="1:12" ht="14.7" thickBot="1" x14ac:dyDescent="0.55000000000000004">
      <c r="A17" s="282" t="s">
        <v>7885</v>
      </c>
      <c r="B17" t="str">
        <f t="shared" si="0"/>
        <v>Chablis</v>
      </c>
      <c r="C17" s="278"/>
      <c r="D17" s="279"/>
      <c r="E17" s="276"/>
      <c r="F17" s="277"/>
      <c r="H17" s="279"/>
      <c r="I17" s="276"/>
      <c r="J17" s="277"/>
      <c r="L17" s="279"/>
    </row>
    <row r="18" spans="1:12" ht="14.7" thickBot="1" x14ac:dyDescent="0.55000000000000004">
      <c r="A18" s="282" t="s">
        <v>7886</v>
      </c>
      <c r="B18" t="str">
        <f t="shared" si="0"/>
        <v>Corona</v>
      </c>
      <c r="C18" s="278"/>
      <c r="D18" s="279"/>
      <c r="E18" s="276"/>
      <c r="F18" s="277"/>
      <c r="H18" s="279"/>
      <c r="I18" s="276"/>
      <c r="J18" s="277"/>
      <c r="L18" s="279"/>
    </row>
    <row r="19" spans="1:12" ht="14.7" thickBot="1" x14ac:dyDescent="0.55000000000000004">
      <c r="A19" s="282" t="s">
        <v>7887</v>
      </c>
      <c r="B19" t="str">
        <f t="shared" si="0"/>
        <v>Graceland</v>
      </c>
      <c r="C19" s="278"/>
      <c r="D19" s="279"/>
      <c r="E19" s="276"/>
      <c r="F19" s="277"/>
      <c r="H19" s="279"/>
      <c r="I19" s="276"/>
      <c r="J19" s="277"/>
      <c r="L19" s="279"/>
    </row>
    <row r="20" spans="1:12" ht="14.7" thickBot="1" x14ac:dyDescent="0.55000000000000004">
      <c r="A20" s="282" t="s">
        <v>7888</v>
      </c>
      <c r="B20" t="str">
        <f t="shared" si="0"/>
        <v>Honestee</v>
      </c>
      <c r="C20" s="278"/>
      <c r="D20" s="279"/>
      <c r="E20" s="276"/>
      <c r="F20" s="277"/>
      <c r="H20" s="279"/>
      <c r="I20" s="276"/>
      <c r="J20" s="277"/>
      <c r="L20" s="279"/>
    </row>
    <row r="21" spans="1:12" ht="14.7" thickBot="1" x14ac:dyDescent="0.55000000000000004">
      <c r="A21" s="282" t="s">
        <v>7889</v>
      </c>
      <c r="B21" t="str">
        <f t="shared" si="0"/>
        <v>Jezzabella</v>
      </c>
      <c r="C21" s="278"/>
      <c r="D21" s="279"/>
      <c r="E21" s="276"/>
      <c r="F21" s="277"/>
      <c r="H21" s="279"/>
      <c r="I21" s="276"/>
      <c r="J21" s="277"/>
      <c r="L21" s="279"/>
    </row>
    <row r="22" spans="1:12" ht="14.7" thickBot="1" x14ac:dyDescent="0.55000000000000004">
      <c r="A22" s="282" t="s">
        <v>7890</v>
      </c>
      <c r="B22" t="str">
        <f t="shared" si="0"/>
        <v>Jinx</v>
      </c>
      <c r="C22" s="278"/>
      <c r="D22" s="279"/>
      <c r="E22" s="276"/>
      <c r="F22" s="277"/>
      <c r="H22" s="279"/>
      <c r="I22" s="276"/>
      <c r="J22" s="277"/>
      <c r="L22" s="279"/>
    </row>
    <row r="23" spans="1:12" ht="14.7" thickBot="1" x14ac:dyDescent="0.55000000000000004">
      <c r="A23" s="282" t="s">
        <v>7891</v>
      </c>
      <c r="B23" t="str">
        <f t="shared" si="0"/>
        <v>Jumelle</v>
      </c>
      <c r="C23" s="278"/>
      <c r="D23" s="279"/>
      <c r="E23" s="276"/>
      <c r="F23" s="277"/>
      <c r="H23" s="279"/>
      <c r="I23" s="276"/>
      <c r="J23" s="277"/>
      <c r="L23" s="279"/>
    </row>
    <row r="24" spans="1:12" ht="16" thickBot="1" x14ac:dyDescent="0.55000000000000004">
      <c r="A24" s="283" t="s">
        <v>7902</v>
      </c>
      <c r="B24" t="str">
        <f t="shared" si="0"/>
        <v>Anomaly</v>
      </c>
      <c r="C24" s="278"/>
      <c r="D24" s="279"/>
      <c r="E24" s="276"/>
      <c r="F24" s="277"/>
      <c r="H24" s="279"/>
      <c r="I24" s="276"/>
      <c r="J24" s="277"/>
      <c r="L24" s="279"/>
    </row>
    <row r="25" spans="1:12" ht="16" thickBot="1" x14ac:dyDescent="0.55000000000000004">
      <c r="A25" s="283" t="s">
        <v>7903</v>
      </c>
      <c r="B25" t="str">
        <f t="shared" si="0"/>
        <v>Antwohnette</v>
      </c>
      <c r="C25" s="278"/>
      <c r="D25" s="279"/>
      <c r="E25" s="276"/>
      <c r="F25" s="277"/>
      <c r="H25" s="279"/>
      <c r="I25" s="276"/>
      <c r="J25" s="277"/>
      <c r="L25" s="279"/>
    </row>
    <row r="26" spans="1:12" ht="16" thickBot="1" x14ac:dyDescent="0.55000000000000004">
      <c r="A26" s="283" t="s">
        <v>7904</v>
      </c>
      <c r="B26" t="str">
        <f t="shared" si="0"/>
        <v>Charmayanne</v>
      </c>
      <c r="C26" s="278"/>
      <c r="D26" s="279"/>
      <c r="E26" s="276"/>
      <c r="F26" s="277"/>
      <c r="H26" s="279"/>
      <c r="I26" s="276"/>
      <c r="J26" s="277"/>
      <c r="L26" s="279"/>
    </row>
    <row r="27" spans="1:12" ht="16" thickBot="1" x14ac:dyDescent="0.55000000000000004">
      <c r="A27" s="283" t="s">
        <v>6735</v>
      </c>
      <c r="B27" t="str">
        <f t="shared" si="0"/>
        <v>Panda</v>
      </c>
      <c r="C27" s="278"/>
      <c r="D27" s="279"/>
      <c r="E27" s="276"/>
      <c r="F27" s="277"/>
      <c r="H27" s="279"/>
      <c r="I27" s="276"/>
      <c r="J27" s="277"/>
    </row>
    <row r="28" spans="1:12" ht="16" thickBot="1" x14ac:dyDescent="0.55000000000000004">
      <c r="A28" s="283" t="s">
        <v>7905</v>
      </c>
      <c r="B28" t="str">
        <f t="shared" si="0"/>
        <v>Sianna-Marrie</v>
      </c>
      <c r="C28" s="278"/>
    </row>
    <row r="29" spans="1:12" ht="16" thickBot="1" x14ac:dyDescent="0.55000000000000004">
      <c r="A29" s="283" t="s">
        <v>7906</v>
      </c>
      <c r="B29" t="str">
        <f t="shared" si="0"/>
        <v>Snowdrop</v>
      </c>
      <c r="C29" s="278"/>
    </row>
    <row r="30" spans="1:12" ht="16" thickBot="1" x14ac:dyDescent="0.55000000000000004">
      <c r="A30" s="283" t="s">
        <v>7907</v>
      </c>
      <c r="B30" t="str">
        <f t="shared" si="0"/>
        <v>Starlette</v>
      </c>
      <c r="C30" s="278"/>
    </row>
    <row r="31" spans="1:12" ht="16" thickBot="1" x14ac:dyDescent="0.55000000000000004">
      <c r="A31" s="283" t="s">
        <v>7908</v>
      </c>
      <c r="B31" t="str">
        <f t="shared" si="0"/>
        <v>Velvette</v>
      </c>
      <c r="C31" s="278"/>
    </row>
    <row r="32" spans="1:12" ht="16" thickBot="1" x14ac:dyDescent="0.55000000000000004">
      <c r="A32" s="283" t="s">
        <v>7909</v>
      </c>
      <c r="B32" t="str">
        <f t="shared" si="0"/>
        <v>Vin'Nyla</v>
      </c>
      <c r="C32" s="278"/>
    </row>
    <row r="33" spans="1:3" ht="16" thickBot="1" x14ac:dyDescent="0.55000000000000004">
      <c r="A33" s="283" t="s">
        <v>7910</v>
      </c>
      <c r="B33" t="str">
        <f t="shared" ref="B33:B64" si="1">PROPER(A33)</f>
        <v>Windy</v>
      </c>
      <c r="C33" s="278"/>
    </row>
    <row r="34" spans="1:3" ht="16" thickBot="1" x14ac:dyDescent="0.55000000000000004">
      <c r="A34" s="283" t="s">
        <v>7931</v>
      </c>
      <c r="B34" t="str">
        <f t="shared" si="1"/>
        <v>Chavelle</v>
      </c>
      <c r="C34" s="278"/>
    </row>
    <row r="35" spans="1:3" ht="16" thickBot="1" x14ac:dyDescent="0.55000000000000004">
      <c r="A35" s="283" t="s">
        <v>7932</v>
      </c>
      <c r="B35" t="str">
        <f t="shared" si="1"/>
        <v>Espirit</v>
      </c>
      <c r="C35" s="278"/>
    </row>
    <row r="36" spans="1:3" ht="16" thickBot="1" x14ac:dyDescent="0.55000000000000004">
      <c r="A36" s="283" t="s">
        <v>7933</v>
      </c>
      <c r="B36" t="str">
        <f t="shared" si="1"/>
        <v>Galaxcia</v>
      </c>
      <c r="C36" s="278"/>
    </row>
    <row r="37" spans="1:3" ht="16" thickBot="1" x14ac:dyDescent="0.55000000000000004">
      <c r="A37" s="283" t="s">
        <v>7934</v>
      </c>
      <c r="B37" t="str">
        <f t="shared" si="1"/>
        <v>Heavyn</v>
      </c>
      <c r="C37" s="278"/>
    </row>
    <row r="38" spans="1:3" ht="16" thickBot="1" x14ac:dyDescent="0.55000000000000004">
      <c r="A38" s="283" t="s">
        <v>7935</v>
      </c>
      <c r="B38" t="str">
        <f t="shared" si="1"/>
        <v>Tannyyn</v>
      </c>
      <c r="C38" s="278"/>
    </row>
    <row r="39" spans="1:3" ht="16" thickBot="1" x14ac:dyDescent="0.55000000000000004">
      <c r="A39" s="283" t="s">
        <v>7936</v>
      </c>
      <c r="B39" t="str">
        <f t="shared" si="1"/>
        <v>Wayve</v>
      </c>
      <c r="C39" s="278"/>
    </row>
    <row r="40" spans="1:3" ht="16" thickBot="1" x14ac:dyDescent="0.55000000000000004">
      <c r="A40" s="283" t="s">
        <v>7937</v>
      </c>
      <c r="B40" t="str">
        <f t="shared" si="1"/>
        <v>Lahnii</v>
      </c>
      <c r="C40" s="278"/>
    </row>
    <row r="41" spans="1:3" ht="16" thickBot="1" x14ac:dyDescent="0.55000000000000004">
      <c r="A41" s="283" t="s">
        <v>7938</v>
      </c>
      <c r="B41" t="str">
        <f t="shared" si="1"/>
        <v>Ryliee</v>
      </c>
      <c r="C41" s="278"/>
    </row>
    <row r="42" spans="1:3" ht="16" thickBot="1" x14ac:dyDescent="0.55000000000000004">
      <c r="A42" s="283" t="s">
        <v>7939</v>
      </c>
      <c r="B42" t="str">
        <f t="shared" si="1"/>
        <v>Shaelyn</v>
      </c>
      <c r="C42" s="278"/>
    </row>
    <row r="43" spans="1:3" ht="16" thickBot="1" x14ac:dyDescent="0.55000000000000004">
      <c r="A43" s="283" t="s">
        <v>7940</v>
      </c>
      <c r="B43" t="str">
        <f t="shared" si="1"/>
        <v>Silverina</v>
      </c>
      <c r="C43" s="278"/>
    </row>
    <row r="44" spans="1:3" ht="14.7" thickBot="1" x14ac:dyDescent="0.55000000000000004">
      <c r="A44" s="284" t="s">
        <v>7951</v>
      </c>
      <c r="B44" t="str">
        <f t="shared" si="1"/>
        <v>Alize</v>
      </c>
      <c r="C44" s="278"/>
    </row>
    <row r="45" spans="1:3" ht="14.7" thickBot="1" x14ac:dyDescent="0.55000000000000004">
      <c r="A45" s="284" t="s">
        <v>7952</v>
      </c>
      <c r="B45" t="str">
        <f t="shared" si="1"/>
        <v>Dijon</v>
      </c>
      <c r="C45" s="278"/>
    </row>
    <row r="46" spans="1:3" ht="14.7" thickBot="1" x14ac:dyDescent="0.55000000000000004">
      <c r="A46" s="284" t="s">
        <v>7953</v>
      </c>
      <c r="B46" t="str">
        <f t="shared" si="1"/>
        <v>Enivid</v>
      </c>
      <c r="C46" s="278"/>
    </row>
    <row r="47" spans="1:3" ht="14.7" thickBot="1" x14ac:dyDescent="0.55000000000000004">
      <c r="A47" s="284" t="s">
        <v>7954</v>
      </c>
      <c r="B47" t="str">
        <f t="shared" si="1"/>
        <v>Feebi</v>
      </c>
      <c r="C47" s="278"/>
    </row>
    <row r="48" spans="1:3" ht="14.7" thickBot="1" x14ac:dyDescent="0.55000000000000004">
      <c r="A48" s="284" t="s">
        <v>7955</v>
      </c>
      <c r="B48" t="str">
        <f t="shared" si="1"/>
        <v>Harleen</v>
      </c>
      <c r="C48" s="278"/>
    </row>
    <row r="49" spans="1:3" ht="14.7" thickBot="1" x14ac:dyDescent="0.55000000000000004">
      <c r="A49" s="284" t="s">
        <v>7956</v>
      </c>
      <c r="B49" t="str">
        <f t="shared" si="1"/>
        <v>Jazlyn</v>
      </c>
      <c r="C49" s="278"/>
    </row>
    <row r="50" spans="1:3" ht="14.7" thickBot="1" x14ac:dyDescent="0.55000000000000004">
      <c r="A50" s="284" t="s">
        <v>7957</v>
      </c>
      <c r="B50" t="str">
        <f t="shared" si="1"/>
        <v>Kiranda</v>
      </c>
      <c r="C50" s="278"/>
    </row>
    <row r="51" spans="1:3" ht="14.7" thickBot="1" x14ac:dyDescent="0.55000000000000004">
      <c r="A51" s="284" t="s">
        <v>7958</v>
      </c>
      <c r="B51" t="str">
        <f t="shared" si="1"/>
        <v>Mignon</v>
      </c>
      <c r="C51" s="278"/>
    </row>
    <row r="52" spans="1:3" ht="14.7" thickBot="1" x14ac:dyDescent="0.55000000000000004">
      <c r="A52" s="284" t="s">
        <v>7959</v>
      </c>
      <c r="B52" t="str">
        <f t="shared" si="1"/>
        <v>Vejonica</v>
      </c>
      <c r="C52" s="278"/>
    </row>
    <row r="53" spans="1:3" ht="14.7" thickBot="1" x14ac:dyDescent="0.55000000000000004">
      <c r="A53" s="284" t="s">
        <v>7960</v>
      </c>
      <c r="B53" t="str">
        <f t="shared" si="1"/>
        <v>Zyla</v>
      </c>
      <c r="C53" s="278"/>
    </row>
    <row r="54" spans="1:3" ht="14.7" thickBot="1" x14ac:dyDescent="0.55000000000000004">
      <c r="A54" s="286" t="s">
        <v>7970</v>
      </c>
      <c r="B54" t="str">
        <f t="shared" si="1"/>
        <v>Beautiful</v>
      </c>
      <c r="C54" s="278"/>
    </row>
    <row r="55" spans="1:3" ht="14.7" thickBot="1" x14ac:dyDescent="0.55000000000000004">
      <c r="A55" s="286" t="s">
        <v>7971</v>
      </c>
      <c r="B55" t="str">
        <f t="shared" si="1"/>
        <v>Braelyn </v>
      </c>
      <c r="C55" s="278"/>
    </row>
    <row r="56" spans="1:3" ht="14.7" thickBot="1" x14ac:dyDescent="0.55000000000000004">
      <c r="A56" s="286" t="s">
        <v>7972</v>
      </c>
      <c r="B56" t="str">
        <f t="shared" si="1"/>
        <v>Cheryldine</v>
      </c>
      <c r="C56" s="278"/>
    </row>
    <row r="57" spans="1:3" ht="14.7" thickBot="1" x14ac:dyDescent="0.55000000000000004">
      <c r="A57" s="286" t="s">
        <v>7973</v>
      </c>
      <c r="B57" t="str">
        <f t="shared" si="1"/>
        <v>D’Nyell</v>
      </c>
      <c r="C57" s="278"/>
    </row>
    <row r="58" spans="1:3" ht="14.7" thickBot="1" x14ac:dyDescent="0.55000000000000004">
      <c r="A58" s="286" t="s">
        <v>7974</v>
      </c>
      <c r="B58" t="str">
        <f t="shared" si="1"/>
        <v>Ever</v>
      </c>
      <c r="C58" s="278"/>
    </row>
    <row r="59" spans="1:3" ht="14.7" thickBot="1" x14ac:dyDescent="0.55000000000000004">
      <c r="A59" s="286" t="s">
        <v>7975</v>
      </c>
      <c r="B59" t="str">
        <f t="shared" si="1"/>
        <v>Kyly</v>
      </c>
      <c r="C59" s="278"/>
    </row>
    <row r="60" spans="1:3" ht="14.7" thickBot="1" x14ac:dyDescent="0.55000000000000004">
      <c r="A60" s="286" t="s">
        <v>7976</v>
      </c>
      <c r="B60" t="str">
        <f t="shared" si="1"/>
        <v>Mckyla</v>
      </c>
      <c r="C60" s="278"/>
    </row>
    <row r="61" spans="1:3" ht="14.7" thickBot="1" x14ac:dyDescent="0.55000000000000004">
      <c r="A61" s="286" t="s">
        <v>7977</v>
      </c>
      <c r="B61" t="str">
        <f t="shared" si="1"/>
        <v>Truely </v>
      </c>
      <c r="C61" s="278"/>
    </row>
    <row r="62" spans="1:3" ht="14.7" thickBot="1" x14ac:dyDescent="0.55000000000000004">
      <c r="A62" s="286" t="s">
        <v>7978</v>
      </c>
      <c r="B62" t="str">
        <f t="shared" si="1"/>
        <v>Younique</v>
      </c>
      <c r="C62" s="278"/>
    </row>
    <row r="63" spans="1:3" ht="14.7" thickBot="1" x14ac:dyDescent="0.55000000000000004">
      <c r="A63" t="s">
        <v>7989</v>
      </c>
      <c r="B63" t="str">
        <f t="shared" si="1"/>
        <v xml:space="preserve"> Caprice</v>
      </c>
      <c r="C63" s="278"/>
    </row>
    <row r="64" spans="1:3" ht="14.7" thickBot="1" x14ac:dyDescent="0.55000000000000004">
      <c r="A64" t="s">
        <v>7990</v>
      </c>
      <c r="B64" t="str">
        <f t="shared" si="1"/>
        <v xml:space="preserve"> Cheyenne</v>
      </c>
      <c r="C64" s="278"/>
    </row>
    <row r="65" spans="1:3" ht="14.7" thickBot="1" x14ac:dyDescent="0.55000000000000004">
      <c r="A65" t="s">
        <v>7991</v>
      </c>
      <c r="B65" t="str">
        <f t="shared" ref="B65:B72" si="2">PROPER(A65)</f>
        <v xml:space="preserve"> Jorja</v>
      </c>
      <c r="C65" s="278"/>
    </row>
    <row r="66" spans="1:3" ht="14.7" thickBot="1" x14ac:dyDescent="0.55000000000000004">
      <c r="A66" t="s">
        <v>7992</v>
      </c>
      <c r="B66" t="str">
        <f t="shared" si="2"/>
        <v xml:space="preserve"> Mercedes</v>
      </c>
      <c r="C66" s="278"/>
    </row>
    <row r="67" spans="1:3" ht="14.7" thickBot="1" x14ac:dyDescent="0.55000000000000004">
      <c r="A67" t="s">
        <v>7993</v>
      </c>
      <c r="B67" t="str">
        <f t="shared" si="2"/>
        <v xml:space="preserve"> Nevaeh</v>
      </c>
      <c r="C67" s="278"/>
    </row>
    <row r="68" spans="1:3" ht="14.7" thickBot="1" x14ac:dyDescent="0.55000000000000004">
      <c r="A68" t="s">
        <v>7994</v>
      </c>
      <c r="B68" t="str">
        <f t="shared" si="2"/>
        <v xml:space="preserve"> Princ'Ess</v>
      </c>
      <c r="C68" s="278"/>
    </row>
    <row r="69" spans="1:3" ht="14.7" thickBot="1" x14ac:dyDescent="0.55000000000000004">
      <c r="A69" t="s">
        <v>7995</v>
      </c>
      <c r="B69" t="str">
        <f t="shared" si="2"/>
        <v xml:space="preserve"> Rybekkah</v>
      </c>
      <c r="C69" s="278"/>
    </row>
    <row r="70" spans="1:3" ht="14.7" thickBot="1" x14ac:dyDescent="0.55000000000000004">
      <c r="A70" t="s">
        <v>7996</v>
      </c>
      <c r="B70" t="str">
        <f t="shared" si="2"/>
        <v xml:space="preserve"> Shiraz</v>
      </c>
      <c r="C70" s="278"/>
    </row>
    <row r="71" spans="1:3" ht="14.7" thickBot="1" x14ac:dyDescent="0.55000000000000004">
      <c r="A71" t="s">
        <v>7997</v>
      </c>
      <c r="B71" t="str">
        <f t="shared" si="2"/>
        <v xml:space="preserve"> Skylah</v>
      </c>
      <c r="C71" s="278"/>
    </row>
    <row r="72" spans="1:3" ht="14.7" thickBot="1" x14ac:dyDescent="0.55000000000000004">
      <c r="A72" t="s">
        <v>7998</v>
      </c>
      <c r="B72" t="str">
        <f t="shared" si="2"/>
        <v xml:space="preserve"> Vegas</v>
      </c>
      <c r="C72" s="278"/>
    </row>
    <row r="73" spans="1:3" ht="14.7" thickBot="1" x14ac:dyDescent="0.55000000000000004">
      <c r="A73" s="288" t="s">
        <v>8001</v>
      </c>
      <c r="B73" t="str">
        <f t="shared" ref="B73:B82" si="3">PROPER(A73)</f>
        <v>Nevaeh</v>
      </c>
      <c r="C73" s="278"/>
    </row>
    <row r="74" spans="1:3" ht="14.7" thickBot="1" x14ac:dyDescent="0.55000000000000004">
      <c r="A74" s="288" t="s">
        <v>7933</v>
      </c>
      <c r="B74" t="str">
        <f t="shared" si="3"/>
        <v>Galaxcia</v>
      </c>
      <c r="C74" s="278"/>
    </row>
    <row r="75" spans="1:3" ht="14.7" thickBot="1" x14ac:dyDescent="0.55000000000000004">
      <c r="A75" s="288" t="s">
        <v>8002</v>
      </c>
      <c r="B75" t="str">
        <f t="shared" si="3"/>
        <v>Jayden</v>
      </c>
      <c r="C75" s="278"/>
    </row>
    <row r="76" spans="1:3" x14ac:dyDescent="0.5">
      <c r="A76" s="288" t="s">
        <v>8005</v>
      </c>
      <c r="B76" t="str">
        <f t="shared" si="3"/>
        <v>Feebi</v>
      </c>
    </row>
    <row r="77" spans="1:3" x14ac:dyDescent="0.5">
      <c r="A77" s="288" t="s">
        <v>8006</v>
      </c>
      <c r="B77" t="str">
        <f t="shared" si="3"/>
        <v>Beryl</v>
      </c>
    </row>
    <row r="78" spans="1:3" x14ac:dyDescent="0.5">
      <c r="A78" s="288" t="s">
        <v>7935</v>
      </c>
      <c r="B78" t="str">
        <f t="shared" si="3"/>
        <v>Tannyyn</v>
      </c>
    </row>
    <row r="79" spans="1:3" x14ac:dyDescent="0.5">
      <c r="A79" s="288" t="s">
        <v>7938</v>
      </c>
      <c r="B79" t="str">
        <f t="shared" si="3"/>
        <v>Ryliee</v>
      </c>
    </row>
    <row r="80" spans="1:3" x14ac:dyDescent="0.5">
      <c r="A80" s="288" t="s">
        <v>8007</v>
      </c>
      <c r="B80" t="str">
        <f t="shared" si="3"/>
        <v>Rybekkah</v>
      </c>
    </row>
    <row r="81" spans="1:2" x14ac:dyDescent="0.5">
      <c r="A81" s="288" t="s">
        <v>8195</v>
      </c>
      <c r="B81" t="str">
        <f t="shared" si="3"/>
        <v>Charlotte</v>
      </c>
    </row>
    <row r="82" spans="1:2" x14ac:dyDescent="0.5">
      <c r="A82" s="288" t="s">
        <v>8213</v>
      </c>
      <c r="B82" t="str">
        <f t="shared" si="3"/>
        <v>Summer</v>
      </c>
    </row>
    <row r="1642" spans="12:12" x14ac:dyDescent="0.5">
      <c r="L1642" s="274"/>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8C6221-9CAA-47B5-8643-CD0413131040}">
  <dimension ref="A1:E174"/>
  <sheetViews>
    <sheetView topLeftCell="A130" workbookViewId="0">
      <selection activeCell="C2" sqref="C2"/>
    </sheetView>
  </sheetViews>
  <sheetFormatPr defaultRowHeight="14.35" x14ac:dyDescent="0.5"/>
  <sheetData>
    <row r="1" spans="1:5" x14ac:dyDescent="0.5">
      <c r="A1" t="s">
        <v>8244</v>
      </c>
      <c r="B1" t="s">
        <v>8245</v>
      </c>
      <c r="C1" t="s">
        <v>8337</v>
      </c>
      <c r="D1" t="s">
        <v>8338</v>
      </c>
      <c r="E1" t="s">
        <v>8339</v>
      </c>
    </row>
    <row r="2" spans="1:5" x14ac:dyDescent="0.5">
      <c r="A2" s="288" t="s">
        <v>8308</v>
      </c>
      <c r="B2" t="s">
        <v>7806</v>
      </c>
      <c r="C2" s="288" t="s">
        <v>7811</v>
      </c>
      <c r="D2" t="s">
        <v>7806</v>
      </c>
      <c r="E2" s="288" t="s">
        <v>8292</v>
      </c>
    </row>
    <row r="3" spans="1:5" x14ac:dyDescent="0.5">
      <c r="A3" s="288" t="s">
        <v>8309</v>
      </c>
      <c r="B3" t="s">
        <v>8291</v>
      </c>
      <c r="C3" s="288" t="s">
        <v>7854</v>
      </c>
      <c r="D3" t="s">
        <v>8291</v>
      </c>
      <c r="E3" s="288" t="s">
        <v>8293</v>
      </c>
    </row>
    <row r="4" spans="1:5" x14ac:dyDescent="0.5">
      <c r="A4" s="288" t="s">
        <v>8310</v>
      </c>
      <c r="B4" t="s">
        <v>8250</v>
      </c>
      <c r="C4" s="288" t="s">
        <v>8279</v>
      </c>
      <c r="D4" t="s">
        <v>8250</v>
      </c>
      <c r="E4" s="288" t="s">
        <v>8295</v>
      </c>
    </row>
    <row r="5" spans="1:5" x14ac:dyDescent="0.5">
      <c r="A5" s="288" t="s">
        <v>8311</v>
      </c>
      <c r="B5" t="s">
        <v>8251</v>
      </c>
      <c r="C5" s="288" t="s">
        <v>8280</v>
      </c>
      <c r="D5" t="s">
        <v>8251</v>
      </c>
      <c r="E5" s="288" t="s">
        <v>8294</v>
      </c>
    </row>
    <row r="6" spans="1:5" x14ac:dyDescent="0.5">
      <c r="A6" s="288" t="s">
        <v>8312</v>
      </c>
      <c r="B6" t="s">
        <v>8252</v>
      </c>
      <c r="C6" s="288" t="s">
        <v>8281</v>
      </c>
      <c r="D6" t="s">
        <v>8252</v>
      </c>
      <c r="E6" s="288" t="s">
        <v>8296</v>
      </c>
    </row>
    <row r="7" spans="1:5" x14ac:dyDescent="0.5">
      <c r="A7" s="288" t="s">
        <v>8313</v>
      </c>
      <c r="B7" t="s">
        <v>8253</v>
      </c>
      <c r="C7" s="288" t="s">
        <v>7766</v>
      </c>
      <c r="D7" t="s">
        <v>8253</v>
      </c>
      <c r="E7" s="288" t="s">
        <v>8297</v>
      </c>
    </row>
    <row r="8" spans="1:5" x14ac:dyDescent="0.5">
      <c r="A8" s="288" t="s">
        <v>8314</v>
      </c>
      <c r="B8" t="s">
        <v>8254</v>
      </c>
      <c r="C8" s="288" t="s">
        <v>8282</v>
      </c>
      <c r="D8" t="s">
        <v>8254</v>
      </c>
      <c r="E8" s="288" t="s">
        <v>8298</v>
      </c>
    </row>
    <row r="9" spans="1:5" x14ac:dyDescent="0.5">
      <c r="A9" s="288" t="s">
        <v>8315</v>
      </c>
      <c r="B9" t="s">
        <v>8257</v>
      </c>
      <c r="C9" s="288" t="s">
        <v>8284</v>
      </c>
      <c r="D9" t="s">
        <v>8257</v>
      </c>
      <c r="E9" s="288" t="s">
        <v>8299</v>
      </c>
    </row>
    <row r="10" spans="1:5" x14ac:dyDescent="0.5">
      <c r="A10" s="288" t="s">
        <v>8316</v>
      </c>
      <c r="B10" t="s">
        <v>8259</v>
      </c>
      <c r="C10" s="288" t="s">
        <v>8448</v>
      </c>
      <c r="D10" t="s">
        <v>8259</v>
      </c>
      <c r="E10" s="288" t="s">
        <v>8300</v>
      </c>
    </row>
    <row r="11" spans="1:5" x14ac:dyDescent="0.5">
      <c r="A11" s="288" t="s">
        <v>8302</v>
      </c>
      <c r="B11" t="s">
        <v>8260</v>
      </c>
      <c r="C11" s="288" t="s">
        <v>8283</v>
      </c>
      <c r="D11" t="s">
        <v>8260</v>
      </c>
      <c r="E11" s="288" t="s">
        <v>8301</v>
      </c>
    </row>
    <row r="12" spans="1:5" x14ac:dyDescent="0.5">
      <c r="A12" s="288" t="s">
        <v>8304</v>
      </c>
      <c r="B12" t="s">
        <v>8261</v>
      </c>
      <c r="C12" s="288" t="s">
        <v>8321</v>
      </c>
      <c r="D12" t="s">
        <v>8261</v>
      </c>
      <c r="E12" s="288" t="s">
        <v>8303</v>
      </c>
    </row>
    <row r="13" spans="1:5" x14ac:dyDescent="0.5">
      <c r="A13" s="288" t="s">
        <v>8317</v>
      </c>
      <c r="B13" t="s">
        <v>8263</v>
      </c>
      <c r="C13" s="288" t="s">
        <v>7799</v>
      </c>
      <c r="D13" t="s">
        <v>8263</v>
      </c>
      <c r="E13" s="288" t="s">
        <v>8305</v>
      </c>
    </row>
    <row r="14" spans="1:5" x14ac:dyDescent="0.5">
      <c r="A14" s="288" t="s">
        <v>8318</v>
      </c>
      <c r="B14" t="s">
        <v>8264</v>
      </c>
      <c r="C14" s="288" t="s">
        <v>8286</v>
      </c>
      <c r="D14" t="s">
        <v>8264</v>
      </c>
      <c r="E14" s="288" t="s">
        <v>8319</v>
      </c>
    </row>
    <row r="15" spans="1:5" x14ac:dyDescent="0.5">
      <c r="A15" s="288" t="s">
        <v>8320</v>
      </c>
      <c r="B15" t="s">
        <v>8265</v>
      </c>
      <c r="C15" s="288" t="s">
        <v>8285</v>
      </c>
      <c r="D15" t="s">
        <v>8265</v>
      </c>
      <c r="E15" s="288" t="s">
        <v>8429</v>
      </c>
    </row>
    <row r="16" spans="1:5" x14ac:dyDescent="0.5">
      <c r="A16" s="288" t="s">
        <v>8321</v>
      </c>
      <c r="B16" t="s">
        <v>7767</v>
      </c>
      <c r="C16" s="288" t="s">
        <v>7783</v>
      </c>
      <c r="D16" t="s">
        <v>7767</v>
      </c>
      <c r="E16" s="288" t="s">
        <v>8430</v>
      </c>
    </row>
    <row r="17" spans="1:5" x14ac:dyDescent="0.5">
      <c r="A17" s="288" t="s">
        <v>8322</v>
      </c>
      <c r="B17" t="s">
        <v>7791</v>
      </c>
      <c r="C17" s="288" t="s">
        <v>7828</v>
      </c>
      <c r="D17" t="s">
        <v>7791</v>
      </c>
      <c r="E17" s="288" t="s">
        <v>8431</v>
      </c>
    </row>
    <row r="18" spans="1:5" x14ac:dyDescent="0.5">
      <c r="A18" s="288" t="s">
        <v>8323</v>
      </c>
      <c r="B18" t="s">
        <v>8267</v>
      </c>
      <c r="C18" s="288" t="s">
        <v>8287</v>
      </c>
      <c r="D18" t="s">
        <v>8267</v>
      </c>
      <c r="E18" s="288" t="s">
        <v>8432</v>
      </c>
    </row>
    <row r="19" spans="1:5" x14ac:dyDescent="0.5">
      <c r="A19" s="288" t="s">
        <v>8324</v>
      </c>
      <c r="B19" t="s">
        <v>8268</v>
      </c>
      <c r="C19" s="288" t="s">
        <v>8288</v>
      </c>
      <c r="D19" t="s">
        <v>8268</v>
      </c>
      <c r="E19" s="288" t="s">
        <v>8433</v>
      </c>
    </row>
    <row r="20" spans="1:5" x14ac:dyDescent="0.5">
      <c r="A20" s="288" t="s">
        <v>8325</v>
      </c>
      <c r="B20" t="s">
        <v>8269</v>
      </c>
      <c r="C20" s="288" t="s">
        <v>7780</v>
      </c>
      <c r="D20" t="s">
        <v>8269</v>
      </c>
      <c r="E20" s="288" t="s">
        <v>8325</v>
      </c>
    </row>
    <row r="21" spans="1:5" x14ac:dyDescent="0.5">
      <c r="A21" s="288" t="s">
        <v>8326</v>
      </c>
      <c r="B21" t="s">
        <v>8321</v>
      </c>
      <c r="C21" s="288" t="s">
        <v>8289</v>
      </c>
      <c r="D21" t="s">
        <v>8321</v>
      </c>
      <c r="E21" s="288" t="s">
        <v>8434</v>
      </c>
    </row>
    <row r="22" spans="1:5" x14ac:dyDescent="0.5">
      <c r="A22" s="288" t="s">
        <v>8327</v>
      </c>
      <c r="B22" t="s">
        <v>8270</v>
      </c>
      <c r="C22" s="288" t="s">
        <v>7767</v>
      </c>
      <c r="D22" t="s">
        <v>8270</v>
      </c>
      <c r="E22" s="288" t="s">
        <v>8435</v>
      </c>
    </row>
    <row r="23" spans="1:5" x14ac:dyDescent="0.5">
      <c r="A23" s="288" t="s">
        <v>8328</v>
      </c>
      <c r="B23" t="s">
        <v>8272</v>
      </c>
      <c r="C23" s="288" t="s">
        <v>7836</v>
      </c>
      <c r="D23" t="s">
        <v>8272</v>
      </c>
      <c r="E23" s="288" t="s">
        <v>8436</v>
      </c>
    </row>
    <row r="24" spans="1:5" x14ac:dyDescent="0.5">
      <c r="A24" s="288" t="s">
        <v>8329</v>
      </c>
      <c r="B24" t="s">
        <v>8273</v>
      </c>
      <c r="C24" s="288" t="s">
        <v>8034</v>
      </c>
      <c r="D24" t="s">
        <v>8273</v>
      </c>
      <c r="E24" s="288" t="s">
        <v>8437</v>
      </c>
    </row>
    <row r="25" spans="1:5" x14ac:dyDescent="0.5">
      <c r="A25" s="288" t="s">
        <v>8330</v>
      </c>
      <c r="B25" t="s">
        <v>8274</v>
      </c>
      <c r="C25" s="288" t="s">
        <v>7850</v>
      </c>
      <c r="D25" t="s">
        <v>8274</v>
      </c>
      <c r="E25" s="288" t="s">
        <v>8438</v>
      </c>
    </row>
    <row r="26" spans="1:5" x14ac:dyDescent="0.5">
      <c r="A26" s="288" t="s">
        <v>8006</v>
      </c>
      <c r="B26" t="s">
        <v>8275</v>
      </c>
      <c r="C26" s="288" t="s">
        <v>7822</v>
      </c>
      <c r="D26" t="s">
        <v>8275</v>
      </c>
      <c r="E26" s="288" t="s">
        <v>8439</v>
      </c>
    </row>
    <row r="27" spans="1:5" x14ac:dyDescent="0.5">
      <c r="A27" s="288" t="s">
        <v>8331</v>
      </c>
      <c r="B27" t="s">
        <v>8276</v>
      </c>
      <c r="C27" t="s">
        <v>7843</v>
      </c>
      <c r="D27" t="s">
        <v>8276</v>
      </c>
      <c r="E27" s="288" t="s">
        <v>8333</v>
      </c>
    </row>
    <row r="28" spans="1:5" x14ac:dyDescent="0.5">
      <c r="A28" s="288" t="s">
        <v>8332</v>
      </c>
      <c r="B28" t="s">
        <v>8277</v>
      </c>
      <c r="C28" t="s">
        <v>7772</v>
      </c>
      <c r="D28" t="s">
        <v>8277</v>
      </c>
      <c r="E28" s="288" t="s">
        <v>8334</v>
      </c>
    </row>
    <row r="29" spans="1:5" x14ac:dyDescent="0.5">
      <c r="A29" s="288" t="s">
        <v>8335</v>
      </c>
      <c r="B29" t="s">
        <v>8278</v>
      </c>
      <c r="C29" t="s">
        <v>7803</v>
      </c>
      <c r="D29" t="s">
        <v>8278</v>
      </c>
      <c r="E29" s="288" t="s">
        <v>8306</v>
      </c>
    </row>
    <row r="30" spans="1:5" x14ac:dyDescent="0.5">
      <c r="A30" s="288" t="s">
        <v>8307</v>
      </c>
      <c r="B30" s="288" t="s">
        <v>8008</v>
      </c>
      <c r="C30" t="s">
        <v>7809</v>
      </c>
      <c r="D30" s="288" t="s">
        <v>7811</v>
      </c>
      <c r="E30" s="288" t="s">
        <v>8440</v>
      </c>
    </row>
    <row r="31" spans="1:5" x14ac:dyDescent="0.5">
      <c r="A31" s="288" t="s">
        <v>8031</v>
      </c>
      <c r="B31" s="288" t="s">
        <v>8009</v>
      </c>
      <c r="C31" t="s">
        <v>7815</v>
      </c>
      <c r="D31" s="288" t="s">
        <v>7854</v>
      </c>
      <c r="E31" s="288" t="s">
        <v>8441</v>
      </c>
    </row>
    <row r="32" spans="1:5" x14ac:dyDescent="0.5">
      <c r="A32" s="288" t="s">
        <v>8390</v>
      </c>
      <c r="B32" s="288" t="s">
        <v>8010</v>
      </c>
      <c r="C32" t="s">
        <v>7798</v>
      </c>
      <c r="D32" s="288" t="s">
        <v>8279</v>
      </c>
      <c r="E32" s="288" t="s">
        <v>8442</v>
      </c>
    </row>
    <row r="33" spans="1:5" x14ac:dyDescent="0.5">
      <c r="A33" s="288" t="s">
        <v>8413</v>
      </c>
      <c r="B33" s="288" t="s">
        <v>8011</v>
      </c>
      <c r="C33" t="s">
        <v>7806</v>
      </c>
      <c r="D33" s="288" t="s">
        <v>8280</v>
      </c>
      <c r="E33" s="288" t="s">
        <v>8443</v>
      </c>
    </row>
    <row r="34" spans="1:5" x14ac:dyDescent="0.5">
      <c r="A34" s="288" t="s">
        <v>8414</v>
      </c>
      <c r="B34" s="288" t="s">
        <v>8312</v>
      </c>
      <c r="C34" t="s">
        <v>7820</v>
      </c>
      <c r="D34" s="288" t="s">
        <v>8281</v>
      </c>
      <c r="E34" s="288" t="s">
        <v>7836</v>
      </c>
    </row>
    <row r="35" spans="1:5" x14ac:dyDescent="0.5">
      <c r="A35" s="288" t="s">
        <v>8415</v>
      </c>
      <c r="B35" s="288" t="s">
        <v>8013</v>
      </c>
      <c r="C35" t="s">
        <v>7775</v>
      </c>
      <c r="D35" s="288" t="s">
        <v>7766</v>
      </c>
      <c r="E35" s="288" t="s">
        <v>8444</v>
      </c>
    </row>
    <row r="36" spans="1:5" x14ac:dyDescent="0.5">
      <c r="A36" s="288" t="s">
        <v>8034</v>
      </c>
      <c r="B36" s="288" t="s">
        <v>8014</v>
      </c>
      <c r="C36" t="s">
        <v>8340</v>
      </c>
      <c r="D36" s="288" t="s">
        <v>8282</v>
      </c>
      <c r="E36" s="288" t="s">
        <v>8417</v>
      </c>
    </row>
    <row r="37" spans="1:5" x14ac:dyDescent="0.5">
      <c r="A37" s="288" t="s">
        <v>8416</v>
      </c>
      <c r="B37" s="288" t="s">
        <v>8015</v>
      </c>
      <c r="C37" t="s">
        <v>8341</v>
      </c>
      <c r="D37" s="288" t="s">
        <v>8284</v>
      </c>
      <c r="E37" s="288" t="s">
        <v>8290</v>
      </c>
    </row>
    <row r="38" spans="1:5" x14ac:dyDescent="0.5">
      <c r="A38" s="288" t="s">
        <v>8418</v>
      </c>
      <c r="B38" s="288" t="s">
        <v>8016</v>
      </c>
      <c r="C38" t="s">
        <v>7829</v>
      </c>
      <c r="D38" s="288" t="s">
        <v>8448</v>
      </c>
      <c r="E38" s="288" t="s">
        <v>8445</v>
      </c>
    </row>
    <row r="39" spans="1:5" x14ac:dyDescent="0.5">
      <c r="A39" t="s">
        <v>7843</v>
      </c>
      <c r="B39" s="288" t="s">
        <v>8017</v>
      </c>
      <c r="C39" t="s">
        <v>8343</v>
      </c>
      <c r="D39" s="288" t="s">
        <v>8283</v>
      </c>
      <c r="E39" t="s">
        <v>8342</v>
      </c>
    </row>
    <row r="40" spans="1:5" x14ac:dyDescent="0.5">
      <c r="A40" t="s">
        <v>7772</v>
      </c>
      <c r="B40" s="288" t="s">
        <v>8018</v>
      </c>
      <c r="C40" t="s">
        <v>8344</v>
      </c>
      <c r="D40" s="288" t="s">
        <v>7799</v>
      </c>
      <c r="E40" t="s">
        <v>7772</v>
      </c>
    </row>
    <row r="41" spans="1:5" x14ac:dyDescent="0.5">
      <c r="A41" t="s">
        <v>7767</v>
      </c>
      <c r="B41" s="288" t="s">
        <v>8019</v>
      </c>
      <c r="C41" t="s">
        <v>8345</v>
      </c>
      <c r="D41" s="288" t="s">
        <v>8286</v>
      </c>
      <c r="E41" t="s">
        <v>8446</v>
      </c>
    </row>
    <row r="42" spans="1:5" x14ac:dyDescent="0.5">
      <c r="A42" t="s">
        <v>7803</v>
      </c>
      <c r="B42" s="288" t="s">
        <v>8020</v>
      </c>
      <c r="C42" t="s">
        <v>7833</v>
      </c>
      <c r="D42" s="288" t="s">
        <v>8285</v>
      </c>
      <c r="E42" t="s">
        <v>8291</v>
      </c>
    </row>
    <row r="43" spans="1:5" x14ac:dyDescent="0.5">
      <c r="A43" t="s">
        <v>8347</v>
      </c>
      <c r="B43" s="288" t="s">
        <v>8320</v>
      </c>
      <c r="C43" t="s">
        <v>7855</v>
      </c>
      <c r="D43" s="288" t="s">
        <v>7783</v>
      </c>
      <c r="E43" t="s">
        <v>8346</v>
      </c>
    </row>
    <row r="44" spans="1:5" x14ac:dyDescent="0.5">
      <c r="A44" t="s">
        <v>7815</v>
      </c>
      <c r="B44" s="288" t="s">
        <v>8322</v>
      </c>
      <c r="C44" t="s">
        <v>8349</v>
      </c>
      <c r="D44" s="288" t="s">
        <v>7828</v>
      </c>
      <c r="E44" t="s">
        <v>8389</v>
      </c>
    </row>
    <row r="45" spans="1:5" x14ac:dyDescent="0.5">
      <c r="A45" t="s">
        <v>7798</v>
      </c>
      <c r="B45" s="288" t="s">
        <v>8323</v>
      </c>
      <c r="C45" t="s">
        <v>8203</v>
      </c>
      <c r="D45" s="288" t="s">
        <v>8287</v>
      </c>
      <c r="E45" t="s">
        <v>8350</v>
      </c>
    </row>
    <row r="46" spans="1:5" x14ac:dyDescent="0.5">
      <c r="A46" t="s">
        <v>7806</v>
      </c>
      <c r="B46" s="288" t="s">
        <v>8324</v>
      </c>
      <c r="C46" t="s">
        <v>7831</v>
      </c>
      <c r="D46" s="288" t="s">
        <v>8288</v>
      </c>
      <c r="E46" t="s">
        <v>7806</v>
      </c>
    </row>
    <row r="47" spans="1:5" x14ac:dyDescent="0.5">
      <c r="A47" t="s">
        <v>7820</v>
      </c>
      <c r="B47" s="288" t="s">
        <v>8325</v>
      </c>
      <c r="C47" t="s">
        <v>8336</v>
      </c>
      <c r="D47" s="288" t="s">
        <v>7780</v>
      </c>
      <c r="E47" t="s">
        <v>7820</v>
      </c>
    </row>
    <row r="48" spans="1:5" x14ac:dyDescent="0.5">
      <c r="A48" t="s">
        <v>7775</v>
      </c>
      <c r="B48" s="288" t="s">
        <v>8326</v>
      </c>
      <c r="C48" t="s">
        <v>7830</v>
      </c>
      <c r="D48" s="288" t="s">
        <v>8289</v>
      </c>
      <c r="E48" t="s">
        <v>7775</v>
      </c>
    </row>
    <row r="49" spans="1:5" x14ac:dyDescent="0.5">
      <c r="A49" t="s">
        <v>8340</v>
      </c>
      <c r="B49" s="288" t="s">
        <v>8327</v>
      </c>
      <c r="C49" t="s">
        <v>8351</v>
      </c>
      <c r="D49" s="288" t="s">
        <v>7836</v>
      </c>
      <c r="E49" t="s">
        <v>8340</v>
      </c>
    </row>
    <row r="50" spans="1:5" x14ac:dyDescent="0.5">
      <c r="A50" t="s">
        <v>8341</v>
      </c>
      <c r="B50" s="288" t="s">
        <v>8328</v>
      </c>
      <c r="C50" t="s">
        <v>8352</v>
      </c>
      <c r="D50" s="288" t="s">
        <v>8034</v>
      </c>
      <c r="E50" t="s">
        <v>8341</v>
      </c>
    </row>
    <row r="51" spans="1:5" x14ac:dyDescent="0.5">
      <c r="A51" t="s">
        <v>7829</v>
      </c>
      <c r="B51" s="288" t="s">
        <v>8329</v>
      </c>
      <c r="C51" t="s">
        <v>7832</v>
      </c>
      <c r="D51" s="288" t="s">
        <v>7850</v>
      </c>
      <c r="E51" t="s">
        <v>7829</v>
      </c>
    </row>
    <row r="52" spans="1:5" x14ac:dyDescent="0.5">
      <c r="A52" t="s">
        <v>8343</v>
      </c>
      <c r="B52" s="288" t="s">
        <v>8330</v>
      </c>
      <c r="C52" t="s">
        <v>8353</v>
      </c>
      <c r="D52" s="288" t="s">
        <v>7822</v>
      </c>
      <c r="E52" t="s">
        <v>8343</v>
      </c>
    </row>
    <row r="53" spans="1:5" x14ac:dyDescent="0.5">
      <c r="A53" t="s">
        <v>8344</v>
      </c>
      <c r="B53" s="288" t="s">
        <v>8006</v>
      </c>
      <c r="C53" t="s">
        <v>8354</v>
      </c>
      <c r="D53" t="s">
        <v>7843</v>
      </c>
      <c r="E53" t="s">
        <v>8344</v>
      </c>
    </row>
    <row r="54" spans="1:5" x14ac:dyDescent="0.5">
      <c r="A54" t="s">
        <v>8345</v>
      </c>
      <c r="B54" s="288" t="s">
        <v>8331</v>
      </c>
      <c r="C54" t="s">
        <v>8355</v>
      </c>
      <c r="D54" t="s">
        <v>7772</v>
      </c>
      <c r="E54" t="s">
        <v>8345</v>
      </c>
    </row>
    <row r="55" spans="1:5" x14ac:dyDescent="0.5">
      <c r="A55" t="s">
        <v>7833</v>
      </c>
      <c r="B55" s="288" t="s">
        <v>8332</v>
      </c>
      <c r="C55" t="s">
        <v>7793</v>
      </c>
      <c r="D55" t="s">
        <v>7803</v>
      </c>
      <c r="E55" t="s">
        <v>7833</v>
      </c>
    </row>
    <row r="56" spans="1:5" x14ac:dyDescent="0.5">
      <c r="A56" t="s">
        <v>7855</v>
      </c>
      <c r="B56" s="288" t="s">
        <v>8335</v>
      </c>
      <c r="C56" t="s">
        <v>8389</v>
      </c>
      <c r="D56" t="s">
        <v>7809</v>
      </c>
      <c r="E56" t="s">
        <v>7855</v>
      </c>
    </row>
    <row r="57" spans="1:5" x14ac:dyDescent="0.5">
      <c r="A57" t="s">
        <v>8349</v>
      </c>
      <c r="B57" s="288" t="s">
        <v>8307</v>
      </c>
      <c r="C57" t="s">
        <v>8356</v>
      </c>
      <c r="D57" t="s">
        <v>7815</v>
      </c>
      <c r="E57" t="s">
        <v>8349</v>
      </c>
    </row>
    <row r="58" spans="1:5" x14ac:dyDescent="0.5">
      <c r="A58" t="s">
        <v>8203</v>
      </c>
      <c r="B58" s="288" t="s">
        <v>8031</v>
      </c>
      <c r="C58" t="s">
        <v>7800</v>
      </c>
      <c r="D58" t="s">
        <v>7798</v>
      </c>
      <c r="E58" t="s">
        <v>8203</v>
      </c>
    </row>
    <row r="59" spans="1:5" x14ac:dyDescent="0.5">
      <c r="A59" t="s">
        <v>7831</v>
      </c>
      <c r="B59" s="288" t="s">
        <v>8390</v>
      </c>
      <c r="C59" t="s">
        <v>7776</v>
      </c>
      <c r="D59" t="s">
        <v>7820</v>
      </c>
      <c r="E59" t="s">
        <v>7831</v>
      </c>
    </row>
    <row r="60" spans="1:5" x14ac:dyDescent="0.5">
      <c r="A60" t="s">
        <v>8336</v>
      </c>
      <c r="B60" s="288" t="s">
        <v>8413</v>
      </c>
      <c r="C60" t="s">
        <v>8357</v>
      </c>
      <c r="D60" t="s">
        <v>7775</v>
      </c>
      <c r="E60" t="s">
        <v>8336</v>
      </c>
    </row>
    <row r="61" spans="1:5" x14ac:dyDescent="0.5">
      <c r="A61" t="s">
        <v>7830</v>
      </c>
      <c r="B61" s="288" t="s">
        <v>8414</v>
      </c>
      <c r="C61" t="s">
        <v>7781</v>
      </c>
      <c r="D61" t="s">
        <v>8340</v>
      </c>
      <c r="E61" t="s">
        <v>7830</v>
      </c>
    </row>
    <row r="62" spans="1:5" x14ac:dyDescent="0.5">
      <c r="A62" t="s">
        <v>8351</v>
      </c>
      <c r="B62" s="288" t="s">
        <v>8415</v>
      </c>
      <c r="C62" t="s">
        <v>7842</v>
      </c>
      <c r="D62" t="s">
        <v>8341</v>
      </c>
      <c r="E62" t="s">
        <v>8351</v>
      </c>
    </row>
    <row r="63" spans="1:5" x14ac:dyDescent="0.5">
      <c r="A63" t="s">
        <v>8352</v>
      </c>
      <c r="B63" s="288" t="s">
        <v>8034</v>
      </c>
      <c r="C63" t="s">
        <v>7857</v>
      </c>
      <c r="D63" t="s">
        <v>7829</v>
      </c>
      <c r="E63" t="s">
        <v>8352</v>
      </c>
    </row>
    <row r="64" spans="1:5" x14ac:dyDescent="0.5">
      <c r="A64" t="s">
        <v>7832</v>
      </c>
      <c r="B64" s="288" t="s">
        <v>8416</v>
      </c>
      <c r="C64" t="s">
        <v>7778</v>
      </c>
      <c r="D64" t="s">
        <v>8343</v>
      </c>
      <c r="E64" t="s">
        <v>7832</v>
      </c>
    </row>
    <row r="65" spans="1:5" x14ac:dyDescent="0.5">
      <c r="A65" t="s">
        <v>8353</v>
      </c>
      <c r="B65" s="288" t="s">
        <v>8418</v>
      </c>
      <c r="C65" t="s">
        <v>8358</v>
      </c>
      <c r="D65" t="s">
        <v>8344</v>
      </c>
      <c r="E65" t="s">
        <v>8353</v>
      </c>
    </row>
    <row r="66" spans="1:5" x14ac:dyDescent="0.5">
      <c r="A66" t="s">
        <v>8354</v>
      </c>
      <c r="B66" t="s">
        <v>7843</v>
      </c>
      <c r="C66" t="s">
        <v>455</v>
      </c>
      <c r="D66" t="s">
        <v>8345</v>
      </c>
      <c r="E66" t="s">
        <v>8354</v>
      </c>
    </row>
    <row r="67" spans="1:5" x14ac:dyDescent="0.5">
      <c r="A67" t="s">
        <v>8355</v>
      </c>
      <c r="B67" t="s">
        <v>7772</v>
      </c>
      <c r="C67" t="s">
        <v>8359</v>
      </c>
      <c r="D67" t="s">
        <v>7833</v>
      </c>
      <c r="E67" t="s">
        <v>8355</v>
      </c>
    </row>
    <row r="68" spans="1:5" x14ac:dyDescent="0.5">
      <c r="A68" t="s">
        <v>7793</v>
      </c>
      <c r="B68" t="s">
        <v>7803</v>
      </c>
      <c r="C68" t="s">
        <v>8360</v>
      </c>
      <c r="D68" t="s">
        <v>7855</v>
      </c>
      <c r="E68" t="s">
        <v>7793</v>
      </c>
    </row>
    <row r="69" spans="1:5" x14ac:dyDescent="0.5">
      <c r="A69" t="s">
        <v>8389</v>
      </c>
      <c r="B69" t="s">
        <v>7809</v>
      </c>
      <c r="C69" t="s">
        <v>8361</v>
      </c>
      <c r="D69" t="s">
        <v>8349</v>
      </c>
      <c r="E69" t="s">
        <v>8356</v>
      </c>
    </row>
    <row r="70" spans="1:5" x14ac:dyDescent="0.5">
      <c r="A70" t="s">
        <v>8356</v>
      </c>
      <c r="B70" t="s">
        <v>7815</v>
      </c>
      <c r="C70" t="s">
        <v>7810</v>
      </c>
      <c r="D70" t="s">
        <v>8203</v>
      </c>
      <c r="E70" t="s">
        <v>7800</v>
      </c>
    </row>
    <row r="71" spans="1:5" x14ac:dyDescent="0.5">
      <c r="A71" t="s">
        <v>7800</v>
      </c>
      <c r="B71" t="s">
        <v>7798</v>
      </c>
      <c r="C71" t="s">
        <v>7824</v>
      </c>
      <c r="D71" t="s">
        <v>7831</v>
      </c>
      <c r="E71" t="s">
        <v>7776</v>
      </c>
    </row>
    <row r="72" spans="1:5" x14ac:dyDescent="0.5">
      <c r="A72" t="s">
        <v>7776</v>
      </c>
      <c r="B72" t="s">
        <v>7820</v>
      </c>
      <c r="C72" t="s">
        <v>7819</v>
      </c>
      <c r="D72" t="s">
        <v>8336</v>
      </c>
      <c r="E72" t="s">
        <v>8357</v>
      </c>
    </row>
    <row r="73" spans="1:5" x14ac:dyDescent="0.5">
      <c r="A73" t="s">
        <v>8357</v>
      </c>
      <c r="B73" t="s">
        <v>7775</v>
      </c>
      <c r="C73" t="s">
        <v>7847</v>
      </c>
      <c r="D73" t="s">
        <v>7830</v>
      </c>
      <c r="E73" t="s">
        <v>7781</v>
      </c>
    </row>
    <row r="74" spans="1:5" x14ac:dyDescent="0.5">
      <c r="A74" t="s">
        <v>7781</v>
      </c>
      <c r="B74" t="s">
        <v>8340</v>
      </c>
      <c r="C74" t="s">
        <v>7844</v>
      </c>
      <c r="D74" t="s">
        <v>8351</v>
      </c>
      <c r="E74" t="s">
        <v>7842</v>
      </c>
    </row>
    <row r="75" spans="1:5" x14ac:dyDescent="0.5">
      <c r="A75" t="s">
        <v>7842</v>
      </c>
      <c r="B75" t="s">
        <v>8341</v>
      </c>
      <c r="C75" t="s">
        <v>7779</v>
      </c>
      <c r="D75" t="s">
        <v>8352</v>
      </c>
      <c r="E75" t="s">
        <v>7857</v>
      </c>
    </row>
    <row r="76" spans="1:5" x14ac:dyDescent="0.5">
      <c r="A76" t="s">
        <v>7857</v>
      </c>
      <c r="B76" t="s">
        <v>7829</v>
      </c>
      <c r="C76" t="s">
        <v>8362</v>
      </c>
      <c r="D76" t="s">
        <v>7832</v>
      </c>
      <c r="E76" t="s">
        <v>7778</v>
      </c>
    </row>
    <row r="77" spans="1:5" x14ac:dyDescent="0.5">
      <c r="A77" t="s">
        <v>7778</v>
      </c>
      <c r="B77" t="s">
        <v>8343</v>
      </c>
      <c r="C77" t="s">
        <v>8363</v>
      </c>
      <c r="D77" t="s">
        <v>8353</v>
      </c>
      <c r="E77" t="s">
        <v>8358</v>
      </c>
    </row>
    <row r="78" spans="1:5" x14ac:dyDescent="0.5">
      <c r="A78" t="s">
        <v>8358</v>
      </c>
      <c r="B78" t="s">
        <v>8344</v>
      </c>
      <c r="C78" t="s">
        <v>7769</v>
      </c>
      <c r="D78" t="s">
        <v>8354</v>
      </c>
      <c r="E78" t="s">
        <v>455</v>
      </c>
    </row>
    <row r="79" spans="1:5" x14ac:dyDescent="0.5">
      <c r="A79" t="s">
        <v>455</v>
      </c>
      <c r="B79" t="s">
        <v>8345</v>
      </c>
      <c r="C79" t="s">
        <v>8364</v>
      </c>
      <c r="D79" t="s">
        <v>8355</v>
      </c>
      <c r="E79" t="s">
        <v>8359</v>
      </c>
    </row>
    <row r="80" spans="1:5" x14ac:dyDescent="0.5">
      <c r="A80" t="s">
        <v>8359</v>
      </c>
      <c r="B80" t="s">
        <v>7833</v>
      </c>
      <c r="C80" t="s">
        <v>7807</v>
      </c>
      <c r="D80" t="s">
        <v>7793</v>
      </c>
      <c r="E80" t="s">
        <v>8360</v>
      </c>
    </row>
    <row r="81" spans="1:5" x14ac:dyDescent="0.5">
      <c r="A81" t="s">
        <v>8360</v>
      </c>
      <c r="B81" t="s">
        <v>7855</v>
      </c>
      <c r="C81" t="s">
        <v>8002</v>
      </c>
      <c r="D81" t="s">
        <v>8389</v>
      </c>
      <c r="E81" t="s">
        <v>8361</v>
      </c>
    </row>
    <row r="82" spans="1:5" x14ac:dyDescent="0.5">
      <c r="A82" t="s">
        <v>8361</v>
      </c>
      <c r="B82" t="s">
        <v>8349</v>
      </c>
      <c r="C82" t="s">
        <v>7792</v>
      </c>
      <c r="D82" t="s">
        <v>8356</v>
      </c>
      <c r="E82" t="s">
        <v>7810</v>
      </c>
    </row>
    <row r="83" spans="1:5" x14ac:dyDescent="0.5">
      <c r="A83" t="s">
        <v>7810</v>
      </c>
      <c r="B83" t="s">
        <v>8203</v>
      </c>
      <c r="C83" t="s">
        <v>7849</v>
      </c>
      <c r="D83" t="s">
        <v>7800</v>
      </c>
      <c r="E83" t="s">
        <v>7824</v>
      </c>
    </row>
    <row r="84" spans="1:5" x14ac:dyDescent="0.5">
      <c r="A84" t="s">
        <v>7824</v>
      </c>
      <c r="B84" t="s">
        <v>7831</v>
      </c>
      <c r="C84" t="s">
        <v>8365</v>
      </c>
      <c r="D84" t="s">
        <v>7776</v>
      </c>
      <c r="E84" t="s">
        <v>7819</v>
      </c>
    </row>
    <row r="85" spans="1:5" x14ac:dyDescent="0.5">
      <c r="A85" t="s">
        <v>7819</v>
      </c>
      <c r="B85" t="s">
        <v>8336</v>
      </c>
      <c r="C85" t="s">
        <v>8366</v>
      </c>
      <c r="D85" t="s">
        <v>8357</v>
      </c>
      <c r="E85" t="s">
        <v>7847</v>
      </c>
    </row>
    <row r="86" spans="1:5" x14ac:dyDescent="0.5">
      <c r="A86" t="s">
        <v>7847</v>
      </c>
      <c r="B86" t="s">
        <v>7830</v>
      </c>
      <c r="C86" t="s">
        <v>8367</v>
      </c>
      <c r="D86" t="s">
        <v>7781</v>
      </c>
      <c r="E86" t="s">
        <v>7844</v>
      </c>
    </row>
    <row r="87" spans="1:5" x14ac:dyDescent="0.5">
      <c r="A87" t="s">
        <v>7844</v>
      </c>
      <c r="B87" t="s">
        <v>8351</v>
      </c>
      <c r="C87" t="s">
        <v>7796</v>
      </c>
      <c r="D87" t="s">
        <v>7842</v>
      </c>
      <c r="E87" t="s">
        <v>7779</v>
      </c>
    </row>
    <row r="88" spans="1:5" x14ac:dyDescent="0.5">
      <c r="A88" t="s">
        <v>7779</v>
      </c>
      <c r="B88" t="s">
        <v>8352</v>
      </c>
      <c r="C88" t="s">
        <v>8368</v>
      </c>
      <c r="D88" t="s">
        <v>7857</v>
      </c>
      <c r="E88" t="s">
        <v>8362</v>
      </c>
    </row>
    <row r="89" spans="1:5" x14ac:dyDescent="0.5">
      <c r="A89" t="s">
        <v>8362</v>
      </c>
      <c r="B89" t="s">
        <v>7832</v>
      </c>
      <c r="C89" t="s">
        <v>8369</v>
      </c>
      <c r="D89" t="s">
        <v>7778</v>
      </c>
      <c r="E89" t="s">
        <v>8363</v>
      </c>
    </row>
    <row r="90" spans="1:5" x14ac:dyDescent="0.5">
      <c r="A90" t="s">
        <v>8363</v>
      </c>
      <c r="B90" t="s">
        <v>8353</v>
      </c>
      <c r="C90" t="s">
        <v>8370</v>
      </c>
      <c r="D90" t="s">
        <v>8358</v>
      </c>
      <c r="E90" t="s">
        <v>7769</v>
      </c>
    </row>
    <row r="91" spans="1:5" x14ac:dyDescent="0.5">
      <c r="A91" t="s">
        <v>7769</v>
      </c>
      <c r="B91" t="s">
        <v>8354</v>
      </c>
      <c r="C91" t="s">
        <v>8371</v>
      </c>
      <c r="D91" t="s">
        <v>455</v>
      </c>
      <c r="E91" t="s">
        <v>8364</v>
      </c>
    </row>
    <row r="92" spans="1:5" x14ac:dyDescent="0.5">
      <c r="A92" t="s">
        <v>8364</v>
      </c>
      <c r="B92" t="s">
        <v>8355</v>
      </c>
      <c r="C92" t="s">
        <v>8372</v>
      </c>
      <c r="D92" t="s">
        <v>8359</v>
      </c>
      <c r="E92" t="s">
        <v>7807</v>
      </c>
    </row>
    <row r="93" spans="1:5" x14ac:dyDescent="0.5">
      <c r="A93" t="s">
        <v>7807</v>
      </c>
      <c r="B93" t="s">
        <v>7793</v>
      </c>
      <c r="C93" t="s">
        <v>8373</v>
      </c>
      <c r="D93" t="s">
        <v>8360</v>
      </c>
      <c r="E93" t="s">
        <v>8002</v>
      </c>
    </row>
    <row r="94" spans="1:5" x14ac:dyDescent="0.5">
      <c r="A94" t="s">
        <v>8002</v>
      </c>
      <c r="B94" t="s">
        <v>8389</v>
      </c>
      <c r="C94" t="s">
        <v>7858</v>
      </c>
      <c r="D94" t="s">
        <v>8361</v>
      </c>
      <c r="E94" t="s">
        <v>7792</v>
      </c>
    </row>
    <row r="95" spans="1:5" x14ac:dyDescent="0.5">
      <c r="A95" t="s">
        <v>7792</v>
      </c>
      <c r="B95" t="s">
        <v>8356</v>
      </c>
      <c r="C95" t="s">
        <v>7840</v>
      </c>
      <c r="D95" t="s">
        <v>7810</v>
      </c>
      <c r="E95" t="s">
        <v>7849</v>
      </c>
    </row>
    <row r="96" spans="1:5" x14ac:dyDescent="0.5">
      <c r="A96" t="s">
        <v>7849</v>
      </c>
      <c r="B96" t="s">
        <v>7800</v>
      </c>
      <c r="C96" t="s">
        <v>7813</v>
      </c>
      <c r="D96" t="s">
        <v>7824</v>
      </c>
      <c r="E96" t="s">
        <v>8365</v>
      </c>
    </row>
    <row r="97" spans="1:5" x14ac:dyDescent="0.5">
      <c r="A97" t="s">
        <v>8365</v>
      </c>
      <c r="B97" t="s">
        <v>7776</v>
      </c>
      <c r="C97" t="s">
        <v>7785</v>
      </c>
      <c r="D97" t="s">
        <v>7819</v>
      </c>
      <c r="E97" t="s">
        <v>8366</v>
      </c>
    </row>
    <row r="98" spans="1:5" x14ac:dyDescent="0.5">
      <c r="A98" t="s">
        <v>8366</v>
      </c>
      <c r="B98" t="s">
        <v>8357</v>
      </c>
      <c r="C98" t="s">
        <v>8374</v>
      </c>
      <c r="D98" t="s">
        <v>7847</v>
      </c>
      <c r="E98" t="s">
        <v>8367</v>
      </c>
    </row>
    <row r="99" spans="1:5" x14ac:dyDescent="0.5">
      <c r="A99" t="s">
        <v>8367</v>
      </c>
      <c r="B99" t="s">
        <v>7781</v>
      </c>
      <c r="C99" t="s">
        <v>8375</v>
      </c>
      <c r="D99" t="s">
        <v>7844</v>
      </c>
      <c r="E99" t="s">
        <v>7796</v>
      </c>
    </row>
    <row r="100" spans="1:5" x14ac:dyDescent="0.5">
      <c r="A100" t="s">
        <v>7796</v>
      </c>
      <c r="B100" t="s">
        <v>7842</v>
      </c>
      <c r="C100" t="s">
        <v>7838</v>
      </c>
      <c r="D100" t="s">
        <v>7779</v>
      </c>
      <c r="E100" t="s">
        <v>8368</v>
      </c>
    </row>
    <row r="101" spans="1:5" x14ac:dyDescent="0.5">
      <c r="A101" t="s">
        <v>8368</v>
      </c>
      <c r="B101" t="s">
        <v>7857</v>
      </c>
      <c r="C101" t="s">
        <v>7812</v>
      </c>
      <c r="D101" t="s">
        <v>8362</v>
      </c>
      <c r="E101" t="s">
        <v>8369</v>
      </c>
    </row>
    <row r="102" spans="1:5" x14ac:dyDescent="0.5">
      <c r="A102" t="s">
        <v>8369</v>
      </c>
      <c r="B102" t="s">
        <v>7778</v>
      </c>
      <c r="C102" t="s">
        <v>8388</v>
      </c>
      <c r="D102" t="s">
        <v>8363</v>
      </c>
      <c r="E102" t="s">
        <v>8370</v>
      </c>
    </row>
    <row r="103" spans="1:5" x14ac:dyDescent="0.5">
      <c r="A103" t="s">
        <v>8370</v>
      </c>
      <c r="B103" t="s">
        <v>8358</v>
      </c>
      <c r="C103" t="s">
        <v>8376</v>
      </c>
      <c r="D103" t="s">
        <v>7769</v>
      </c>
      <c r="E103" t="s">
        <v>8371</v>
      </c>
    </row>
    <row r="104" spans="1:5" x14ac:dyDescent="0.5">
      <c r="A104" t="s">
        <v>8371</v>
      </c>
      <c r="B104" t="s">
        <v>455</v>
      </c>
      <c r="C104" t="s">
        <v>8377</v>
      </c>
      <c r="D104" t="s">
        <v>8364</v>
      </c>
      <c r="E104" t="s">
        <v>8372</v>
      </c>
    </row>
    <row r="105" spans="1:5" x14ac:dyDescent="0.5">
      <c r="A105" t="s">
        <v>8372</v>
      </c>
      <c r="B105" t="s">
        <v>8359</v>
      </c>
      <c r="C105" t="s">
        <v>8378</v>
      </c>
      <c r="D105" t="s">
        <v>7807</v>
      </c>
      <c r="E105" t="s">
        <v>8373</v>
      </c>
    </row>
    <row r="106" spans="1:5" x14ac:dyDescent="0.5">
      <c r="A106" t="s">
        <v>8373</v>
      </c>
      <c r="B106" t="s">
        <v>8360</v>
      </c>
      <c r="C106" t="s">
        <v>7777</v>
      </c>
      <c r="D106" t="s">
        <v>8002</v>
      </c>
      <c r="E106" t="s">
        <v>7858</v>
      </c>
    </row>
    <row r="107" spans="1:5" x14ac:dyDescent="0.5">
      <c r="A107" t="s">
        <v>7858</v>
      </c>
      <c r="B107" t="s">
        <v>8361</v>
      </c>
      <c r="C107" t="s">
        <v>7834</v>
      </c>
      <c r="D107" t="s">
        <v>7792</v>
      </c>
      <c r="E107" t="s">
        <v>7840</v>
      </c>
    </row>
    <row r="108" spans="1:5" x14ac:dyDescent="0.5">
      <c r="A108" t="s">
        <v>7840</v>
      </c>
      <c r="B108" t="s">
        <v>7810</v>
      </c>
      <c r="C108" t="s">
        <v>8387</v>
      </c>
      <c r="D108" t="s">
        <v>7849</v>
      </c>
      <c r="E108" t="s">
        <v>7813</v>
      </c>
    </row>
    <row r="109" spans="1:5" x14ac:dyDescent="0.5">
      <c r="A109" t="s">
        <v>7813</v>
      </c>
      <c r="B109" t="s">
        <v>7824</v>
      </c>
      <c r="C109" t="s">
        <v>8379</v>
      </c>
      <c r="D109" t="s">
        <v>8365</v>
      </c>
      <c r="E109" t="s">
        <v>7785</v>
      </c>
    </row>
    <row r="110" spans="1:5" x14ac:dyDescent="0.5">
      <c r="A110" t="s">
        <v>7785</v>
      </c>
      <c r="B110" t="s">
        <v>7819</v>
      </c>
      <c r="C110" t="s">
        <v>7782</v>
      </c>
      <c r="D110" t="s">
        <v>8366</v>
      </c>
      <c r="E110" t="s">
        <v>8374</v>
      </c>
    </row>
    <row r="111" spans="1:5" x14ac:dyDescent="0.5">
      <c r="A111" t="s">
        <v>8374</v>
      </c>
      <c r="B111" t="s">
        <v>7847</v>
      </c>
      <c r="C111" t="s">
        <v>8386</v>
      </c>
      <c r="D111" t="s">
        <v>8367</v>
      </c>
      <c r="E111" t="s">
        <v>8375</v>
      </c>
    </row>
    <row r="112" spans="1:5" x14ac:dyDescent="0.5">
      <c r="A112" t="s">
        <v>8375</v>
      </c>
      <c r="B112" t="s">
        <v>7844</v>
      </c>
      <c r="C112" t="s">
        <v>8380</v>
      </c>
      <c r="D112" t="s">
        <v>7796</v>
      </c>
      <c r="E112" t="s">
        <v>7838</v>
      </c>
    </row>
    <row r="113" spans="1:5" x14ac:dyDescent="0.5">
      <c r="A113" t="s">
        <v>7838</v>
      </c>
      <c r="B113" t="s">
        <v>7779</v>
      </c>
      <c r="C113" t="s">
        <v>7805</v>
      </c>
      <c r="D113" t="s">
        <v>8368</v>
      </c>
      <c r="E113" t="s">
        <v>7835</v>
      </c>
    </row>
    <row r="114" spans="1:5" x14ac:dyDescent="0.5">
      <c r="A114" t="s">
        <v>7835</v>
      </c>
      <c r="B114" t="s">
        <v>8362</v>
      </c>
      <c r="C114" t="s">
        <v>8381</v>
      </c>
      <c r="D114" t="s">
        <v>8369</v>
      </c>
      <c r="E114" t="s">
        <v>7812</v>
      </c>
    </row>
    <row r="115" spans="1:5" x14ac:dyDescent="0.5">
      <c r="A115" t="s">
        <v>7812</v>
      </c>
      <c r="B115" t="s">
        <v>8363</v>
      </c>
      <c r="C115" t="s">
        <v>7856</v>
      </c>
      <c r="D115" t="s">
        <v>8370</v>
      </c>
      <c r="E115" t="s">
        <v>8388</v>
      </c>
    </row>
    <row r="116" spans="1:5" x14ac:dyDescent="0.5">
      <c r="A116" t="s">
        <v>8388</v>
      </c>
      <c r="B116" t="s">
        <v>7769</v>
      </c>
      <c r="C116" t="s">
        <v>7762</v>
      </c>
      <c r="D116" t="s">
        <v>8371</v>
      </c>
      <c r="E116" t="s">
        <v>8376</v>
      </c>
    </row>
    <row r="117" spans="1:5" x14ac:dyDescent="0.5">
      <c r="A117" t="s">
        <v>8376</v>
      </c>
      <c r="B117" t="s">
        <v>8364</v>
      </c>
      <c r="C117" t="s">
        <v>89</v>
      </c>
      <c r="D117" t="s">
        <v>8372</v>
      </c>
      <c r="E117" t="s">
        <v>8377</v>
      </c>
    </row>
    <row r="118" spans="1:5" x14ac:dyDescent="0.5">
      <c r="A118" t="s">
        <v>8377</v>
      </c>
      <c r="B118" t="s">
        <v>7807</v>
      </c>
      <c r="C118" t="s">
        <v>8382</v>
      </c>
      <c r="D118" t="s">
        <v>8373</v>
      </c>
      <c r="E118" t="s">
        <v>8378</v>
      </c>
    </row>
    <row r="119" spans="1:5" x14ac:dyDescent="0.5">
      <c r="A119" t="s">
        <v>8378</v>
      </c>
      <c r="B119" t="s">
        <v>8002</v>
      </c>
      <c r="C119" t="s">
        <v>8384</v>
      </c>
      <c r="D119" t="s">
        <v>7858</v>
      </c>
      <c r="E119" t="s">
        <v>7777</v>
      </c>
    </row>
    <row r="120" spans="1:5" x14ac:dyDescent="0.5">
      <c r="A120" t="s">
        <v>7777</v>
      </c>
      <c r="B120" t="s">
        <v>7792</v>
      </c>
      <c r="C120" t="s">
        <v>7790</v>
      </c>
      <c r="D120" t="s">
        <v>7840</v>
      </c>
      <c r="E120" t="s">
        <v>7834</v>
      </c>
    </row>
    <row r="121" spans="1:5" x14ac:dyDescent="0.5">
      <c r="A121" t="s">
        <v>7834</v>
      </c>
      <c r="B121" t="s">
        <v>7849</v>
      </c>
      <c r="C121" t="s">
        <v>7853</v>
      </c>
      <c r="D121" t="s">
        <v>7813</v>
      </c>
      <c r="E121" t="s">
        <v>8387</v>
      </c>
    </row>
    <row r="122" spans="1:5" x14ac:dyDescent="0.5">
      <c r="A122" t="s">
        <v>8387</v>
      </c>
      <c r="B122" t="s">
        <v>8365</v>
      </c>
      <c r="C122" t="s">
        <v>7808</v>
      </c>
      <c r="D122" t="s">
        <v>8412</v>
      </c>
      <c r="E122" t="s">
        <v>8379</v>
      </c>
    </row>
    <row r="123" spans="1:5" x14ac:dyDescent="0.5">
      <c r="A123" t="s">
        <v>8379</v>
      </c>
      <c r="B123" t="s">
        <v>8366</v>
      </c>
      <c r="C123" t="s">
        <v>8385</v>
      </c>
      <c r="D123" t="s">
        <v>7835</v>
      </c>
      <c r="E123" t="s">
        <v>7782</v>
      </c>
    </row>
    <row r="124" spans="1:5" x14ac:dyDescent="0.5">
      <c r="A124" t="s">
        <v>7782</v>
      </c>
      <c r="B124" t="s">
        <v>8367</v>
      </c>
      <c r="C124" t="s">
        <v>7814</v>
      </c>
      <c r="D124" t="s">
        <v>8419</v>
      </c>
      <c r="E124" t="s">
        <v>8386</v>
      </c>
    </row>
    <row r="125" spans="1:5" x14ac:dyDescent="0.5">
      <c r="A125" t="s">
        <v>8386</v>
      </c>
      <c r="B125" t="s">
        <v>7796</v>
      </c>
      <c r="C125" t="s">
        <v>8412</v>
      </c>
      <c r="D125" t="s">
        <v>8421</v>
      </c>
      <c r="E125" t="s">
        <v>8380</v>
      </c>
    </row>
    <row r="126" spans="1:5" x14ac:dyDescent="0.5">
      <c r="A126" t="s">
        <v>8380</v>
      </c>
      <c r="B126" t="s">
        <v>8368</v>
      </c>
      <c r="C126" t="s">
        <v>7835</v>
      </c>
      <c r="D126" t="s">
        <v>8422</v>
      </c>
      <c r="E126" t="s">
        <v>7805</v>
      </c>
    </row>
    <row r="127" spans="1:5" x14ac:dyDescent="0.5">
      <c r="A127" t="s">
        <v>7805</v>
      </c>
      <c r="B127" t="s">
        <v>8369</v>
      </c>
      <c r="C127" t="s">
        <v>8419</v>
      </c>
      <c r="D127" t="s">
        <v>8342</v>
      </c>
      <c r="E127" t="s">
        <v>8381</v>
      </c>
    </row>
    <row r="128" spans="1:5" x14ac:dyDescent="0.5">
      <c r="A128" t="s">
        <v>8381</v>
      </c>
      <c r="B128" t="s">
        <v>8370</v>
      </c>
      <c r="C128" t="s">
        <v>8420</v>
      </c>
      <c r="D128" t="s">
        <v>8423</v>
      </c>
      <c r="E128" t="s">
        <v>7856</v>
      </c>
    </row>
    <row r="129" spans="1:5" x14ac:dyDescent="0.5">
      <c r="A129" t="s">
        <v>7856</v>
      </c>
      <c r="B129" t="s">
        <v>8371</v>
      </c>
      <c r="C129" t="s">
        <v>8422</v>
      </c>
      <c r="D129" t="s">
        <v>8425</v>
      </c>
      <c r="E129" t="s">
        <v>7762</v>
      </c>
    </row>
    <row r="130" spans="1:5" x14ac:dyDescent="0.5">
      <c r="A130" t="s">
        <v>7762</v>
      </c>
      <c r="B130" t="s">
        <v>8372</v>
      </c>
      <c r="C130" t="s">
        <v>8342</v>
      </c>
      <c r="D130" t="s">
        <v>8426</v>
      </c>
      <c r="E130" t="s">
        <v>8383</v>
      </c>
    </row>
    <row r="131" spans="1:5" x14ac:dyDescent="0.5">
      <c r="A131" t="s">
        <v>89</v>
      </c>
      <c r="B131" t="s">
        <v>8373</v>
      </c>
      <c r="C131" t="s">
        <v>8423</v>
      </c>
      <c r="D131" t="s">
        <v>8428</v>
      </c>
      <c r="E131" t="s">
        <v>8382</v>
      </c>
    </row>
    <row r="132" spans="1:5" x14ac:dyDescent="0.5">
      <c r="A132" t="s">
        <v>8382</v>
      </c>
      <c r="B132" t="s">
        <v>7858</v>
      </c>
      <c r="C132" t="s">
        <v>8424</v>
      </c>
      <c r="D132" s="288" t="s">
        <v>8292</v>
      </c>
      <c r="E132" t="s">
        <v>8384</v>
      </c>
    </row>
    <row r="133" spans="1:5" x14ac:dyDescent="0.5">
      <c r="A133" t="s">
        <v>8384</v>
      </c>
      <c r="B133" t="s">
        <v>7840</v>
      </c>
      <c r="C133" t="s">
        <v>8350</v>
      </c>
      <c r="D133" s="288" t="s">
        <v>8293</v>
      </c>
      <c r="E133" t="s">
        <v>7790</v>
      </c>
    </row>
    <row r="134" spans="1:5" x14ac:dyDescent="0.5">
      <c r="A134" t="s">
        <v>7790</v>
      </c>
      <c r="B134" t="s">
        <v>7813</v>
      </c>
      <c r="C134" t="s">
        <v>8427</v>
      </c>
      <c r="D134" s="288" t="s">
        <v>8297</v>
      </c>
      <c r="E134" t="s">
        <v>7853</v>
      </c>
    </row>
    <row r="135" spans="1:5" x14ac:dyDescent="0.5">
      <c r="A135" t="s">
        <v>7853</v>
      </c>
      <c r="B135" t="s">
        <v>8342</v>
      </c>
      <c r="C135" s="288" t="s">
        <v>8308</v>
      </c>
      <c r="D135" s="288" t="s">
        <v>8299</v>
      </c>
      <c r="E135" t="s">
        <v>7808</v>
      </c>
    </row>
    <row r="136" spans="1:5" x14ac:dyDescent="0.5">
      <c r="A136" t="s">
        <v>7808</v>
      </c>
      <c r="B136" t="s">
        <v>8453</v>
      </c>
      <c r="C136" s="288" t="s">
        <v>8309</v>
      </c>
      <c r="D136" s="288" t="s">
        <v>8300</v>
      </c>
      <c r="E136" t="s">
        <v>8385</v>
      </c>
    </row>
    <row r="137" spans="1:5" x14ac:dyDescent="0.5">
      <c r="A137" t="s">
        <v>8385</v>
      </c>
      <c r="C137" s="288" t="s">
        <v>8310</v>
      </c>
      <c r="D137" s="288" t="s">
        <v>8301</v>
      </c>
      <c r="E137" t="s">
        <v>8196</v>
      </c>
    </row>
    <row r="138" spans="1:5" x14ac:dyDescent="0.5">
      <c r="A138" t="s">
        <v>8196</v>
      </c>
      <c r="C138" s="288" t="s">
        <v>8311</v>
      </c>
      <c r="D138" s="288" t="s">
        <v>8303</v>
      </c>
      <c r="E138" t="s">
        <v>7814</v>
      </c>
    </row>
    <row r="139" spans="1:5" x14ac:dyDescent="0.5">
      <c r="A139" t="s">
        <v>7814</v>
      </c>
      <c r="C139" s="288" t="s">
        <v>8312</v>
      </c>
      <c r="D139" s="288" t="s">
        <v>8305</v>
      </c>
    </row>
    <row r="140" spans="1:5" x14ac:dyDescent="0.5">
      <c r="C140" s="288" t="s">
        <v>8313</v>
      </c>
      <c r="D140" s="288" t="s">
        <v>8319</v>
      </c>
      <c r="E140" s="275"/>
    </row>
    <row r="141" spans="1:5" x14ac:dyDescent="0.5">
      <c r="C141" s="288" t="s">
        <v>8304</v>
      </c>
      <c r="D141" s="288" t="s">
        <v>8429</v>
      </c>
    </row>
    <row r="142" spans="1:5" x14ac:dyDescent="0.5">
      <c r="C142" s="288" t="s">
        <v>8449</v>
      </c>
      <c r="D142" s="288" t="s">
        <v>8430</v>
      </c>
    </row>
    <row r="143" spans="1:5" x14ac:dyDescent="0.5">
      <c r="C143" s="288" t="s">
        <v>8324</v>
      </c>
      <c r="D143" s="288" t="s">
        <v>8431</v>
      </c>
    </row>
    <row r="144" spans="1:5" x14ac:dyDescent="0.5">
      <c r="C144" s="288" t="s">
        <v>8325</v>
      </c>
      <c r="D144" s="288" t="s">
        <v>8434</v>
      </c>
    </row>
    <row r="145" spans="3:4" x14ac:dyDescent="0.5">
      <c r="C145" s="288" t="s">
        <v>8326</v>
      </c>
      <c r="D145" s="288" t="s">
        <v>8435</v>
      </c>
    </row>
    <row r="146" spans="3:4" x14ac:dyDescent="0.5">
      <c r="C146" s="288" t="s">
        <v>8327</v>
      </c>
      <c r="D146" s="288" t="s">
        <v>8436</v>
      </c>
    </row>
    <row r="147" spans="3:4" x14ac:dyDescent="0.5">
      <c r="C147" s="288" t="s">
        <v>8328</v>
      </c>
      <c r="D147" s="288" t="s">
        <v>8437</v>
      </c>
    </row>
    <row r="148" spans="3:4" x14ac:dyDescent="0.5">
      <c r="C148" s="288" t="s">
        <v>8329</v>
      </c>
      <c r="D148" s="288" t="s">
        <v>8333</v>
      </c>
    </row>
    <row r="149" spans="3:4" x14ac:dyDescent="0.5">
      <c r="C149" s="288" t="s">
        <v>8330</v>
      </c>
      <c r="D149" s="288" t="s">
        <v>8334</v>
      </c>
    </row>
    <row r="150" spans="3:4" x14ac:dyDescent="0.5">
      <c r="C150" s="288" t="s">
        <v>8331</v>
      </c>
      <c r="D150" s="288" t="s">
        <v>8306</v>
      </c>
    </row>
    <row r="151" spans="3:4" x14ac:dyDescent="0.5">
      <c r="C151" s="288" t="s">
        <v>8332</v>
      </c>
      <c r="D151" s="288" t="s">
        <v>8440</v>
      </c>
    </row>
    <row r="152" spans="3:4" x14ac:dyDescent="0.5">
      <c r="C152" s="288" t="s">
        <v>8335</v>
      </c>
      <c r="D152" s="288" t="s">
        <v>8441</v>
      </c>
    </row>
    <row r="153" spans="3:4" x14ac:dyDescent="0.5">
      <c r="C153" s="288" t="s">
        <v>8307</v>
      </c>
      <c r="D153" s="288" t="s">
        <v>8442</v>
      </c>
    </row>
    <row r="154" spans="3:4" x14ac:dyDescent="0.5">
      <c r="C154" s="288" t="s">
        <v>8390</v>
      </c>
      <c r="D154" s="288" t="s">
        <v>8444</v>
      </c>
    </row>
    <row r="155" spans="3:4" x14ac:dyDescent="0.5">
      <c r="C155" s="288" t="s">
        <v>8413</v>
      </c>
      <c r="D155" s="288" t="s">
        <v>8417</v>
      </c>
    </row>
    <row r="156" spans="3:4" x14ac:dyDescent="0.5">
      <c r="C156" s="288" t="s">
        <v>8414</v>
      </c>
    </row>
    <row r="157" spans="3:4" x14ac:dyDescent="0.5">
      <c r="C157" s="288" t="s">
        <v>8196</v>
      </c>
      <c r="D157" s="288" t="s">
        <v>7814</v>
      </c>
    </row>
    <row r="163" spans="3:4" x14ac:dyDescent="0.5">
      <c r="D163" s="288"/>
    </row>
    <row r="166" spans="3:4" x14ac:dyDescent="0.5">
      <c r="D166" s="288"/>
    </row>
    <row r="167" spans="3:4" x14ac:dyDescent="0.5">
      <c r="C167" s="288"/>
      <c r="D167" s="288"/>
    </row>
    <row r="168" spans="3:4" x14ac:dyDescent="0.5">
      <c r="C168" s="288"/>
    </row>
    <row r="169" spans="3:4" x14ac:dyDescent="0.5">
      <c r="C169" s="288"/>
    </row>
    <row r="173" spans="3:4" x14ac:dyDescent="0.5">
      <c r="C173" s="288"/>
    </row>
    <row r="174" spans="3:4" x14ac:dyDescent="0.5">
      <c r="C174" s="288"/>
    </row>
  </sheetData>
  <conditionalFormatting sqref="E140:E1048576 E1:E138">
    <cfRule type="duplicateValues" dxfId="8" priority="3"/>
  </conditionalFormatting>
  <conditionalFormatting sqref="A141:A1048576 A1:A139">
    <cfRule type="duplicateValues" dxfId="7" priority="2"/>
  </conditionalFormatting>
  <conditionalFormatting sqref="D174:D1048576 D166:D167 D163 D1:D155 D157">
    <cfRule type="duplicateValues" dxfId="6" priority="116"/>
  </conditionalFormatting>
  <conditionalFormatting sqref="C173:C1048576 C167:C169 C1:C157">
    <cfRule type="duplicateValues" dxfId="5" priority="123"/>
  </conditionalFormatting>
  <conditionalFormatting sqref="B140:B1048576 B1:B137">
    <cfRule type="duplicateValues" dxfId="4" priority="128"/>
  </conditionalFormatting>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0466C7-F241-4227-8C4C-A7AAEDCC57E9}">
  <dimension ref="A1:B114"/>
  <sheetViews>
    <sheetView workbookViewId="0">
      <selection activeCell="A102" sqref="A2:A102"/>
    </sheetView>
  </sheetViews>
  <sheetFormatPr defaultRowHeight="14.35" x14ac:dyDescent="0.5"/>
  <cols>
    <col min="1" max="1" width="11.76171875" bestFit="1" customWidth="1"/>
  </cols>
  <sheetData>
    <row r="1" spans="1:2" x14ac:dyDescent="0.5">
      <c r="A1" t="s">
        <v>8244</v>
      </c>
      <c r="B1" t="s">
        <v>8245</v>
      </c>
    </row>
    <row r="2" spans="1:2" x14ac:dyDescent="0.5">
      <c r="A2" t="s">
        <v>8036</v>
      </c>
      <c r="B2" t="s">
        <v>8246</v>
      </c>
    </row>
    <row r="3" spans="1:2" x14ac:dyDescent="0.5">
      <c r="A3" t="s">
        <v>8037</v>
      </c>
      <c r="B3" t="s">
        <v>8247</v>
      </c>
    </row>
    <row r="4" spans="1:2" x14ac:dyDescent="0.5">
      <c r="A4" t="s">
        <v>8038</v>
      </c>
      <c r="B4" t="s">
        <v>7801</v>
      </c>
    </row>
    <row r="5" spans="1:2" x14ac:dyDescent="0.5">
      <c r="A5" t="s">
        <v>8039</v>
      </c>
      <c r="B5" t="s">
        <v>8248</v>
      </c>
    </row>
    <row r="6" spans="1:2" x14ac:dyDescent="0.5">
      <c r="A6" t="s">
        <v>8040</v>
      </c>
      <c r="B6" t="s">
        <v>8249</v>
      </c>
    </row>
    <row r="7" spans="1:2" x14ac:dyDescent="0.5">
      <c r="A7" t="s">
        <v>8041</v>
      </c>
      <c r="B7" t="s">
        <v>8256</v>
      </c>
    </row>
    <row r="8" spans="1:2" x14ac:dyDescent="0.5">
      <c r="A8" t="s">
        <v>8042</v>
      </c>
      <c r="B8" t="s">
        <v>8258</v>
      </c>
    </row>
    <row r="9" spans="1:2" x14ac:dyDescent="0.5">
      <c r="A9" t="s">
        <v>8043</v>
      </c>
      <c r="B9" t="s">
        <v>8262</v>
      </c>
    </row>
    <row r="10" spans="1:2" x14ac:dyDescent="0.5">
      <c r="A10" t="s">
        <v>8044</v>
      </c>
      <c r="B10" t="s">
        <v>8266</v>
      </c>
    </row>
    <row r="11" spans="1:2" x14ac:dyDescent="0.5">
      <c r="A11" t="s">
        <v>8045</v>
      </c>
      <c r="B11" t="s">
        <v>7848</v>
      </c>
    </row>
    <row r="12" spans="1:2" x14ac:dyDescent="0.5">
      <c r="A12" t="s">
        <v>8046</v>
      </c>
      <c r="B12" t="s">
        <v>8271</v>
      </c>
    </row>
    <row r="13" spans="1:2" x14ac:dyDescent="0.5">
      <c r="A13" t="s">
        <v>8047</v>
      </c>
      <c r="B13" t="s">
        <v>8036</v>
      </c>
    </row>
    <row r="14" spans="1:2" x14ac:dyDescent="0.5">
      <c r="A14" t="s">
        <v>8048</v>
      </c>
      <c r="B14" t="s">
        <v>8037</v>
      </c>
    </row>
    <row r="15" spans="1:2" x14ac:dyDescent="0.5">
      <c r="A15" t="s">
        <v>8049</v>
      </c>
      <c r="B15" t="s">
        <v>8038</v>
      </c>
    </row>
    <row r="16" spans="1:2" x14ac:dyDescent="0.5">
      <c r="A16" t="s">
        <v>8050</v>
      </c>
      <c r="B16" t="s">
        <v>8039</v>
      </c>
    </row>
    <row r="17" spans="1:2" x14ac:dyDescent="0.5">
      <c r="A17" t="s">
        <v>8051</v>
      </c>
      <c r="B17" t="s">
        <v>8040</v>
      </c>
    </row>
    <row r="18" spans="1:2" x14ac:dyDescent="0.5">
      <c r="A18" t="s">
        <v>8052</v>
      </c>
      <c r="B18" t="s">
        <v>8041</v>
      </c>
    </row>
    <row r="19" spans="1:2" x14ac:dyDescent="0.5">
      <c r="A19" t="s">
        <v>8053</v>
      </c>
      <c r="B19" t="s">
        <v>8042</v>
      </c>
    </row>
    <row r="20" spans="1:2" x14ac:dyDescent="0.5">
      <c r="A20" t="s">
        <v>8054</v>
      </c>
      <c r="B20" t="s">
        <v>8043</v>
      </c>
    </row>
    <row r="21" spans="1:2" x14ac:dyDescent="0.5">
      <c r="A21" t="s">
        <v>8055</v>
      </c>
      <c r="B21" t="s">
        <v>8044</v>
      </c>
    </row>
    <row r="22" spans="1:2" x14ac:dyDescent="0.5">
      <c r="A22" t="s">
        <v>8056</v>
      </c>
      <c r="B22" t="s">
        <v>8045</v>
      </c>
    </row>
    <row r="23" spans="1:2" x14ac:dyDescent="0.5">
      <c r="A23" t="s">
        <v>8057</v>
      </c>
      <c r="B23" t="s">
        <v>8046</v>
      </c>
    </row>
    <row r="24" spans="1:2" x14ac:dyDescent="0.5">
      <c r="A24" t="s">
        <v>8058</v>
      </c>
      <c r="B24" t="s">
        <v>8047</v>
      </c>
    </row>
    <row r="25" spans="1:2" x14ac:dyDescent="0.5">
      <c r="A25" t="s">
        <v>8059</v>
      </c>
      <c r="B25" t="s">
        <v>8048</v>
      </c>
    </row>
    <row r="26" spans="1:2" x14ac:dyDescent="0.5">
      <c r="A26" t="s">
        <v>8060</v>
      </c>
      <c r="B26" t="s">
        <v>8049</v>
      </c>
    </row>
    <row r="27" spans="1:2" x14ac:dyDescent="0.5">
      <c r="A27" t="s">
        <v>8064</v>
      </c>
      <c r="B27" t="s">
        <v>8050</v>
      </c>
    </row>
    <row r="28" spans="1:2" x14ac:dyDescent="0.5">
      <c r="A28" t="s">
        <v>8065</v>
      </c>
      <c r="B28" t="s">
        <v>8051</v>
      </c>
    </row>
    <row r="29" spans="1:2" x14ac:dyDescent="0.5">
      <c r="A29" t="s">
        <v>8066</v>
      </c>
      <c r="B29" t="s">
        <v>8052</v>
      </c>
    </row>
    <row r="30" spans="1:2" x14ac:dyDescent="0.5">
      <c r="A30" t="s">
        <v>8067</v>
      </c>
      <c r="B30" t="s">
        <v>8053</v>
      </c>
    </row>
    <row r="31" spans="1:2" x14ac:dyDescent="0.5">
      <c r="A31" t="s">
        <v>8068</v>
      </c>
      <c r="B31" t="s">
        <v>8054</v>
      </c>
    </row>
    <row r="32" spans="1:2" x14ac:dyDescent="0.5">
      <c r="A32" t="s">
        <v>8069</v>
      </c>
      <c r="B32" t="s">
        <v>8055</v>
      </c>
    </row>
    <row r="33" spans="1:2" x14ac:dyDescent="0.5">
      <c r="A33" t="s">
        <v>8070</v>
      </c>
      <c r="B33" t="s">
        <v>8056</v>
      </c>
    </row>
    <row r="34" spans="1:2" x14ac:dyDescent="0.5">
      <c r="A34" t="s">
        <v>8071</v>
      </c>
      <c r="B34" t="s">
        <v>8057</v>
      </c>
    </row>
    <row r="35" spans="1:2" x14ac:dyDescent="0.5">
      <c r="A35" t="s">
        <v>8072</v>
      </c>
      <c r="B35" t="s">
        <v>8058</v>
      </c>
    </row>
    <row r="36" spans="1:2" x14ac:dyDescent="0.5">
      <c r="A36" t="s">
        <v>8073</v>
      </c>
      <c r="B36" t="s">
        <v>8059</v>
      </c>
    </row>
    <row r="37" spans="1:2" x14ac:dyDescent="0.5">
      <c r="A37" t="s">
        <v>8074</v>
      </c>
      <c r="B37" t="s">
        <v>8060</v>
      </c>
    </row>
    <row r="38" spans="1:2" x14ac:dyDescent="0.5">
      <c r="A38" t="s">
        <v>8075</v>
      </c>
      <c r="B38" t="s">
        <v>8064</v>
      </c>
    </row>
    <row r="39" spans="1:2" x14ac:dyDescent="0.5">
      <c r="A39" t="s">
        <v>8076</v>
      </c>
      <c r="B39" t="s">
        <v>8065</v>
      </c>
    </row>
    <row r="40" spans="1:2" x14ac:dyDescent="0.5">
      <c r="A40" t="s">
        <v>8077</v>
      </c>
      <c r="B40" t="s">
        <v>8066</v>
      </c>
    </row>
    <row r="41" spans="1:2" x14ac:dyDescent="0.5">
      <c r="A41" t="s">
        <v>8078</v>
      </c>
      <c r="B41" t="s">
        <v>8067</v>
      </c>
    </row>
    <row r="42" spans="1:2" x14ac:dyDescent="0.5">
      <c r="A42" t="s">
        <v>8079</v>
      </c>
      <c r="B42" t="s">
        <v>8068</v>
      </c>
    </row>
    <row r="43" spans="1:2" x14ac:dyDescent="0.5">
      <c r="A43" t="s">
        <v>8080</v>
      </c>
      <c r="B43" t="s">
        <v>8069</v>
      </c>
    </row>
    <row r="44" spans="1:2" x14ac:dyDescent="0.5">
      <c r="A44" t="s">
        <v>8081</v>
      </c>
      <c r="B44" t="s">
        <v>8070</v>
      </c>
    </row>
    <row r="45" spans="1:2" x14ac:dyDescent="0.5">
      <c r="A45" t="s">
        <v>8082</v>
      </c>
      <c r="B45" t="s">
        <v>8071</v>
      </c>
    </row>
    <row r="46" spans="1:2" x14ac:dyDescent="0.5">
      <c r="A46" t="s">
        <v>8083</v>
      </c>
      <c r="B46" t="s">
        <v>8072</v>
      </c>
    </row>
    <row r="47" spans="1:2" x14ac:dyDescent="0.5">
      <c r="A47" t="s">
        <v>8084</v>
      </c>
      <c r="B47" t="s">
        <v>8073</v>
      </c>
    </row>
    <row r="48" spans="1:2" x14ac:dyDescent="0.5">
      <c r="A48" t="s">
        <v>8085</v>
      </c>
      <c r="B48" t="s">
        <v>8074</v>
      </c>
    </row>
    <row r="49" spans="1:2" x14ac:dyDescent="0.5">
      <c r="A49" t="s">
        <v>8086</v>
      </c>
      <c r="B49" t="s">
        <v>8075</v>
      </c>
    </row>
    <row r="50" spans="1:2" x14ac:dyDescent="0.5">
      <c r="A50" t="s">
        <v>8087</v>
      </c>
      <c r="B50" t="s">
        <v>8076</v>
      </c>
    </row>
    <row r="51" spans="1:2" x14ac:dyDescent="0.5">
      <c r="A51" t="s">
        <v>8136</v>
      </c>
      <c r="B51" t="s">
        <v>8077</v>
      </c>
    </row>
    <row r="52" spans="1:2" x14ac:dyDescent="0.5">
      <c r="A52" t="s">
        <v>8088</v>
      </c>
      <c r="B52" t="s">
        <v>8078</v>
      </c>
    </row>
    <row r="53" spans="1:2" x14ac:dyDescent="0.5">
      <c r="A53" t="s">
        <v>8089</v>
      </c>
      <c r="B53" t="s">
        <v>8079</v>
      </c>
    </row>
    <row r="54" spans="1:2" x14ac:dyDescent="0.5">
      <c r="A54" t="s">
        <v>8090</v>
      </c>
      <c r="B54" t="s">
        <v>8080</v>
      </c>
    </row>
    <row r="55" spans="1:2" x14ac:dyDescent="0.5">
      <c r="A55" t="s">
        <v>8091</v>
      </c>
      <c r="B55" t="s">
        <v>8081</v>
      </c>
    </row>
    <row r="56" spans="1:2" x14ac:dyDescent="0.5">
      <c r="A56" t="s">
        <v>8092</v>
      </c>
      <c r="B56" t="s">
        <v>8082</v>
      </c>
    </row>
    <row r="57" spans="1:2" x14ac:dyDescent="0.5">
      <c r="A57" t="s">
        <v>8093</v>
      </c>
      <c r="B57" t="s">
        <v>8083</v>
      </c>
    </row>
    <row r="58" spans="1:2" x14ac:dyDescent="0.5">
      <c r="A58" t="s">
        <v>8094</v>
      </c>
      <c r="B58" t="s">
        <v>8084</v>
      </c>
    </row>
    <row r="59" spans="1:2" x14ac:dyDescent="0.5">
      <c r="A59" t="s">
        <v>8095</v>
      </c>
      <c r="B59" t="s">
        <v>8085</v>
      </c>
    </row>
    <row r="60" spans="1:2" x14ac:dyDescent="0.5">
      <c r="A60" t="s">
        <v>8096</v>
      </c>
      <c r="B60" t="s">
        <v>8086</v>
      </c>
    </row>
    <row r="61" spans="1:2" x14ac:dyDescent="0.5">
      <c r="A61" t="s">
        <v>8097</v>
      </c>
      <c r="B61" t="s">
        <v>8087</v>
      </c>
    </row>
    <row r="62" spans="1:2" x14ac:dyDescent="0.5">
      <c r="A62" t="s">
        <v>8098</v>
      </c>
      <c r="B62" t="s">
        <v>8136</v>
      </c>
    </row>
    <row r="63" spans="1:2" x14ac:dyDescent="0.5">
      <c r="A63" t="s">
        <v>8099</v>
      </c>
      <c r="B63" t="s">
        <v>8088</v>
      </c>
    </row>
    <row r="64" spans="1:2" x14ac:dyDescent="0.5">
      <c r="A64" t="s">
        <v>8100</v>
      </c>
      <c r="B64" t="s">
        <v>8089</v>
      </c>
    </row>
    <row r="65" spans="1:2" x14ac:dyDescent="0.5">
      <c r="A65" t="s">
        <v>8101</v>
      </c>
      <c r="B65" t="s">
        <v>8090</v>
      </c>
    </row>
    <row r="66" spans="1:2" x14ac:dyDescent="0.5">
      <c r="A66" t="s">
        <v>8102</v>
      </c>
      <c r="B66" t="s">
        <v>8091</v>
      </c>
    </row>
    <row r="67" spans="1:2" x14ac:dyDescent="0.5">
      <c r="A67" t="s">
        <v>8103</v>
      </c>
      <c r="B67" t="s">
        <v>8092</v>
      </c>
    </row>
    <row r="68" spans="1:2" x14ac:dyDescent="0.5">
      <c r="A68" t="s">
        <v>8104</v>
      </c>
      <c r="B68" t="s">
        <v>8093</v>
      </c>
    </row>
    <row r="69" spans="1:2" x14ac:dyDescent="0.5">
      <c r="A69" t="s">
        <v>8105</v>
      </c>
      <c r="B69" t="s">
        <v>8094</v>
      </c>
    </row>
    <row r="70" spans="1:2" x14ac:dyDescent="0.5">
      <c r="A70" t="s">
        <v>8106</v>
      </c>
      <c r="B70" t="s">
        <v>8095</v>
      </c>
    </row>
    <row r="71" spans="1:2" x14ac:dyDescent="0.5">
      <c r="A71" t="s">
        <v>8107</v>
      </c>
      <c r="B71" t="s">
        <v>8096</v>
      </c>
    </row>
    <row r="72" spans="1:2" x14ac:dyDescent="0.5">
      <c r="A72" t="s">
        <v>8108</v>
      </c>
      <c r="B72" t="s">
        <v>8097</v>
      </c>
    </row>
    <row r="73" spans="1:2" x14ac:dyDescent="0.5">
      <c r="A73" t="s">
        <v>8109</v>
      </c>
      <c r="B73" t="s">
        <v>8098</v>
      </c>
    </row>
    <row r="74" spans="1:2" x14ac:dyDescent="0.5">
      <c r="A74" t="s">
        <v>8110</v>
      </c>
      <c r="B74" t="s">
        <v>8099</v>
      </c>
    </row>
    <row r="75" spans="1:2" x14ac:dyDescent="0.5">
      <c r="A75" t="s">
        <v>8111</v>
      </c>
      <c r="B75" t="s">
        <v>8100</v>
      </c>
    </row>
    <row r="76" spans="1:2" x14ac:dyDescent="0.5">
      <c r="A76" t="s">
        <v>8062</v>
      </c>
      <c r="B76" t="s">
        <v>8101</v>
      </c>
    </row>
    <row r="77" spans="1:2" x14ac:dyDescent="0.5">
      <c r="A77" t="s">
        <v>8112</v>
      </c>
      <c r="B77" t="s">
        <v>8102</v>
      </c>
    </row>
    <row r="78" spans="1:2" x14ac:dyDescent="0.5">
      <c r="A78" t="s">
        <v>8113</v>
      </c>
      <c r="B78" t="s">
        <v>8103</v>
      </c>
    </row>
    <row r="79" spans="1:2" x14ac:dyDescent="0.5">
      <c r="A79" t="s">
        <v>8114</v>
      </c>
      <c r="B79" t="s">
        <v>8104</v>
      </c>
    </row>
    <row r="80" spans="1:2" x14ac:dyDescent="0.5">
      <c r="A80" t="s">
        <v>8115</v>
      </c>
      <c r="B80" t="s">
        <v>8105</v>
      </c>
    </row>
    <row r="81" spans="1:2" x14ac:dyDescent="0.5">
      <c r="A81" t="s">
        <v>8116</v>
      </c>
      <c r="B81" t="s">
        <v>8106</v>
      </c>
    </row>
    <row r="82" spans="1:2" x14ac:dyDescent="0.5">
      <c r="A82" t="s">
        <v>8063</v>
      </c>
      <c r="B82" t="s">
        <v>8107</v>
      </c>
    </row>
    <row r="83" spans="1:2" x14ac:dyDescent="0.5">
      <c r="A83" t="s">
        <v>8117</v>
      </c>
      <c r="B83" t="s">
        <v>8108</v>
      </c>
    </row>
    <row r="84" spans="1:2" x14ac:dyDescent="0.5">
      <c r="A84" t="s">
        <v>8118</v>
      </c>
      <c r="B84" t="s">
        <v>8109</v>
      </c>
    </row>
    <row r="85" spans="1:2" x14ac:dyDescent="0.5">
      <c r="A85" t="s">
        <v>8119</v>
      </c>
      <c r="B85" t="s">
        <v>8110</v>
      </c>
    </row>
    <row r="86" spans="1:2" x14ac:dyDescent="0.5">
      <c r="A86" t="s">
        <v>8120</v>
      </c>
      <c r="B86" t="s">
        <v>8111</v>
      </c>
    </row>
    <row r="87" spans="1:2" x14ac:dyDescent="0.5">
      <c r="A87" t="s">
        <v>8121</v>
      </c>
      <c r="B87" t="s">
        <v>8062</v>
      </c>
    </row>
    <row r="88" spans="1:2" x14ac:dyDescent="0.5">
      <c r="A88" t="s">
        <v>8122</v>
      </c>
      <c r="B88" t="s">
        <v>8112</v>
      </c>
    </row>
    <row r="89" spans="1:2" x14ac:dyDescent="0.5">
      <c r="A89" t="s">
        <v>8123</v>
      </c>
      <c r="B89" t="s">
        <v>8113</v>
      </c>
    </row>
    <row r="90" spans="1:2" x14ac:dyDescent="0.5">
      <c r="A90" t="s">
        <v>8124</v>
      </c>
      <c r="B90" t="s">
        <v>8114</v>
      </c>
    </row>
    <row r="91" spans="1:2" x14ac:dyDescent="0.5">
      <c r="A91" t="s">
        <v>8125</v>
      </c>
      <c r="B91" t="s">
        <v>8115</v>
      </c>
    </row>
    <row r="92" spans="1:2" x14ac:dyDescent="0.5">
      <c r="A92" t="s">
        <v>8126</v>
      </c>
      <c r="B92" t="s">
        <v>8116</v>
      </c>
    </row>
    <row r="93" spans="1:2" x14ac:dyDescent="0.5">
      <c r="A93" t="s">
        <v>8127</v>
      </c>
      <c r="B93" t="s">
        <v>8063</v>
      </c>
    </row>
    <row r="94" spans="1:2" x14ac:dyDescent="0.5">
      <c r="A94" t="s">
        <v>8128</v>
      </c>
      <c r="B94" t="s">
        <v>8117</v>
      </c>
    </row>
    <row r="95" spans="1:2" x14ac:dyDescent="0.5">
      <c r="A95" t="s">
        <v>8129</v>
      </c>
      <c r="B95" t="s">
        <v>8118</v>
      </c>
    </row>
    <row r="96" spans="1:2" x14ac:dyDescent="0.5">
      <c r="A96" t="s">
        <v>8130</v>
      </c>
      <c r="B96" t="s">
        <v>8119</v>
      </c>
    </row>
    <row r="97" spans="1:2" x14ac:dyDescent="0.5">
      <c r="A97" t="s">
        <v>8131</v>
      </c>
      <c r="B97" t="s">
        <v>8120</v>
      </c>
    </row>
    <row r="98" spans="1:2" x14ac:dyDescent="0.5">
      <c r="A98" t="s">
        <v>8132</v>
      </c>
      <c r="B98" t="s">
        <v>8121</v>
      </c>
    </row>
    <row r="99" spans="1:2" x14ac:dyDescent="0.5">
      <c r="A99" t="s">
        <v>8133</v>
      </c>
      <c r="B99" t="s">
        <v>8122</v>
      </c>
    </row>
    <row r="100" spans="1:2" x14ac:dyDescent="0.5">
      <c r="A100" t="s">
        <v>8134</v>
      </c>
      <c r="B100" t="s">
        <v>8123</v>
      </c>
    </row>
    <row r="101" spans="1:2" x14ac:dyDescent="0.5">
      <c r="A101" t="s">
        <v>8135</v>
      </c>
      <c r="B101" t="s">
        <v>8124</v>
      </c>
    </row>
    <row r="102" spans="1:2" x14ac:dyDescent="0.5">
      <c r="A102" t="s">
        <v>7802</v>
      </c>
      <c r="B102" t="s">
        <v>8125</v>
      </c>
    </row>
    <row r="103" spans="1:2" x14ac:dyDescent="0.5">
      <c r="B103" t="s">
        <v>8126</v>
      </c>
    </row>
    <row r="104" spans="1:2" x14ac:dyDescent="0.5">
      <c r="B104" t="s">
        <v>8127</v>
      </c>
    </row>
    <row r="105" spans="1:2" x14ac:dyDescent="0.5">
      <c r="B105" t="s">
        <v>8128</v>
      </c>
    </row>
    <row r="106" spans="1:2" x14ac:dyDescent="0.5">
      <c r="B106" t="s">
        <v>8129</v>
      </c>
    </row>
    <row r="107" spans="1:2" x14ac:dyDescent="0.5">
      <c r="B107" t="s">
        <v>8130</v>
      </c>
    </row>
    <row r="108" spans="1:2" x14ac:dyDescent="0.5">
      <c r="B108" t="s">
        <v>8131</v>
      </c>
    </row>
    <row r="109" spans="1:2" x14ac:dyDescent="0.5">
      <c r="B109" t="s">
        <v>8132</v>
      </c>
    </row>
    <row r="110" spans="1:2" x14ac:dyDescent="0.5">
      <c r="B110" t="s">
        <v>8133</v>
      </c>
    </row>
    <row r="111" spans="1:2" x14ac:dyDescent="0.5">
      <c r="B111" t="s">
        <v>8134</v>
      </c>
    </row>
    <row r="112" spans="1:2" x14ac:dyDescent="0.5">
      <c r="B112" t="s">
        <v>8135</v>
      </c>
    </row>
    <row r="113" spans="2:2" x14ac:dyDescent="0.5">
      <c r="B113" t="s">
        <v>8255</v>
      </c>
    </row>
    <row r="114" spans="2:2" x14ac:dyDescent="0.5">
      <c r="B114" t="s">
        <v>7802</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089BE3-9CA5-4B23-A6A2-B42813A7E059}">
  <dimension ref="A1:D97"/>
  <sheetViews>
    <sheetView topLeftCell="A19" zoomScale="55" zoomScaleNormal="55" workbookViewId="0">
      <selection activeCell="C34" sqref="C34"/>
    </sheetView>
  </sheetViews>
  <sheetFormatPr defaultRowHeight="14.35" x14ac:dyDescent="0.5"/>
  <cols>
    <col min="1" max="1" width="21" bestFit="1" customWidth="1"/>
    <col min="2" max="2" width="18.64453125" customWidth="1"/>
    <col min="3" max="3" width="15" bestFit="1" customWidth="1"/>
  </cols>
  <sheetData>
    <row r="1" spans="1:4" x14ac:dyDescent="0.5">
      <c r="A1" t="s">
        <v>7764</v>
      </c>
      <c r="B1" t="s">
        <v>7786</v>
      </c>
      <c r="C1" t="s">
        <v>8391</v>
      </c>
      <c r="D1" t="s">
        <v>8392</v>
      </c>
    </row>
    <row r="2" spans="1:4" ht="18.7" x14ac:dyDescent="0.5">
      <c r="A2" s="289" t="s">
        <v>8137</v>
      </c>
      <c r="B2" s="289" t="s">
        <v>8184</v>
      </c>
      <c r="C2" s="291" t="s">
        <v>7843</v>
      </c>
      <c r="D2" s="291" t="s">
        <v>7794</v>
      </c>
    </row>
    <row r="3" spans="1:4" ht="28.7" x14ac:dyDescent="0.5">
      <c r="A3" s="289" t="s">
        <v>8139</v>
      </c>
      <c r="B3" s="289" t="s">
        <v>8185</v>
      </c>
      <c r="C3" s="291" t="s">
        <v>7767</v>
      </c>
      <c r="D3" s="291" t="s">
        <v>8195</v>
      </c>
    </row>
    <row r="4" spans="1:4" ht="18.7" x14ac:dyDescent="0.5">
      <c r="A4" s="289" t="s">
        <v>8140</v>
      </c>
      <c r="B4" s="289" t="s">
        <v>8160</v>
      </c>
      <c r="C4" s="291" t="s">
        <v>7772</v>
      </c>
      <c r="D4" s="291" t="s">
        <v>8198</v>
      </c>
    </row>
    <row r="5" spans="1:4" ht="18.7" x14ac:dyDescent="0.5">
      <c r="A5" s="289" t="s">
        <v>8141</v>
      </c>
      <c r="B5" s="289" t="s">
        <v>8171</v>
      </c>
      <c r="C5" s="291" t="s">
        <v>7809</v>
      </c>
      <c r="D5" s="291" t="s">
        <v>7839</v>
      </c>
    </row>
    <row r="6" spans="1:4" ht="18.7" x14ac:dyDescent="0.5">
      <c r="A6" s="289" t="s">
        <v>8142</v>
      </c>
      <c r="B6" s="290" t="s">
        <v>8186</v>
      </c>
      <c r="C6" s="291" t="s">
        <v>7815</v>
      </c>
      <c r="D6" s="291" t="s">
        <v>8199</v>
      </c>
    </row>
    <row r="7" spans="1:4" ht="18.7" x14ac:dyDescent="0.5">
      <c r="A7" s="289" t="s">
        <v>8143</v>
      </c>
      <c r="B7" s="289" t="s">
        <v>8153</v>
      </c>
      <c r="C7" s="291" t="s">
        <v>7800</v>
      </c>
      <c r="D7" s="291" t="s">
        <v>8200</v>
      </c>
    </row>
    <row r="8" spans="1:4" ht="18.7" x14ac:dyDescent="0.5">
      <c r="A8" s="289" t="s">
        <v>8179</v>
      </c>
      <c r="B8" s="289" t="s">
        <v>8157</v>
      </c>
      <c r="C8" s="291" t="s">
        <v>7820</v>
      </c>
      <c r="D8" s="291" t="s">
        <v>8201</v>
      </c>
    </row>
    <row r="9" spans="1:4" ht="18.7" x14ac:dyDescent="0.5">
      <c r="A9" s="289" t="s">
        <v>8144</v>
      </c>
      <c r="B9" s="289" t="s">
        <v>8188</v>
      </c>
      <c r="C9" s="291" t="s">
        <v>7803</v>
      </c>
      <c r="D9" s="291" t="s">
        <v>7841</v>
      </c>
    </row>
    <row r="10" spans="1:4" ht="18.7" x14ac:dyDescent="0.5">
      <c r="A10" s="289" t="s">
        <v>8145</v>
      </c>
      <c r="B10" t="s">
        <v>8189</v>
      </c>
      <c r="C10" s="291" t="s">
        <v>7798</v>
      </c>
      <c r="D10" s="291" t="s">
        <v>7845</v>
      </c>
    </row>
    <row r="11" spans="1:4" ht="18.7" x14ac:dyDescent="0.5">
      <c r="A11" s="289" t="s">
        <v>8180</v>
      </c>
      <c r="B11" s="289" t="s">
        <v>8190</v>
      </c>
      <c r="C11" s="291" t="s">
        <v>8203</v>
      </c>
      <c r="D11" s="291" t="s">
        <v>8202</v>
      </c>
    </row>
    <row r="12" spans="1:4" ht="18.7" x14ac:dyDescent="0.5">
      <c r="A12" s="289" t="s">
        <v>8146</v>
      </c>
      <c r="B12" s="289" t="s">
        <v>7817</v>
      </c>
      <c r="C12" s="292" t="s">
        <v>8208</v>
      </c>
      <c r="D12" s="292" t="s">
        <v>7765</v>
      </c>
    </row>
    <row r="13" spans="1:4" ht="18.7" x14ac:dyDescent="0.5">
      <c r="A13" s="289" t="s">
        <v>8147</v>
      </c>
      <c r="B13" s="289" t="s">
        <v>8191</v>
      </c>
      <c r="C13" s="292" t="s">
        <v>7770</v>
      </c>
      <c r="D13" s="292" t="s">
        <v>8204</v>
      </c>
    </row>
    <row r="14" spans="1:4" ht="18.7" x14ac:dyDescent="0.5">
      <c r="A14" s="289" t="s">
        <v>8148</v>
      </c>
      <c r="B14" s="289" t="s">
        <v>8192</v>
      </c>
      <c r="C14" s="292" t="s">
        <v>7790</v>
      </c>
      <c r="D14" s="292" t="s">
        <v>7795</v>
      </c>
    </row>
    <row r="15" spans="1:4" ht="18.7" x14ac:dyDescent="0.5">
      <c r="A15" s="289" t="s">
        <v>8149</v>
      </c>
      <c r="B15" s="289" t="s">
        <v>8193</v>
      </c>
      <c r="C15" s="292" t="s">
        <v>7771</v>
      </c>
      <c r="D15" s="292" t="s">
        <v>8205</v>
      </c>
    </row>
    <row r="16" spans="1:4" ht="18.7" x14ac:dyDescent="0.5">
      <c r="A16" s="289" t="s">
        <v>8150</v>
      </c>
      <c r="B16" s="289" t="s">
        <v>8194</v>
      </c>
      <c r="C16" s="292" t="s">
        <v>7763</v>
      </c>
      <c r="D16" s="292" t="s">
        <v>7837</v>
      </c>
    </row>
    <row r="17" spans="1:4" ht="18.7" x14ac:dyDescent="0.5">
      <c r="A17" s="289" t="s">
        <v>8181</v>
      </c>
      <c r="B17" s="291" t="s">
        <v>8195</v>
      </c>
      <c r="C17" s="292" t="s">
        <v>8209</v>
      </c>
      <c r="D17" s="292" t="s">
        <v>7852</v>
      </c>
    </row>
    <row r="18" spans="1:4" ht="18.7" x14ac:dyDescent="0.5">
      <c r="A18" s="289" t="s">
        <v>8151</v>
      </c>
      <c r="B18" s="291" t="s">
        <v>8199</v>
      </c>
      <c r="C18" s="292" t="s">
        <v>8210</v>
      </c>
      <c r="D18" s="292" t="s">
        <v>7768</v>
      </c>
    </row>
    <row r="19" spans="1:4" ht="18.7" x14ac:dyDescent="0.5">
      <c r="A19" s="289" t="s">
        <v>8152</v>
      </c>
      <c r="B19" s="291" t="s">
        <v>8201</v>
      </c>
      <c r="C19" s="292" t="s">
        <v>8393</v>
      </c>
      <c r="D19" s="292" t="s">
        <v>7774</v>
      </c>
    </row>
    <row r="20" spans="1:4" ht="18.7" x14ac:dyDescent="0.5">
      <c r="A20" s="289" t="s">
        <v>8154</v>
      </c>
      <c r="B20" s="291" t="s">
        <v>7841</v>
      </c>
      <c r="C20" s="292" t="s">
        <v>8211</v>
      </c>
      <c r="D20" s="292" t="s">
        <v>8206</v>
      </c>
    </row>
    <row r="21" spans="1:4" ht="18.7" x14ac:dyDescent="0.5">
      <c r="A21" s="289" t="s">
        <v>8155</v>
      </c>
      <c r="B21" s="291" t="s">
        <v>8202</v>
      </c>
      <c r="C21" s="292" t="s">
        <v>8212</v>
      </c>
      <c r="D21" s="292" t="s">
        <v>8207</v>
      </c>
    </row>
    <row r="22" spans="1:4" ht="28.7" x14ac:dyDescent="0.5">
      <c r="A22" s="289" t="s">
        <v>8156</v>
      </c>
      <c r="B22" s="292" t="s">
        <v>7765</v>
      </c>
      <c r="C22" s="292" t="s">
        <v>7773</v>
      </c>
      <c r="D22" s="291" t="s">
        <v>8195</v>
      </c>
    </row>
    <row r="23" spans="1:4" x14ac:dyDescent="0.5">
      <c r="A23" s="290" t="s">
        <v>8177</v>
      </c>
      <c r="B23" s="292" t="s">
        <v>8204</v>
      </c>
      <c r="C23" t="s">
        <v>7806</v>
      </c>
      <c r="D23" s="291" t="s">
        <v>8199</v>
      </c>
    </row>
    <row r="24" spans="1:4" ht="18.7" x14ac:dyDescent="0.5">
      <c r="A24" s="289" t="s">
        <v>8158</v>
      </c>
      <c r="B24" s="292" t="s">
        <v>7795</v>
      </c>
      <c r="C24" t="s">
        <v>7820</v>
      </c>
      <c r="D24" s="291" t="s">
        <v>8201</v>
      </c>
    </row>
    <row r="25" spans="1:4" ht="18.7" x14ac:dyDescent="0.5">
      <c r="A25" s="289" t="s">
        <v>8159</v>
      </c>
      <c r="B25" s="292" t="s">
        <v>8205</v>
      </c>
      <c r="C25" t="s">
        <v>7775</v>
      </c>
      <c r="D25" s="291" t="s">
        <v>7841</v>
      </c>
    </row>
    <row r="26" spans="1:4" ht="18.7" x14ac:dyDescent="0.5">
      <c r="A26" s="289" t="s">
        <v>8138</v>
      </c>
      <c r="B26" s="292" t="s">
        <v>7837</v>
      </c>
      <c r="C26" t="s">
        <v>8340</v>
      </c>
      <c r="D26" s="291" t="s">
        <v>8202</v>
      </c>
    </row>
    <row r="27" spans="1:4" ht="18.7" x14ac:dyDescent="0.5">
      <c r="A27" s="289" t="s">
        <v>8161</v>
      </c>
      <c r="B27" s="292" t="s">
        <v>7852</v>
      </c>
      <c r="C27" t="s">
        <v>8341</v>
      </c>
      <c r="D27" t="s">
        <v>8195</v>
      </c>
    </row>
    <row r="28" spans="1:4" ht="18.7" x14ac:dyDescent="0.5">
      <c r="A28" s="289" t="s">
        <v>8162</v>
      </c>
      <c r="B28" s="292" t="s">
        <v>7768</v>
      </c>
      <c r="C28" t="s">
        <v>7829</v>
      </c>
      <c r="D28" t="s">
        <v>7794</v>
      </c>
    </row>
    <row r="29" spans="1:4" ht="18.7" x14ac:dyDescent="0.5">
      <c r="A29" s="289" t="s">
        <v>8163</v>
      </c>
      <c r="B29" s="292" t="s">
        <v>7774</v>
      </c>
      <c r="C29" t="s">
        <v>8343</v>
      </c>
      <c r="D29" t="s">
        <v>8201</v>
      </c>
    </row>
    <row r="30" spans="1:4" ht="18.7" x14ac:dyDescent="0.5">
      <c r="A30" s="289" t="s">
        <v>8164</v>
      </c>
      <c r="B30" s="292" t="s">
        <v>8206</v>
      </c>
      <c r="C30" t="s">
        <v>8344</v>
      </c>
      <c r="D30" t="s">
        <v>8199</v>
      </c>
    </row>
    <row r="31" spans="1:4" ht="18.7" x14ac:dyDescent="0.5">
      <c r="A31" s="289" t="s">
        <v>8165</v>
      </c>
      <c r="B31" s="292" t="s">
        <v>8207</v>
      </c>
      <c r="C31" t="s">
        <v>8345</v>
      </c>
      <c r="D31" t="s">
        <v>8200</v>
      </c>
    </row>
    <row r="32" spans="1:4" ht="18.7" x14ac:dyDescent="0.5">
      <c r="A32" s="289" t="s">
        <v>8166</v>
      </c>
      <c r="B32" t="s">
        <v>8195</v>
      </c>
      <c r="C32" t="s">
        <v>7833</v>
      </c>
      <c r="D32" t="s">
        <v>8202</v>
      </c>
    </row>
    <row r="33" spans="1:4" ht="18.7" x14ac:dyDescent="0.5">
      <c r="A33" s="289" t="s">
        <v>8167</v>
      </c>
      <c r="B33" t="s">
        <v>7794</v>
      </c>
      <c r="C33" t="s">
        <v>7831</v>
      </c>
      <c r="D33" t="s">
        <v>8394</v>
      </c>
    </row>
    <row r="34" spans="1:4" ht="18.7" x14ac:dyDescent="0.5">
      <c r="A34" s="289" t="s">
        <v>8168</v>
      </c>
      <c r="B34" t="s">
        <v>8201</v>
      </c>
      <c r="C34" t="s">
        <v>8336</v>
      </c>
      <c r="D34" t="s">
        <v>8395</v>
      </c>
    </row>
    <row r="35" spans="1:4" ht="18.7" x14ac:dyDescent="0.5">
      <c r="A35" s="289" t="s">
        <v>8169</v>
      </c>
      <c r="B35" t="s">
        <v>8199</v>
      </c>
      <c r="C35" t="s">
        <v>7830</v>
      </c>
      <c r="D35" t="s">
        <v>8396</v>
      </c>
    </row>
    <row r="36" spans="1:4" ht="18.7" x14ac:dyDescent="0.5">
      <c r="A36" s="289" t="s">
        <v>8170</v>
      </c>
      <c r="B36" t="s">
        <v>8200</v>
      </c>
      <c r="C36" t="s">
        <v>8351</v>
      </c>
      <c r="D36" t="s">
        <v>7821</v>
      </c>
    </row>
    <row r="37" spans="1:4" ht="18.7" x14ac:dyDescent="0.5">
      <c r="A37" s="289" t="s">
        <v>8182</v>
      </c>
      <c r="B37" t="s">
        <v>8202</v>
      </c>
      <c r="C37" t="s">
        <v>8352</v>
      </c>
      <c r="D37" t="s">
        <v>7841</v>
      </c>
    </row>
    <row r="38" spans="1:4" ht="18.7" x14ac:dyDescent="0.5">
      <c r="A38" s="289" t="s">
        <v>8172</v>
      </c>
      <c r="B38" t="s">
        <v>8394</v>
      </c>
      <c r="C38" t="s">
        <v>7832</v>
      </c>
      <c r="D38" t="s">
        <v>7797</v>
      </c>
    </row>
    <row r="39" spans="1:4" ht="18.7" x14ac:dyDescent="0.5">
      <c r="A39" s="289" t="s">
        <v>8173</v>
      </c>
      <c r="B39" t="s">
        <v>8395</v>
      </c>
      <c r="C39" t="s">
        <v>8353</v>
      </c>
      <c r="D39" t="s">
        <v>8397</v>
      </c>
    </row>
    <row r="40" spans="1:4" ht="18.7" x14ac:dyDescent="0.5">
      <c r="A40" s="289" t="s">
        <v>8174</v>
      </c>
      <c r="B40" t="s">
        <v>8396</v>
      </c>
      <c r="C40" t="s">
        <v>8354</v>
      </c>
      <c r="D40" t="s">
        <v>8398</v>
      </c>
    </row>
    <row r="41" spans="1:4" ht="18.7" x14ac:dyDescent="0.5">
      <c r="A41" s="289" t="s">
        <v>8183</v>
      </c>
      <c r="B41" t="s">
        <v>7821</v>
      </c>
      <c r="C41" t="s">
        <v>7793</v>
      </c>
      <c r="D41" t="s">
        <v>8399</v>
      </c>
    </row>
    <row r="42" spans="1:4" ht="18.7" x14ac:dyDescent="0.5">
      <c r="A42" s="289" t="s">
        <v>8175</v>
      </c>
      <c r="B42" t="s">
        <v>7841</v>
      </c>
      <c r="C42" t="s">
        <v>8348</v>
      </c>
      <c r="D42" t="s">
        <v>8400</v>
      </c>
    </row>
    <row r="43" spans="1:4" ht="18.7" x14ac:dyDescent="0.5">
      <c r="A43" s="289" t="s">
        <v>8178</v>
      </c>
      <c r="B43" t="s">
        <v>7797</v>
      </c>
      <c r="C43" t="s">
        <v>8356</v>
      </c>
      <c r="D43" t="s">
        <v>7789</v>
      </c>
    </row>
    <row r="44" spans="1:4" ht="18.7" x14ac:dyDescent="0.5">
      <c r="A44" s="289" t="s">
        <v>8176</v>
      </c>
      <c r="B44" t="s">
        <v>8397</v>
      </c>
      <c r="C44" t="s">
        <v>7800</v>
      </c>
      <c r="D44" t="s">
        <v>8401</v>
      </c>
    </row>
    <row r="45" spans="1:4" x14ac:dyDescent="0.5">
      <c r="A45" s="284" t="s">
        <v>8187</v>
      </c>
      <c r="B45" t="s">
        <v>8398</v>
      </c>
      <c r="C45" t="s">
        <v>7776</v>
      </c>
      <c r="D45" t="s">
        <v>7851</v>
      </c>
    </row>
    <row r="46" spans="1:4" x14ac:dyDescent="0.5">
      <c r="A46" s="284" t="s">
        <v>8144</v>
      </c>
      <c r="B46" t="s">
        <v>8399</v>
      </c>
      <c r="C46" t="s">
        <v>8357</v>
      </c>
      <c r="D46" t="s">
        <v>7804</v>
      </c>
    </row>
    <row r="47" spans="1:4" x14ac:dyDescent="0.5">
      <c r="A47" s="284" t="s">
        <v>8142</v>
      </c>
      <c r="B47" t="s">
        <v>8400</v>
      </c>
      <c r="C47" t="s">
        <v>7781</v>
      </c>
      <c r="D47" t="s">
        <v>7788</v>
      </c>
    </row>
    <row r="48" spans="1:4" x14ac:dyDescent="0.5">
      <c r="A48" s="291" t="s">
        <v>7843</v>
      </c>
      <c r="B48" t="s">
        <v>7789</v>
      </c>
      <c r="C48" t="s">
        <v>7842</v>
      </c>
      <c r="D48" t="s">
        <v>7818</v>
      </c>
    </row>
    <row r="49" spans="1:4" x14ac:dyDescent="0.5">
      <c r="A49" s="291" t="s">
        <v>7767</v>
      </c>
      <c r="B49" t="s">
        <v>8401</v>
      </c>
      <c r="C49" t="s">
        <v>7857</v>
      </c>
      <c r="D49" t="s">
        <v>8402</v>
      </c>
    </row>
    <row r="50" spans="1:4" x14ac:dyDescent="0.5">
      <c r="A50" s="291" t="s">
        <v>7772</v>
      </c>
      <c r="B50" t="s">
        <v>7851</v>
      </c>
      <c r="C50" t="s">
        <v>7778</v>
      </c>
      <c r="D50" t="s">
        <v>1664</v>
      </c>
    </row>
    <row r="51" spans="1:4" x14ac:dyDescent="0.5">
      <c r="A51" s="291" t="s">
        <v>7809</v>
      </c>
      <c r="B51" t="s">
        <v>7804</v>
      </c>
      <c r="C51" t="s">
        <v>8358</v>
      </c>
      <c r="D51" t="s">
        <v>8403</v>
      </c>
    </row>
    <row r="52" spans="1:4" x14ac:dyDescent="0.5">
      <c r="A52" s="291" t="s">
        <v>7815</v>
      </c>
      <c r="B52" t="s">
        <v>7788</v>
      </c>
      <c r="C52" t="s">
        <v>455</v>
      </c>
      <c r="D52" t="s">
        <v>8404</v>
      </c>
    </row>
    <row r="53" spans="1:4" x14ac:dyDescent="0.5">
      <c r="A53" s="291" t="s">
        <v>7800</v>
      </c>
      <c r="B53" t="s">
        <v>7818</v>
      </c>
      <c r="C53" t="s">
        <v>8359</v>
      </c>
      <c r="D53" t="s">
        <v>8405</v>
      </c>
    </row>
    <row r="54" spans="1:4" x14ac:dyDescent="0.5">
      <c r="A54" s="291" t="s">
        <v>7820</v>
      </c>
      <c r="B54" t="s">
        <v>8402</v>
      </c>
      <c r="C54" t="s">
        <v>8360</v>
      </c>
      <c r="D54" t="s">
        <v>8136</v>
      </c>
    </row>
    <row r="55" spans="1:4" x14ac:dyDescent="0.5">
      <c r="A55" s="291" t="s">
        <v>7803</v>
      </c>
      <c r="B55" t="s">
        <v>1664</v>
      </c>
      <c r="C55" t="s">
        <v>8361</v>
      </c>
      <c r="D55" t="s">
        <v>8406</v>
      </c>
    </row>
    <row r="56" spans="1:4" x14ac:dyDescent="0.5">
      <c r="A56" s="291" t="s">
        <v>7798</v>
      </c>
      <c r="B56" t="s">
        <v>8403</v>
      </c>
      <c r="C56" t="s">
        <v>7810</v>
      </c>
      <c r="D56" t="s">
        <v>8407</v>
      </c>
    </row>
    <row r="57" spans="1:4" x14ac:dyDescent="0.5">
      <c r="A57" s="291" t="s">
        <v>8203</v>
      </c>
      <c r="B57" t="s">
        <v>8404</v>
      </c>
      <c r="C57" t="s">
        <v>7824</v>
      </c>
      <c r="D57" t="s">
        <v>8408</v>
      </c>
    </row>
    <row r="58" spans="1:4" x14ac:dyDescent="0.5">
      <c r="A58" s="292" t="s">
        <v>8208</v>
      </c>
      <c r="B58" t="s">
        <v>8405</v>
      </c>
      <c r="C58" t="s">
        <v>7819</v>
      </c>
      <c r="D58" t="s">
        <v>7787</v>
      </c>
    </row>
    <row r="59" spans="1:4" x14ac:dyDescent="0.5">
      <c r="A59" s="292" t="s">
        <v>7770</v>
      </c>
      <c r="B59" t="s">
        <v>8136</v>
      </c>
      <c r="C59" t="s">
        <v>7847</v>
      </c>
      <c r="D59" t="s">
        <v>7816</v>
      </c>
    </row>
    <row r="60" spans="1:4" x14ac:dyDescent="0.5">
      <c r="A60" s="292" t="s">
        <v>7790</v>
      </c>
      <c r="B60" t="s">
        <v>8406</v>
      </c>
      <c r="C60" t="s">
        <v>7844</v>
      </c>
      <c r="D60" t="s">
        <v>8409</v>
      </c>
    </row>
    <row r="61" spans="1:4" x14ac:dyDescent="0.5">
      <c r="A61" s="292" t="s">
        <v>7771</v>
      </c>
      <c r="B61" t="s">
        <v>8407</v>
      </c>
      <c r="C61" t="s">
        <v>7779</v>
      </c>
      <c r="D61" t="s">
        <v>8410</v>
      </c>
    </row>
    <row r="62" spans="1:4" x14ac:dyDescent="0.5">
      <c r="A62" s="292" t="s">
        <v>7763</v>
      </c>
      <c r="B62" t="s">
        <v>8408</v>
      </c>
      <c r="C62" t="s">
        <v>8362</v>
      </c>
      <c r="D62" t="s">
        <v>7846</v>
      </c>
    </row>
    <row r="63" spans="1:4" x14ac:dyDescent="0.5">
      <c r="A63" s="292" t="s">
        <v>8209</v>
      </c>
      <c r="B63" t="s">
        <v>7787</v>
      </c>
      <c r="C63" t="s">
        <v>8363</v>
      </c>
      <c r="D63" t="s">
        <v>8411</v>
      </c>
    </row>
    <row r="64" spans="1:4" x14ac:dyDescent="0.5">
      <c r="A64" s="292" t="s">
        <v>8210</v>
      </c>
      <c r="B64" t="s">
        <v>7816</v>
      </c>
      <c r="C64" t="s">
        <v>7769</v>
      </c>
      <c r="D64" t="s">
        <v>7820</v>
      </c>
    </row>
    <row r="65" spans="1:4" x14ac:dyDescent="0.5">
      <c r="A65" s="292" t="s">
        <v>8393</v>
      </c>
      <c r="B65" t="s">
        <v>8409</v>
      </c>
      <c r="C65" t="s">
        <v>8364</v>
      </c>
      <c r="D65" t="s">
        <v>8218</v>
      </c>
    </row>
    <row r="66" spans="1:4" x14ac:dyDescent="0.5">
      <c r="A66" s="292" t="s">
        <v>8211</v>
      </c>
      <c r="B66" t="s">
        <v>8410</v>
      </c>
      <c r="C66" t="s">
        <v>8002</v>
      </c>
      <c r="D66" t="s">
        <v>8219</v>
      </c>
    </row>
    <row r="67" spans="1:4" x14ac:dyDescent="0.5">
      <c r="A67" s="292" t="s">
        <v>8212</v>
      </c>
      <c r="B67" t="s">
        <v>7846</v>
      </c>
      <c r="C67" t="s">
        <v>7792</v>
      </c>
      <c r="D67" t="s">
        <v>8220</v>
      </c>
    </row>
    <row r="68" spans="1:4" x14ac:dyDescent="0.5">
      <c r="A68" s="292" t="s">
        <v>7773</v>
      </c>
      <c r="B68" t="s">
        <v>8411</v>
      </c>
      <c r="C68" t="s">
        <v>8365</v>
      </c>
      <c r="D68" t="s">
        <v>8221</v>
      </c>
    </row>
    <row r="69" spans="1:4" x14ac:dyDescent="0.5">
      <c r="B69" t="s">
        <v>7820</v>
      </c>
      <c r="C69" t="s">
        <v>8367</v>
      </c>
      <c r="D69" t="s">
        <v>8231</v>
      </c>
    </row>
    <row r="70" spans="1:4" x14ac:dyDescent="0.5">
      <c r="C70" s="284" t="s">
        <v>8217</v>
      </c>
      <c r="D70" t="s">
        <v>8235</v>
      </c>
    </row>
    <row r="71" spans="1:4" x14ac:dyDescent="0.5">
      <c r="C71" s="284" t="s">
        <v>8214</v>
      </c>
      <c r="D71" t="s">
        <v>8238</v>
      </c>
    </row>
    <row r="72" spans="1:4" x14ac:dyDescent="0.5">
      <c r="C72" s="284" t="s">
        <v>7799</v>
      </c>
      <c r="D72" t="s">
        <v>8240</v>
      </c>
    </row>
    <row r="73" spans="1:4" x14ac:dyDescent="0.5">
      <c r="C73" s="284" t="s">
        <v>8215</v>
      </c>
      <c r="D73" t="s">
        <v>8241</v>
      </c>
    </row>
    <row r="74" spans="1:4" x14ac:dyDescent="0.5">
      <c r="C74" s="284" t="s">
        <v>8216</v>
      </c>
    </row>
    <row r="75" spans="1:4" x14ac:dyDescent="0.5">
      <c r="C75" s="284" t="s">
        <v>8222</v>
      </c>
    </row>
    <row r="76" spans="1:4" x14ac:dyDescent="0.5">
      <c r="C76" s="284" t="s">
        <v>8223</v>
      </c>
    </row>
    <row r="77" spans="1:4" x14ac:dyDescent="0.5">
      <c r="C77" s="284" t="s">
        <v>8224</v>
      </c>
    </row>
    <row r="78" spans="1:4" x14ac:dyDescent="0.5">
      <c r="C78" s="284" t="s">
        <v>8225</v>
      </c>
    </row>
    <row r="79" spans="1:4" x14ac:dyDescent="0.5">
      <c r="C79" s="284" t="s">
        <v>8226</v>
      </c>
    </row>
    <row r="80" spans="1:4" x14ac:dyDescent="0.5">
      <c r="C80" s="284" t="s">
        <v>8227</v>
      </c>
    </row>
    <row r="81" spans="1:3" x14ac:dyDescent="0.5">
      <c r="C81" s="284" t="s">
        <v>8228</v>
      </c>
    </row>
    <row r="82" spans="1:3" x14ac:dyDescent="0.5">
      <c r="C82" s="284" t="s">
        <v>8229</v>
      </c>
    </row>
    <row r="83" spans="1:3" x14ac:dyDescent="0.5">
      <c r="C83" s="284" t="s">
        <v>8230</v>
      </c>
    </row>
    <row r="84" spans="1:3" x14ac:dyDescent="0.5">
      <c r="C84" s="284" t="s">
        <v>8232</v>
      </c>
    </row>
    <row r="85" spans="1:3" x14ac:dyDescent="0.5">
      <c r="C85" s="284" t="s">
        <v>8233</v>
      </c>
    </row>
    <row r="86" spans="1:3" x14ac:dyDescent="0.5">
      <c r="C86" s="284" t="s">
        <v>8234</v>
      </c>
    </row>
    <row r="87" spans="1:3" x14ac:dyDescent="0.5">
      <c r="C87" s="284" t="s">
        <v>8236</v>
      </c>
    </row>
    <row r="88" spans="1:3" x14ac:dyDescent="0.5">
      <c r="C88" s="284" t="s">
        <v>8237</v>
      </c>
    </row>
    <row r="89" spans="1:3" x14ac:dyDescent="0.5">
      <c r="C89" s="284" t="s">
        <v>8239</v>
      </c>
    </row>
    <row r="90" spans="1:3" x14ac:dyDescent="0.5">
      <c r="C90" s="284" t="s">
        <v>8242</v>
      </c>
    </row>
    <row r="91" spans="1:3" x14ac:dyDescent="0.5">
      <c r="A91" s="284"/>
      <c r="C91" s="284" t="s">
        <v>8243</v>
      </c>
    </row>
    <row r="92" spans="1:3" x14ac:dyDescent="0.5">
      <c r="A92" s="284"/>
    </row>
    <row r="93" spans="1:3" x14ac:dyDescent="0.5">
      <c r="A93" s="284"/>
    </row>
    <row r="94" spans="1:3" x14ac:dyDescent="0.5">
      <c r="A94" s="284"/>
    </row>
    <row r="95" spans="1:3" x14ac:dyDescent="0.5">
      <c r="A95" s="284"/>
    </row>
    <row r="96" spans="1:3" x14ac:dyDescent="0.5">
      <c r="A96" s="284"/>
    </row>
    <row r="97" spans="1:1" x14ac:dyDescent="0.5">
      <c r="A97" s="284"/>
    </row>
  </sheetData>
  <autoFilter ref="A1:B97" xr:uid="{AE089BE3-9CA5-4B23-A6A2-B42813A7E059}">
    <sortState xmlns:xlrd2="http://schemas.microsoft.com/office/spreadsheetml/2017/richdata2" ref="A2:B97">
      <sortCondition sortBy="cellColor" ref="A1:A97" dxfId="3"/>
    </sortState>
  </autoFilter>
  <conditionalFormatting sqref="B85:B1048576 B1:B69 D65:D73">
    <cfRule type="duplicateValues" dxfId="2" priority="12"/>
  </conditionalFormatting>
  <conditionalFormatting sqref="D22:D26">
    <cfRule type="duplicateValues" dxfId="1" priority="2"/>
  </conditionalFormatting>
  <conditionalFormatting sqref="D27:D64">
    <cfRule type="duplicateValues" dxfId="0" priority="1"/>
  </conditionalFormatting>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F012B6-0EA1-47A1-8D21-C16316FC9BFF}">
  <dimension ref="A1:G41"/>
  <sheetViews>
    <sheetView topLeftCell="A16" workbookViewId="0">
      <selection activeCell="E27" sqref="E27"/>
    </sheetView>
  </sheetViews>
  <sheetFormatPr defaultRowHeight="14.35" x14ac:dyDescent="0.5"/>
  <cols>
    <col min="2" max="2" width="12.3515625" bestFit="1" customWidth="1"/>
    <col min="3" max="3" width="12.3515625" customWidth="1"/>
    <col min="4" max="4" width="14.3515625" bestFit="1" customWidth="1"/>
    <col min="5" max="5" width="14.1171875" bestFit="1" customWidth="1"/>
    <col min="6" max="6" width="13.41015625" bestFit="1" customWidth="1"/>
    <col min="7" max="7" width="15.76171875" bestFit="1" customWidth="1"/>
  </cols>
  <sheetData>
    <row r="1" spans="1:7" ht="14.7" thickBot="1" x14ac:dyDescent="0.55000000000000004">
      <c r="A1" t="s">
        <v>8464</v>
      </c>
      <c r="B1" t="s">
        <v>8465</v>
      </c>
      <c r="C1" t="s">
        <v>7496</v>
      </c>
      <c r="D1" t="s">
        <v>8460</v>
      </c>
      <c r="E1" t="s">
        <v>8461</v>
      </c>
      <c r="F1" t="s">
        <v>8462</v>
      </c>
      <c r="G1" t="s">
        <v>8463</v>
      </c>
    </row>
    <row r="2" spans="1:7" x14ac:dyDescent="0.5">
      <c r="A2" s="155" t="s">
        <v>6602</v>
      </c>
      <c r="B2" s="196" t="s">
        <v>7480</v>
      </c>
      <c r="C2" s="196"/>
    </row>
    <row r="3" spans="1:7" ht="14.7" thickBot="1" x14ac:dyDescent="0.55000000000000004">
      <c r="A3" s="157" t="s">
        <v>152</v>
      </c>
      <c r="B3" s="196" t="s">
        <v>238</v>
      </c>
      <c r="C3" s="196"/>
    </row>
    <row r="4" spans="1:7" ht="14.7" thickBot="1" x14ac:dyDescent="0.55000000000000004">
      <c r="A4" s="37" t="s">
        <v>158</v>
      </c>
      <c r="B4" s="196" t="s">
        <v>7047</v>
      </c>
      <c r="C4" s="196"/>
    </row>
    <row r="5" spans="1:7" ht="14.7" thickBot="1" x14ac:dyDescent="0.55000000000000004">
      <c r="A5" s="37" t="s">
        <v>147</v>
      </c>
      <c r="B5" s="196" t="s">
        <v>7037</v>
      </c>
      <c r="C5" s="196"/>
    </row>
    <row r="6" spans="1:7" ht="14.7" thickBot="1" x14ac:dyDescent="0.55000000000000004">
      <c r="A6" s="37" t="s">
        <v>159</v>
      </c>
      <c r="B6" s="196" t="s">
        <v>235</v>
      </c>
      <c r="C6" s="196"/>
    </row>
    <row r="7" spans="1:7" ht="27.7" thickBot="1" x14ac:dyDescent="0.55000000000000004">
      <c r="A7" s="37" t="s">
        <v>146</v>
      </c>
      <c r="B7" s="196" t="s">
        <v>7036</v>
      </c>
      <c r="C7" s="196"/>
    </row>
    <row r="8" spans="1:7" ht="27.7" thickBot="1" x14ac:dyDescent="0.55000000000000004">
      <c r="A8" s="37" t="s">
        <v>148</v>
      </c>
      <c r="B8" s="196" t="s">
        <v>198</v>
      </c>
      <c r="C8" s="196"/>
    </row>
    <row r="9" spans="1:7" ht="14.7" thickBot="1" x14ac:dyDescent="0.55000000000000004">
      <c r="A9" s="37" t="s">
        <v>210</v>
      </c>
      <c r="B9" s="196" t="s">
        <v>232</v>
      </c>
      <c r="C9" s="196"/>
    </row>
    <row r="10" spans="1:7" ht="14.7" thickBot="1" x14ac:dyDescent="0.55000000000000004">
      <c r="A10" s="37" t="s">
        <v>211</v>
      </c>
      <c r="B10" s="196" t="s">
        <v>195</v>
      </c>
      <c r="C10" s="196"/>
    </row>
    <row r="11" spans="1:7" ht="27.7" thickBot="1" x14ac:dyDescent="0.55000000000000004">
      <c r="A11" s="37" t="s">
        <v>216</v>
      </c>
      <c r="B11" s="196" t="s">
        <v>213</v>
      </c>
      <c r="C11" s="196"/>
    </row>
    <row r="12" spans="1:7" ht="27.7" thickBot="1" x14ac:dyDescent="0.55000000000000004">
      <c r="A12" s="37" t="s">
        <v>155</v>
      </c>
      <c r="B12" s="196" t="s">
        <v>212</v>
      </c>
      <c r="C12" s="196"/>
    </row>
    <row r="13" spans="1:7" ht="27.7" thickBot="1" x14ac:dyDescent="0.55000000000000004">
      <c r="A13" s="37" t="s">
        <v>217</v>
      </c>
      <c r="B13" s="196" t="s">
        <v>214</v>
      </c>
      <c r="C13" s="196"/>
    </row>
    <row r="14" spans="1:7" ht="27.7" thickBot="1" x14ac:dyDescent="0.55000000000000004">
      <c r="A14" s="37" t="s">
        <v>140</v>
      </c>
      <c r="B14" s="196" t="s">
        <v>196</v>
      </c>
      <c r="C14" s="196"/>
    </row>
    <row r="15" spans="1:7" ht="14.7" thickBot="1" x14ac:dyDescent="0.55000000000000004">
      <c r="A15" s="37" t="s">
        <v>160</v>
      </c>
      <c r="B15" s="196" t="s">
        <v>194</v>
      </c>
      <c r="C15" s="196"/>
    </row>
    <row r="16" spans="1:7" ht="14.7" thickBot="1" x14ac:dyDescent="0.55000000000000004">
      <c r="A16" s="37" t="s">
        <v>169</v>
      </c>
      <c r="B16" s="196" t="s">
        <v>218</v>
      </c>
      <c r="C16" s="196"/>
    </row>
    <row r="17" spans="1:3" ht="14.7" thickBot="1" x14ac:dyDescent="0.55000000000000004">
      <c r="A17" s="37" t="s">
        <v>170</v>
      </c>
      <c r="B17" s="196" t="s">
        <v>192</v>
      </c>
      <c r="C17" s="196"/>
    </row>
    <row r="18" spans="1:3" ht="14.7" thickBot="1" x14ac:dyDescent="0.55000000000000004">
      <c r="A18" s="37" t="s">
        <v>171</v>
      </c>
      <c r="B18" s="196" t="s">
        <v>188</v>
      </c>
      <c r="C18" s="196"/>
    </row>
    <row r="19" spans="1:3" ht="14.7" thickBot="1" x14ac:dyDescent="0.55000000000000004">
      <c r="A19" s="37" t="s">
        <v>154</v>
      </c>
      <c r="B19" s="196" t="s">
        <v>7043</v>
      </c>
      <c r="C19" s="196"/>
    </row>
    <row r="20" spans="1:3" ht="14.7" thickBot="1" x14ac:dyDescent="0.55000000000000004">
      <c r="A20" s="37" t="s">
        <v>6649</v>
      </c>
      <c r="B20" s="196" t="s">
        <v>229</v>
      </c>
      <c r="C20" s="196"/>
    </row>
    <row r="21" spans="1:3" ht="14.7" thickBot="1" x14ac:dyDescent="0.55000000000000004">
      <c r="A21" s="37" t="s">
        <v>144</v>
      </c>
      <c r="B21" s="196" t="s">
        <v>7039</v>
      </c>
      <c r="C21" s="196"/>
    </row>
    <row r="22" spans="1:3" ht="14.7" thickBot="1" x14ac:dyDescent="0.55000000000000004">
      <c r="A22" s="37" t="s">
        <v>186</v>
      </c>
      <c r="B22" s="196" t="s">
        <v>7040</v>
      </c>
      <c r="C22" s="196"/>
    </row>
    <row r="23" spans="1:3" ht="14.7" thickBot="1" x14ac:dyDescent="0.55000000000000004">
      <c r="A23" s="37" t="s">
        <v>172</v>
      </c>
      <c r="B23" s="196" t="s">
        <v>2798</v>
      </c>
      <c r="C23" s="196"/>
    </row>
    <row r="24" spans="1:3" ht="27.7" thickBot="1" x14ac:dyDescent="0.55000000000000004">
      <c r="A24" s="37" t="s">
        <v>168</v>
      </c>
      <c r="B24" s="196" t="s">
        <v>241</v>
      </c>
      <c r="C24" s="196"/>
    </row>
    <row r="25" spans="1:3" ht="14.7" thickBot="1" x14ac:dyDescent="0.55000000000000004">
      <c r="A25" s="37" t="s">
        <v>167</v>
      </c>
      <c r="B25" s="196" t="s">
        <v>7410</v>
      </c>
      <c r="C25" s="196"/>
    </row>
    <row r="26" spans="1:3" ht="14.7" thickBot="1" x14ac:dyDescent="0.55000000000000004">
      <c r="A26" s="37" t="s">
        <v>244</v>
      </c>
      <c r="B26" s="196" t="s">
        <v>2771</v>
      </c>
      <c r="C26" s="196"/>
    </row>
    <row r="27" spans="1:3" ht="14.7" thickBot="1" x14ac:dyDescent="0.55000000000000004">
      <c r="A27" s="37" t="s">
        <v>240</v>
      </c>
      <c r="B27" s="196" t="s">
        <v>242</v>
      </c>
      <c r="C27" s="196"/>
    </row>
    <row r="28" spans="1:3" ht="14.7" thickBot="1" x14ac:dyDescent="0.55000000000000004">
      <c r="A28" s="37" t="s">
        <v>6672</v>
      </c>
      <c r="B28" s="196" t="s">
        <v>7046</v>
      </c>
      <c r="C28" s="196"/>
    </row>
    <row r="29" spans="1:3" ht="14.7" thickBot="1" x14ac:dyDescent="0.55000000000000004">
      <c r="A29" s="37" t="s">
        <v>151</v>
      </c>
      <c r="B29" s="196" t="s">
        <v>7409</v>
      </c>
      <c r="C29" s="196"/>
    </row>
    <row r="30" spans="1:3" ht="14.7" thickBot="1" x14ac:dyDescent="0.55000000000000004">
      <c r="A30" s="37" t="s">
        <v>173</v>
      </c>
      <c r="B30" s="196" t="s">
        <v>7860</v>
      </c>
      <c r="C30" s="196"/>
    </row>
    <row r="31" spans="1:3" ht="27.7" thickBot="1" x14ac:dyDescent="0.55000000000000004">
      <c r="A31" s="37" t="s">
        <v>6662</v>
      </c>
      <c r="B31" s="196" t="s">
        <v>1954</v>
      </c>
      <c r="C31" s="196"/>
    </row>
    <row r="32" spans="1:3" ht="14.7" thickBot="1" x14ac:dyDescent="0.55000000000000004">
      <c r="A32" s="37" t="s">
        <v>7482</v>
      </c>
      <c r="B32" s="196" t="s">
        <v>7481</v>
      </c>
      <c r="C32" s="196"/>
    </row>
    <row r="33" spans="1:3" ht="14.7" thickBot="1" x14ac:dyDescent="0.55000000000000004">
      <c r="A33" s="37" t="s">
        <v>185</v>
      </c>
      <c r="B33" s="196" t="s">
        <v>187</v>
      </c>
      <c r="C33" s="196"/>
    </row>
    <row r="34" spans="1:3" ht="14.7" thickBot="1" x14ac:dyDescent="0.55000000000000004">
      <c r="A34" s="37" t="s">
        <v>136</v>
      </c>
      <c r="B34" s="196" t="s">
        <v>231</v>
      </c>
      <c r="C34" s="196"/>
    </row>
    <row r="35" spans="1:3" ht="14.7" thickBot="1" x14ac:dyDescent="0.55000000000000004">
      <c r="A35" s="156" t="s">
        <v>163</v>
      </c>
      <c r="B35" s="196" t="s">
        <v>7045</v>
      </c>
      <c r="C35" s="196"/>
    </row>
    <row r="36" spans="1:3" x14ac:dyDescent="0.5">
      <c r="A36" s="155" t="s">
        <v>226</v>
      </c>
      <c r="B36" s="196" t="s">
        <v>224</v>
      </c>
      <c r="C36" s="196"/>
    </row>
    <row r="37" spans="1:3" ht="27.7" thickBot="1" x14ac:dyDescent="0.55000000000000004">
      <c r="A37" s="156" t="s">
        <v>164</v>
      </c>
      <c r="B37" s="196" t="s">
        <v>193</v>
      </c>
      <c r="C37" s="196"/>
    </row>
    <row r="38" spans="1:3" x14ac:dyDescent="0.5">
      <c r="A38" s="155" t="s">
        <v>227</v>
      </c>
      <c r="B38" s="196" t="s">
        <v>228</v>
      </c>
      <c r="C38" s="196"/>
    </row>
    <row r="39" spans="1:3" x14ac:dyDescent="0.5">
      <c r="A39" s="156" t="s">
        <v>233</v>
      </c>
      <c r="B39" s="196" t="s">
        <v>7042</v>
      </c>
      <c r="C39" s="196"/>
    </row>
    <row r="40" spans="1:3" x14ac:dyDescent="0.5">
      <c r="A40" s="156" t="s">
        <v>139</v>
      </c>
      <c r="B40" s="196" t="s">
        <v>197</v>
      </c>
      <c r="C40" s="196"/>
    </row>
    <row r="41" spans="1:3" ht="27.7" thickBot="1" x14ac:dyDescent="0.55000000000000004">
      <c r="A41" s="157" t="s">
        <v>137</v>
      </c>
      <c r="B41" s="196" t="s">
        <v>7041</v>
      </c>
      <c r="C41" s="196"/>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F8444D-ADC5-4BF7-B5BE-78B0F07B9184}">
  <dimension ref="A1:K53"/>
  <sheetViews>
    <sheetView zoomScale="70" zoomScaleNormal="70" workbookViewId="0">
      <selection activeCell="E15" sqref="E15"/>
    </sheetView>
  </sheetViews>
  <sheetFormatPr defaultRowHeight="14.35" x14ac:dyDescent="0.5"/>
  <cols>
    <col min="2" max="2" width="108.52734375" bestFit="1" customWidth="1"/>
    <col min="3" max="3" width="108.52734375" customWidth="1"/>
    <col min="4" max="4" width="108.52734375" hidden="1" customWidth="1"/>
    <col min="5" max="5" width="17.1171875" style="234" bestFit="1" customWidth="1"/>
    <col min="6" max="6" width="20.41015625" bestFit="1" customWidth="1"/>
    <col min="7" max="7" width="85.76171875" customWidth="1"/>
    <col min="8" max="8" width="24.87890625" hidden="1" customWidth="1"/>
    <col min="9" max="9" width="34.3515625" bestFit="1" customWidth="1"/>
    <col min="10" max="10" width="30.64453125" bestFit="1" customWidth="1"/>
  </cols>
  <sheetData>
    <row r="1" spans="1:11" ht="14.7" thickBot="1" x14ac:dyDescent="0.55000000000000004">
      <c r="A1" s="255" t="s">
        <v>7262</v>
      </c>
      <c r="B1" s="255" t="s">
        <v>7230</v>
      </c>
      <c r="C1" s="255" t="s">
        <v>7365</v>
      </c>
      <c r="D1" s="255" t="s">
        <v>7273</v>
      </c>
      <c r="E1" s="256" t="s">
        <v>7319</v>
      </c>
      <c r="F1" s="255" t="s">
        <v>7241</v>
      </c>
      <c r="G1" s="255" t="s">
        <v>7238</v>
      </c>
      <c r="H1" s="235" t="s">
        <v>7317</v>
      </c>
      <c r="I1" s="235" t="s">
        <v>7050</v>
      </c>
      <c r="J1" s="235" t="s">
        <v>7407</v>
      </c>
      <c r="K1" s="235" t="s">
        <v>7408</v>
      </c>
    </row>
    <row r="2" spans="1:11" x14ac:dyDescent="0.5">
      <c r="A2" s="238" t="s">
        <v>7363</v>
      </c>
      <c r="B2" s="239" t="s">
        <v>7274</v>
      </c>
      <c r="C2" s="239" t="s">
        <v>7366</v>
      </c>
      <c r="D2" s="239" t="s">
        <v>7193</v>
      </c>
      <c r="E2" s="240" t="s">
        <v>7320</v>
      </c>
      <c r="F2" s="239" t="s">
        <v>129</v>
      </c>
      <c r="G2" s="241" t="s">
        <v>7312</v>
      </c>
      <c r="I2" t="str">
        <f>A2&amp;";"&amp;B2&amp;";"&amp;E2</f>
        <v>empire;Aus;2362;1584</v>
      </c>
      <c r="J2" t="str">
        <f>"duchy"&amp;";"&amp;$C2&amp;":"&amp;$E2</f>
        <v>duchy;Sydney:2362;1584</v>
      </c>
      <c r="K2" t="str">
        <f>"county"&amp;";"&amp;$C2&amp;":"&amp;$E2</f>
        <v>county;Sydney:2362;1584</v>
      </c>
    </row>
    <row r="3" spans="1:11" x14ac:dyDescent="0.5">
      <c r="A3" s="242" t="s">
        <v>7364</v>
      </c>
      <c r="B3" s="1" t="s">
        <v>7274</v>
      </c>
      <c r="C3" s="1" t="s">
        <v>7366</v>
      </c>
      <c r="D3" s="1" t="s">
        <v>7197</v>
      </c>
      <c r="E3" s="236" t="s">
        <v>7320</v>
      </c>
      <c r="F3" s="1" t="s">
        <v>7274</v>
      </c>
      <c r="G3" s="243" t="s">
        <v>7310</v>
      </c>
      <c r="I3" t="str">
        <f t="shared" ref="I3:I53" si="0">A3&amp;";"&amp;B3&amp;";"&amp;E3</f>
        <v>kingdom;Aus;2362;1584</v>
      </c>
      <c r="J3" t="str">
        <f t="shared" ref="J3:J53" si="1">"duchy"&amp;";"&amp;C3&amp;":"&amp;E3</f>
        <v>duchy;Sydney:2362;1584</v>
      </c>
      <c r="K3" t="str">
        <f t="shared" ref="K3:K53" si="2">"county"&amp;";"&amp;$C3&amp;":"&amp;$E3</f>
        <v>county;Sydney:2362;1584</v>
      </c>
    </row>
    <row r="4" spans="1:11" x14ac:dyDescent="0.5">
      <c r="A4" s="242" t="s">
        <v>7364</v>
      </c>
      <c r="B4" s="1" t="s">
        <v>7263</v>
      </c>
      <c r="C4" s="1" t="s">
        <v>7263</v>
      </c>
      <c r="D4" s="1" t="s">
        <v>7195</v>
      </c>
      <c r="E4" s="236" t="s">
        <v>7321</v>
      </c>
      <c r="F4" s="1" t="s">
        <v>7274</v>
      </c>
      <c r="G4" s="243"/>
      <c r="I4" t="str">
        <f t="shared" si="0"/>
        <v>kingdom;Canberry;2309;1612</v>
      </c>
      <c r="J4" t="str">
        <f t="shared" si="1"/>
        <v>duchy;Canberry:2309;1612</v>
      </c>
      <c r="K4" t="str">
        <f t="shared" si="2"/>
        <v>county;Canberry:2309;1612</v>
      </c>
    </row>
    <row r="5" spans="1:11" x14ac:dyDescent="0.5">
      <c r="A5" s="242" t="s">
        <v>7364</v>
      </c>
      <c r="B5" s="1" t="s">
        <v>7264</v>
      </c>
      <c r="C5" s="1" t="s">
        <v>7367</v>
      </c>
      <c r="D5" s="1" t="s">
        <v>7196</v>
      </c>
      <c r="E5" s="236" t="s">
        <v>7322</v>
      </c>
      <c r="F5" s="1" t="s">
        <v>7274</v>
      </c>
      <c r="G5" s="243"/>
      <c r="H5" s="27"/>
      <c r="I5" t="str">
        <f t="shared" si="0"/>
        <v>kingdom;Victoria;2200;1681</v>
      </c>
      <c r="J5" t="str">
        <f t="shared" si="1"/>
        <v>duchy;Melbourne:2200;1681</v>
      </c>
      <c r="K5" t="str">
        <f t="shared" si="2"/>
        <v>county;Melbourne:2200;1681</v>
      </c>
    </row>
    <row r="6" spans="1:11" x14ac:dyDescent="0.5">
      <c r="A6" s="242" t="s">
        <v>7364</v>
      </c>
      <c r="B6" s="1" t="s">
        <v>7201</v>
      </c>
      <c r="C6" s="1" t="s">
        <v>7368</v>
      </c>
      <c r="D6" s="1" t="s">
        <v>7201</v>
      </c>
      <c r="E6" s="236" t="s">
        <v>7323</v>
      </c>
      <c r="F6" s="1" t="s">
        <v>7274</v>
      </c>
      <c r="G6" s="243"/>
      <c r="H6" s="27"/>
      <c r="I6" t="str">
        <f t="shared" si="0"/>
        <v>kingdom;Queensland;2417;1405</v>
      </c>
      <c r="J6" t="str">
        <f t="shared" si="1"/>
        <v>duchy;Brisbane:2417;1405</v>
      </c>
      <c r="K6" t="str">
        <f t="shared" si="2"/>
        <v>county;Brisbane:2417;1405</v>
      </c>
    </row>
    <row r="7" spans="1:11" x14ac:dyDescent="0.5">
      <c r="A7" s="242" t="s">
        <v>7364</v>
      </c>
      <c r="B7" s="1" t="s">
        <v>7265</v>
      </c>
      <c r="C7" s="1" t="s">
        <v>7369</v>
      </c>
      <c r="D7" s="1" t="s">
        <v>7202</v>
      </c>
      <c r="E7" s="236" t="s">
        <v>7324</v>
      </c>
      <c r="F7" s="1" t="s">
        <v>7274</v>
      </c>
      <c r="G7" s="243"/>
      <c r="I7" t="str">
        <f t="shared" si="0"/>
        <v>kingdom;Tasmania;2272;1813</v>
      </c>
      <c r="J7" t="str">
        <f t="shared" si="1"/>
        <v>duchy;Hobart:2272;1813</v>
      </c>
      <c r="K7" t="str">
        <f t="shared" si="2"/>
        <v>county;Hobart:2272;1813</v>
      </c>
    </row>
    <row r="8" spans="1:11" x14ac:dyDescent="0.5">
      <c r="A8" s="242" t="s">
        <v>7364</v>
      </c>
      <c r="B8" s="1" t="s">
        <v>7294</v>
      </c>
      <c r="C8" s="1" t="s">
        <v>7370</v>
      </c>
      <c r="D8" s="1" t="s">
        <v>7203</v>
      </c>
      <c r="E8" s="236" t="s">
        <v>7325</v>
      </c>
      <c r="F8" s="1" t="s">
        <v>7274</v>
      </c>
      <c r="G8" s="243" t="s">
        <v>7311</v>
      </c>
      <c r="I8" t="str">
        <f t="shared" si="0"/>
        <v>kingdom;Eyre;2035;1606</v>
      </c>
      <c r="J8" t="str">
        <f t="shared" si="1"/>
        <v>duchy;Adelaide:2035;1606</v>
      </c>
      <c r="K8" t="str">
        <f t="shared" si="2"/>
        <v>county;Adelaide:2035;1606</v>
      </c>
    </row>
    <row r="9" spans="1:11" x14ac:dyDescent="0.5">
      <c r="A9" s="242" t="s">
        <v>7363</v>
      </c>
      <c r="B9" s="1" t="s">
        <v>7266</v>
      </c>
      <c r="C9" s="1" t="s">
        <v>7267</v>
      </c>
      <c r="D9" s="1" t="s">
        <v>7194</v>
      </c>
      <c r="E9" s="236" t="s">
        <v>7326</v>
      </c>
      <c r="F9" s="1" t="s">
        <v>129</v>
      </c>
      <c r="G9" s="244" t="s">
        <v>7313</v>
      </c>
      <c r="I9" t="str">
        <f t="shared" si="0"/>
        <v>empire;Outback;1435;1518</v>
      </c>
      <c r="J9" t="str">
        <f t="shared" si="1"/>
        <v>duchy;Perth:1435;1518</v>
      </c>
      <c r="K9" t="str">
        <f t="shared" si="2"/>
        <v>county;Perth:1435;1518</v>
      </c>
    </row>
    <row r="10" spans="1:11" x14ac:dyDescent="0.5">
      <c r="A10" s="242" t="s">
        <v>7364</v>
      </c>
      <c r="B10" s="1" t="s">
        <v>7267</v>
      </c>
      <c r="C10" s="1" t="s">
        <v>7267</v>
      </c>
      <c r="D10" s="1" t="s">
        <v>7198</v>
      </c>
      <c r="E10" s="236" t="s">
        <v>7326</v>
      </c>
      <c r="F10" s="1" t="s">
        <v>7276</v>
      </c>
      <c r="G10" s="243"/>
      <c r="I10" t="str">
        <f t="shared" si="0"/>
        <v>kingdom;Perth;1435;1518</v>
      </c>
      <c r="J10" t="str">
        <f t="shared" si="1"/>
        <v>duchy;Perth:1435;1518</v>
      </c>
      <c r="K10" t="str">
        <f t="shared" si="2"/>
        <v>county;Perth:1435;1518</v>
      </c>
    </row>
    <row r="11" spans="1:11" x14ac:dyDescent="0.5">
      <c r="A11" s="242" t="s">
        <v>7364</v>
      </c>
      <c r="B11" s="1" t="s">
        <v>7266</v>
      </c>
      <c r="C11" s="1" t="s">
        <v>7371</v>
      </c>
      <c r="D11" s="1" t="s">
        <v>7243</v>
      </c>
      <c r="E11" s="236" t="s">
        <v>7327</v>
      </c>
      <c r="F11" s="1" t="s">
        <v>7276</v>
      </c>
      <c r="G11" s="243" t="s">
        <v>7244</v>
      </c>
      <c r="I11" t="str">
        <f t="shared" si="0"/>
        <v>kingdom;Outback;1914;1311</v>
      </c>
      <c r="J11" t="str">
        <f t="shared" si="1"/>
        <v>duchy;Alice Springs:1914;1311</v>
      </c>
      <c r="K11" t="str">
        <f t="shared" si="2"/>
        <v>county;Alice Springs:1914;1311</v>
      </c>
    </row>
    <row r="12" spans="1:11" x14ac:dyDescent="0.5">
      <c r="A12" s="242" t="s">
        <v>7364</v>
      </c>
      <c r="B12" s="1" t="s">
        <v>7309</v>
      </c>
      <c r="C12" s="1" t="s">
        <v>7372</v>
      </c>
      <c r="D12" s="1" t="s">
        <v>7199</v>
      </c>
      <c r="E12" s="236" t="s">
        <v>7328</v>
      </c>
      <c r="F12" s="1" t="s">
        <v>7276</v>
      </c>
      <c r="G12" s="243" t="s">
        <v>7316</v>
      </c>
      <c r="I12" t="str">
        <f t="shared" si="0"/>
        <v>kingdom;Westralia;1386;1394</v>
      </c>
      <c r="J12" t="str">
        <f t="shared" si="1"/>
        <v>duchy;Geraldton:1386;1394</v>
      </c>
      <c r="K12" t="str">
        <f t="shared" si="2"/>
        <v>county;Geraldton:1386;1394</v>
      </c>
    </row>
    <row r="13" spans="1:11" x14ac:dyDescent="0.5">
      <c r="A13" s="242" t="s">
        <v>7364</v>
      </c>
      <c r="B13" s="1" t="s">
        <v>8458</v>
      </c>
      <c r="C13" s="1" t="s">
        <v>7373</v>
      </c>
      <c r="D13" s="1" t="s">
        <v>7271</v>
      </c>
      <c r="E13" s="236" t="s">
        <v>8459</v>
      </c>
      <c r="F13" s="1" t="s">
        <v>7276</v>
      </c>
      <c r="G13" s="243" t="s">
        <v>7272</v>
      </c>
      <c r="I13" t="str">
        <f t="shared" si="0"/>
        <v>kingdom;Kwongan;1758;1521</v>
      </c>
      <c r="J13" t="str">
        <f t="shared" si="1"/>
        <v>duchy;Eucla:1758;1521</v>
      </c>
      <c r="K13" t="str">
        <f t="shared" si="2"/>
        <v>county;Eucla:1758;1521</v>
      </c>
    </row>
    <row r="14" spans="1:11" x14ac:dyDescent="0.5">
      <c r="A14" s="242" t="s">
        <v>7364</v>
      </c>
      <c r="B14" s="1" t="s">
        <v>7308</v>
      </c>
      <c r="C14" s="1" t="s">
        <v>7308</v>
      </c>
      <c r="D14" s="1" t="s">
        <v>7200</v>
      </c>
      <c r="E14" s="236" t="s">
        <v>7329</v>
      </c>
      <c r="F14" s="1" t="s">
        <v>7276</v>
      </c>
      <c r="G14" s="244" t="s">
        <v>7200</v>
      </c>
      <c r="I14" t="str">
        <f t="shared" si="0"/>
        <v>kingdom;Darwin;1848;1014</v>
      </c>
      <c r="J14" t="str">
        <f t="shared" si="1"/>
        <v>duchy;Darwin:1848;1014</v>
      </c>
      <c r="K14" t="str">
        <f t="shared" si="2"/>
        <v>county;Darwin:1848;1014</v>
      </c>
    </row>
    <row r="15" spans="1:11" x14ac:dyDescent="0.5">
      <c r="A15" s="242" t="s">
        <v>7363</v>
      </c>
      <c r="B15" s="1" t="s">
        <v>129</v>
      </c>
      <c r="C15" s="1" t="s">
        <v>7374</v>
      </c>
      <c r="D15" s="1" t="s">
        <v>7245</v>
      </c>
      <c r="E15" s="236" t="s">
        <v>7331</v>
      </c>
      <c r="F15" s="1" t="s">
        <v>129</v>
      </c>
      <c r="G15" s="243" t="s">
        <v>7246</v>
      </c>
      <c r="I15" t="str">
        <f t="shared" si="0"/>
        <v>empire;Oceania;3716;119</v>
      </c>
      <c r="J15" t="str">
        <f t="shared" si="1"/>
        <v>duchy;Honolulu:3716;119</v>
      </c>
      <c r="K15" t="str">
        <f t="shared" si="2"/>
        <v>county;Honolulu:3716;119</v>
      </c>
    </row>
    <row r="16" spans="1:11" x14ac:dyDescent="0.5">
      <c r="A16" s="242" t="s">
        <v>7364</v>
      </c>
      <c r="B16" s="1" t="s">
        <v>7281</v>
      </c>
      <c r="C16" s="1" t="s">
        <v>7374</v>
      </c>
      <c r="D16" s="1" t="s">
        <v>7204</v>
      </c>
      <c r="E16" s="236" t="s">
        <v>7331</v>
      </c>
      <c r="F16" s="1" t="s">
        <v>129</v>
      </c>
      <c r="G16" s="243"/>
      <c r="I16" t="str">
        <f t="shared" si="0"/>
        <v>kingdom;Hawaii;3716;119</v>
      </c>
      <c r="J16" t="str">
        <f t="shared" si="1"/>
        <v>duchy;Honolulu:3716;119</v>
      </c>
      <c r="K16" t="str">
        <f t="shared" si="2"/>
        <v>county;Honolulu:3716;119</v>
      </c>
    </row>
    <row r="17" spans="1:11" x14ac:dyDescent="0.5">
      <c r="A17" s="242" t="s">
        <v>7364</v>
      </c>
      <c r="B17" s="1" t="s">
        <v>7295</v>
      </c>
      <c r="C17" s="1" t="s">
        <v>7376</v>
      </c>
      <c r="D17" s="1" t="s">
        <v>7207</v>
      </c>
      <c r="E17" s="236" t="s">
        <v>7332</v>
      </c>
      <c r="F17" s="1" t="s">
        <v>129</v>
      </c>
      <c r="G17" s="243" t="s">
        <v>7314</v>
      </c>
      <c r="I17" t="str">
        <f t="shared" si="0"/>
        <v>kingdom;Pacific;3087;1157</v>
      </c>
      <c r="J17" t="str">
        <f t="shared" si="1"/>
        <v>duchy;Fiji:3087;1157</v>
      </c>
      <c r="K17" t="str">
        <f t="shared" si="2"/>
        <v>county;Fiji:3087;1157</v>
      </c>
    </row>
    <row r="18" spans="1:11" x14ac:dyDescent="0.5">
      <c r="A18" s="242" t="s">
        <v>7406</v>
      </c>
      <c r="B18" s="1" t="s">
        <v>7283</v>
      </c>
      <c r="C18" s="29" t="s">
        <v>7283</v>
      </c>
      <c r="D18" s="1" t="s">
        <v>7229</v>
      </c>
      <c r="E18" s="236" t="s">
        <v>7334</v>
      </c>
      <c r="F18" s="1" t="s">
        <v>129</v>
      </c>
      <c r="G18" s="243" t="s">
        <v>7249</v>
      </c>
      <c r="I18" t="str">
        <f>A18&amp;";"&amp;B18&amp;";"&amp;E18</f>
        <v>duchy;Caledonia;2776;127</v>
      </c>
      <c r="J18" t="str">
        <f t="shared" si="1"/>
        <v>duchy;Caledonia:2776;127</v>
      </c>
      <c r="K18" t="str">
        <f t="shared" si="2"/>
        <v>county;Caledonia:2776;127</v>
      </c>
    </row>
    <row r="19" spans="1:11" x14ac:dyDescent="0.5">
      <c r="A19" s="254" t="s">
        <v>7242</v>
      </c>
      <c r="B19" s="29" t="s">
        <v>7375</v>
      </c>
      <c r="C19" s="1" t="s">
        <v>7377</v>
      </c>
      <c r="D19" s="1"/>
      <c r="E19" s="236" t="s">
        <v>7330</v>
      </c>
      <c r="F19" s="29" t="s">
        <v>129</v>
      </c>
      <c r="G19" s="243"/>
      <c r="I19" t="str">
        <f>A19&amp;";"&amp;B19&amp;";"&amp;E19</f>
        <v>Empire;Zealandia;2989;1662</v>
      </c>
      <c r="J19" t="str">
        <f t="shared" si="1"/>
        <v>duchy;Auckland:2989;1662</v>
      </c>
      <c r="K19" t="str">
        <f t="shared" si="2"/>
        <v>county;Auckland:2989;1662</v>
      </c>
    </row>
    <row r="20" spans="1:11" x14ac:dyDescent="0.5">
      <c r="A20" s="242" t="s">
        <v>7364</v>
      </c>
      <c r="B20" s="1" t="s">
        <v>7282</v>
      </c>
      <c r="C20" s="1" t="s">
        <v>7377</v>
      </c>
      <c r="D20" s="1" t="s">
        <v>7206</v>
      </c>
      <c r="E20" s="236" t="s">
        <v>7330</v>
      </c>
      <c r="F20" s="1" t="s">
        <v>7375</v>
      </c>
      <c r="G20" s="243" t="s">
        <v>7248</v>
      </c>
      <c r="I20" t="str">
        <f>A20&amp;";"&amp;B20&amp;";"&amp;E20</f>
        <v>kingdom;Aotearoa;2989;1662</v>
      </c>
      <c r="J20" t="str">
        <f t="shared" si="1"/>
        <v>duchy;Auckland:2989;1662</v>
      </c>
      <c r="K20" t="str">
        <f t="shared" si="2"/>
        <v>county;Auckland:2989;1662</v>
      </c>
    </row>
    <row r="21" spans="1:11" x14ac:dyDescent="0.5">
      <c r="A21" s="242" t="s">
        <v>7364</v>
      </c>
      <c r="B21" s="1" t="s">
        <v>7315</v>
      </c>
      <c r="C21" s="29" t="s">
        <v>7378</v>
      </c>
      <c r="D21" s="1" t="s">
        <v>7209</v>
      </c>
      <c r="E21" s="236" t="s">
        <v>7333</v>
      </c>
      <c r="F21" s="1" t="s">
        <v>7375</v>
      </c>
      <c r="G21" s="243" t="s">
        <v>7379</v>
      </c>
      <c r="I21" t="str">
        <f>A21&amp;";"&amp;B21&amp;";"&amp;E21</f>
        <v>kingdom;Middle Zealand;2931;1837</v>
      </c>
      <c r="J21" t="str">
        <f t="shared" si="1"/>
        <v>duchy;Edoras:2931;1837</v>
      </c>
      <c r="K21" t="str">
        <f t="shared" si="2"/>
        <v>county;Edoras:2931;1837</v>
      </c>
    </row>
    <row r="22" spans="1:11" ht="14.7" thickBot="1" x14ac:dyDescent="0.55000000000000004">
      <c r="A22" s="245" t="s">
        <v>7363</v>
      </c>
      <c r="B22" s="246" t="s">
        <v>7277</v>
      </c>
      <c r="C22" s="246" t="s">
        <v>7380</v>
      </c>
      <c r="D22" s="246" t="s">
        <v>7205</v>
      </c>
      <c r="E22" s="247" t="s">
        <v>7335</v>
      </c>
      <c r="F22" s="246" t="s">
        <v>7247</v>
      </c>
      <c r="G22" s="248" t="s">
        <v>7253</v>
      </c>
      <c r="I22" t="str">
        <f t="shared" si="0"/>
        <v>empire;Siam;1026;318</v>
      </c>
      <c r="J22" t="str">
        <f t="shared" si="1"/>
        <v>duchy;Bangkok:1026;318</v>
      </c>
      <c r="K22" t="str">
        <f t="shared" si="2"/>
        <v>county;Bangkok:1026;318</v>
      </c>
    </row>
    <row r="23" spans="1:11" x14ac:dyDescent="0.5">
      <c r="A23" s="10" t="s">
        <v>7364</v>
      </c>
      <c r="B23" s="10" t="s">
        <v>91</v>
      </c>
      <c r="C23" s="10" t="s">
        <v>7380</v>
      </c>
      <c r="D23" s="10" t="s">
        <v>7210</v>
      </c>
      <c r="E23" s="253" t="s">
        <v>7335</v>
      </c>
      <c r="F23" s="10" t="s">
        <v>91</v>
      </c>
      <c r="G23" s="10" t="s">
        <v>7205</v>
      </c>
      <c r="I23" t="str">
        <f t="shared" si="0"/>
        <v>kingdom;Thailand;1026;318</v>
      </c>
      <c r="J23" t="str">
        <f t="shared" si="1"/>
        <v>duchy;Bangkok:1026;318</v>
      </c>
      <c r="K23" t="str">
        <f t="shared" si="2"/>
        <v>county;Bangkok:1026;318</v>
      </c>
    </row>
    <row r="24" spans="1:11" x14ac:dyDescent="0.5">
      <c r="A24" s="1" t="s">
        <v>7364</v>
      </c>
      <c r="B24" s="1" t="s">
        <v>97</v>
      </c>
      <c r="C24" s="1" t="s">
        <v>7381</v>
      </c>
      <c r="D24" s="1" t="s">
        <v>7211</v>
      </c>
      <c r="E24" s="236" t="s">
        <v>7336</v>
      </c>
      <c r="F24" s="1" t="s">
        <v>91</v>
      </c>
      <c r="G24" s="1" t="s">
        <v>7205</v>
      </c>
      <c r="I24" t="str">
        <f t="shared" si="0"/>
        <v>kingdom;Laos;1096;244</v>
      </c>
      <c r="J24" t="str">
        <f t="shared" si="1"/>
        <v>duchy;Vientiane:1096;244</v>
      </c>
      <c r="K24" t="str">
        <f t="shared" si="2"/>
        <v>county;Vientiane:1096;244</v>
      </c>
    </row>
    <row r="25" spans="1:11" x14ac:dyDescent="0.5">
      <c r="A25" s="1" t="s">
        <v>7364</v>
      </c>
      <c r="B25" s="1" t="s">
        <v>7284</v>
      </c>
      <c r="C25" s="1" t="s">
        <v>7382</v>
      </c>
      <c r="D25" s="1" t="s">
        <v>7212</v>
      </c>
      <c r="E25" s="236" t="s">
        <v>7337</v>
      </c>
      <c r="F25" s="1" t="s">
        <v>91</v>
      </c>
      <c r="G25" s="1" t="s">
        <v>7205</v>
      </c>
      <c r="I25" t="str">
        <f t="shared" si="0"/>
        <v>kingdom;Cambodia;1142;415</v>
      </c>
      <c r="J25" t="str">
        <f t="shared" si="1"/>
        <v>duchy;Phnom Penh:1142;415</v>
      </c>
      <c r="K25" t="str">
        <f t="shared" si="2"/>
        <v>county;Phnom Penh:1142;415</v>
      </c>
    </row>
    <row r="26" spans="1:11" x14ac:dyDescent="0.5">
      <c r="A26" s="1" t="s">
        <v>7364</v>
      </c>
      <c r="B26" s="1" t="s">
        <v>7285</v>
      </c>
      <c r="C26" s="1" t="s">
        <v>7383</v>
      </c>
      <c r="D26" s="1" t="s">
        <v>7219</v>
      </c>
      <c r="E26" s="236" t="s">
        <v>7338</v>
      </c>
      <c r="F26" s="1" t="s">
        <v>91</v>
      </c>
      <c r="G26" s="1" t="s">
        <v>7205</v>
      </c>
      <c r="I26" t="str">
        <f t="shared" si="0"/>
        <v>kingdom;Myanmar;914;234</v>
      </c>
      <c r="J26" t="str">
        <f t="shared" si="1"/>
        <v>duchy;Yangon:914;234</v>
      </c>
      <c r="K26" t="str">
        <f t="shared" si="2"/>
        <v>county;Yangon:914;234</v>
      </c>
    </row>
    <row r="27" spans="1:11" x14ac:dyDescent="0.5">
      <c r="A27" s="1" t="s">
        <v>7363</v>
      </c>
      <c r="B27" s="1" t="s">
        <v>7275</v>
      </c>
      <c r="C27" s="1" t="s">
        <v>7384</v>
      </c>
      <c r="D27" s="1" t="s">
        <v>7223</v>
      </c>
      <c r="E27" s="236" t="s">
        <v>7339</v>
      </c>
      <c r="F27" s="1" t="s">
        <v>7247</v>
      </c>
      <c r="G27" s="1" t="s">
        <v>7254</v>
      </c>
      <c r="H27" s="27" t="s">
        <v>7318</v>
      </c>
      <c r="I27" t="str">
        <f t="shared" si="0"/>
        <v>empire;Archipelago;1190;850</v>
      </c>
      <c r="J27" t="str">
        <f t="shared" si="1"/>
        <v>duchy;Jakarta:1190;850</v>
      </c>
      <c r="K27" t="str">
        <f t="shared" si="2"/>
        <v>county;Jakarta:1190;850</v>
      </c>
    </row>
    <row r="28" spans="1:11" x14ac:dyDescent="0.5">
      <c r="A28" s="1" t="s">
        <v>7364</v>
      </c>
      <c r="B28" s="1" t="s">
        <v>7213</v>
      </c>
      <c r="C28" s="1" t="s">
        <v>7384</v>
      </c>
      <c r="D28" s="1" t="s">
        <v>7216</v>
      </c>
      <c r="E28" s="236" t="s">
        <v>7339</v>
      </c>
      <c r="F28" s="1" t="s">
        <v>7275</v>
      </c>
      <c r="G28" s="1" t="s">
        <v>7250</v>
      </c>
      <c r="I28" t="str">
        <f>A28&amp;";"&amp;B28&amp;";"&amp;E28</f>
        <v>kingdom;Java;1190;850</v>
      </c>
      <c r="J28" t="str">
        <f t="shared" si="1"/>
        <v>duchy;Jakarta:1190;850</v>
      </c>
      <c r="K28" t="str">
        <f t="shared" si="2"/>
        <v>county;Jakarta:1190;850</v>
      </c>
    </row>
    <row r="29" spans="1:11" x14ac:dyDescent="0.5">
      <c r="A29" s="242" t="s">
        <v>7364</v>
      </c>
      <c r="B29" s="1" t="s">
        <v>87</v>
      </c>
      <c r="C29" s="1" t="s">
        <v>7385</v>
      </c>
      <c r="D29" s="1" t="s">
        <v>7215</v>
      </c>
      <c r="E29" s="236" t="s">
        <v>7340</v>
      </c>
      <c r="F29" s="1" t="s">
        <v>7275</v>
      </c>
      <c r="G29" s="243"/>
      <c r="I29" t="str">
        <f t="shared" si="0"/>
        <v>kingdom;Malaysia;1058;606</v>
      </c>
      <c r="J29" t="str">
        <f t="shared" si="1"/>
        <v>duchy;Kuala Lumpur:1058;606</v>
      </c>
      <c r="K29" t="str">
        <f t="shared" si="2"/>
        <v>county;Kuala Lumpur:1058;606</v>
      </c>
    </row>
    <row r="30" spans="1:11" x14ac:dyDescent="0.5">
      <c r="A30" s="242" t="s">
        <v>7364</v>
      </c>
      <c r="B30" s="1" t="s">
        <v>7214</v>
      </c>
      <c r="C30" s="1" t="s">
        <v>7387</v>
      </c>
      <c r="D30" s="1" t="s">
        <v>7217</v>
      </c>
      <c r="E30" s="236" t="s">
        <v>7341</v>
      </c>
      <c r="F30" s="1" t="s">
        <v>7275</v>
      </c>
      <c r="G30" s="243" t="s">
        <v>7303</v>
      </c>
      <c r="I30" t="str">
        <f t="shared" si="0"/>
        <v>kingdom;Sumatra;1000;598</v>
      </c>
      <c r="J30" t="str">
        <f t="shared" si="1"/>
        <v>duchy;Medan:1000;598</v>
      </c>
      <c r="K30" t="str">
        <f t="shared" si="2"/>
        <v>county;Medan:1000;598</v>
      </c>
    </row>
    <row r="31" spans="1:11" x14ac:dyDescent="0.5">
      <c r="A31" s="242" t="s">
        <v>7364</v>
      </c>
      <c r="B31" s="29" t="s">
        <v>7304</v>
      </c>
      <c r="C31" s="1" t="s">
        <v>7386</v>
      </c>
      <c r="D31" s="1"/>
      <c r="E31" s="236" t="s">
        <v>7342</v>
      </c>
      <c r="F31" s="1" t="s">
        <v>7275</v>
      </c>
      <c r="G31" s="244" t="s">
        <v>7305</v>
      </c>
      <c r="I31" t="str">
        <f t="shared" si="0"/>
        <v>kingdom;Kalimantan;1460;700</v>
      </c>
      <c r="J31" t="str">
        <f t="shared" si="1"/>
        <v>duchy;Balikpapan:1460;700</v>
      </c>
      <c r="K31" t="str">
        <f t="shared" si="2"/>
        <v>county;Balikpapan:1460;700</v>
      </c>
    </row>
    <row r="32" spans="1:11" x14ac:dyDescent="0.5">
      <c r="A32" s="242" t="s">
        <v>7364</v>
      </c>
      <c r="B32" s="1" t="s">
        <v>106</v>
      </c>
      <c r="C32" s="1" t="s">
        <v>7390</v>
      </c>
      <c r="D32" s="1" t="s">
        <v>7218</v>
      </c>
      <c r="E32" s="236" t="s">
        <v>7343</v>
      </c>
      <c r="F32" s="1" t="s">
        <v>7275</v>
      </c>
      <c r="G32" s="243"/>
      <c r="I32" t="str">
        <f t="shared" si="0"/>
        <v>kingdom;Philippines;1572;294</v>
      </c>
      <c r="J32" t="str">
        <f t="shared" si="1"/>
        <v>duchy;Manila:1572;294</v>
      </c>
      <c r="K32" t="str">
        <f t="shared" si="2"/>
        <v>county;Manila:1572;294</v>
      </c>
    </row>
    <row r="33" spans="1:11" x14ac:dyDescent="0.5">
      <c r="A33" s="242" t="s">
        <v>7364</v>
      </c>
      <c r="B33" s="1" t="s">
        <v>7268</v>
      </c>
      <c r="C33" s="1" t="s">
        <v>7388</v>
      </c>
      <c r="D33" s="1" t="s">
        <v>7208</v>
      </c>
      <c r="E33" s="236" t="s">
        <v>7344</v>
      </c>
      <c r="F33" s="1" t="s">
        <v>7275</v>
      </c>
      <c r="G33" s="243" t="s">
        <v>7251</v>
      </c>
      <c r="I33" t="str">
        <f t="shared" si="0"/>
        <v>kingdom;Guinea;2262;927</v>
      </c>
      <c r="J33" t="str">
        <f t="shared" si="1"/>
        <v>duchy;Port Moresby:2262;927</v>
      </c>
      <c r="K33" t="str">
        <f t="shared" si="2"/>
        <v>county;Port Moresby:2262;927</v>
      </c>
    </row>
    <row r="34" spans="1:11" x14ac:dyDescent="0.5">
      <c r="A34" s="242" t="s">
        <v>7364</v>
      </c>
      <c r="B34" s="1" t="s">
        <v>7269</v>
      </c>
      <c r="C34" s="1" t="s">
        <v>7389</v>
      </c>
      <c r="D34" s="1" t="s">
        <v>7224</v>
      </c>
      <c r="E34" s="236" t="s">
        <v>7345</v>
      </c>
      <c r="F34" s="1" t="s">
        <v>7275</v>
      </c>
      <c r="G34" s="243" t="s">
        <v>7252</v>
      </c>
      <c r="I34" t="str">
        <f t="shared" si="0"/>
        <v>kingdom;Papua;1906;737</v>
      </c>
      <c r="J34" t="str">
        <f t="shared" si="1"/>
        <v>duchy;Manokwari:1906;737</v>
      </c>
      <c r="K34" t="str">
        <f t="shared" si="2"/>
        <v>county;Manokwari:1906;737</v>
      </c>
    </row>
    <row r="35" spans="1:11" x14ac:dyDescent="0.5">
      <c r="A35" s="242" t="s">
        <v>7364</v>
      </c>
      <c r="B35" s="1" t="s">
        <v>7286</v>
      </c>
      <c r="C35" s="1" t="s">
        <v>7391</v>
      </c>
      <c r="D35" s="1" t="s">
        <v>7225</v>
      </c>
      <c r="E35" s="236" t="s">
        <v>7346</v>
      </c>
      <c r="F35" s="1" t="s">
        <v>7275</v>
      </c>
      <c r="G35" s="244" t="s">
        <v>7300</v>
      </c>
      <c r="I35" t="str">
        <f t="shared" si="0"/>
        <v>kingdom;New Britain;2390;801</v>
      </c>
      <c r="J35" t="str">
        <f t="shared" si="1"/>
        <v>duchy;Rabaul:2390;801</v>
      </c>
      <c r="K35" t="str">
        <f t="shared" si="2"/>
        <v>county;Rabaul:2390;801</v>
      </c>
    </row>
    <row r="36" spans="1:11" x14ac:dyDescent="0.5">
      <c r="A36" s="242" t="s">
        <v>7364</v>
      </c>
      <c r="B36" s="1" t="s">
        <v>7270</v>
      </c>
      <c r="C36" s="1" t="s">
        <v>7392</v>
      </c>
      <c r="D36" s="1" t="s">
        <v>7226</v>
      </c>
      <c r="E36" s="236" t="s">
        <v>7347</v>
      </c>
      <c r="F36" s="1" t="s">
        <v>7275</v>
      </c>
      <c r="G36" s="244" t="s">
        <v>7301</v>
      </c>
      <c r="I36" t="str">
        <f t="shared" si="0"/>
        <v>kingdom;Sulawesi;1534;816</v>
      </c>
      <c r="J36" t="str">
        <f t="shared" si="1"/>
        <v>duchy;Makassar:1534;816</v>
      </c>
      <c r="K36" t="str">
        <f t="shared" si="2"/>
        <v>county;Makassar:1534;816</v>
      </c>
    </row>
    <row r="37" spans="1:11" x14ac:dyDescent="0.5">
      <c r="A37" s="242" t="s">
        <v>7364</v>
      </c>
      <c r="B37" s="1" t="s">
        <v>7287</v>
      </c>
      <c r="C37" s="1" t="s">
        <v>7393</v>
      </c>
      <c r="D37" s="1" t="s">
        <v>7227</v>
      </c>
      <c r="E37" s="236" t="s">
        <v>7348</v>
      </c>
      <c r="F37" s="1" t="s">
        <v>7275</v>
      </c>
      <c r="G37" s="244" t="s">
        <v>7302</v>
      </c>
      <c r="I37" t="str">
        <f t="shared" si="0"/>
        <v>kingdom;Banda Arc;1722;769</v>
      </c>
      <c r="J37" t="str">
        <f t="shared" si="1"/>
        <v>duchy;Maluku:1722;769</v>
      </c>
      <c r="K37" t="str">
        <f t="shared" si="2"/>
        <v>county;Maluku:1722;769</v>
      </c>
    </row>
    <row r="38" spans="1:11" ht="14.7" thickBot="1" x14ac:dyDescent="0.55000000000000004">
      <c r="A38" s="245" t="s">
        <v>7364</v>
      </c>
      <c r="B38" s="246" t="s">
        <v>7288</v>
      </c>
      <c r="C38" s="246" t="s">
        <v>7394</v>
      </c>
      <c r="D38" s="246" t="s">
        <v>7228</v>
      </c>
      <c r="E38" s="247" t="s">
        <v>7349</v>
      </c>
      <c r="F38" s="246" t="s">
        <v>7275</v>
      </c>
      <c r="G38" s="250" t="s">
        <v>7306</v>
      </c>
      <c r="I38" t="str">
        <f t="shared" si="0"/>
        <v>kingdom;Lesser Sunda;1707;916</v>
      </c>
      <c r="J38" t="str">
        <f t="shared" si="1"/>
        <v>duchy;Timor Leste:1707;916</v>
      </c>
      <c r="K38" t="str">
        <f t="shared" si="2"/>
        <v>county;Timor Leste:1707;916</v>
      </c>
    </row>
    <row r="39" spans="1:11" ht="14.7" thickBot="1" x14ac:dyDescent="0.55000000000000004">
      <c r="A39" s="238" t="s">
        <v>7363</v>
      </c>
      <c r="B39" s="239" t="s">
        <v>7278</v>
      </c>
      <c r="C39" s="239" t="s">
        <v>7395</v>
      </c>
      <c r="D39" s="239" t="s">
        <v>7237</v>
      </c>
      <c r="E39" s="240" t="s">
        <v>7350</v>
      </c>
      <c r="F39" s="239" t="s">
        <v>101</v>
      </c>
      <c r="G39" s="249" t="s">
        <v>7297</v>
      </c>
      <c r="I39" t="str">
        <f t="shared" si="0"/>
        <v>empire;Bharat;380;11</v>
      </c>
      <c r="J39" t="str">
        <f t="shared" si="1"/>
        <v>duchy;New Delhi:380;11</v>
      </c>
      <c r="K39" t="str">
        <f t="shared" si="2"/>
        <v>county;New Delhi:380;11</v>
      </c>
    </row>
    <row r="40" spans="1:11" x14ac:dyDescent="0.5">
      <c r="A40" s="242" t="s">
        <v>7364</v>
      </c>
      <c r="B40" s="29" t="s">
        <v>2826</v>
      </c>
      <c r="C40" s="239" t="s">
        <v>7395</v>
      </c>
      <c r="D40" s="29" t="s">
        <v>7260</v>
      </c>
      <c r="E40" s="237" t="s">
        <v>7351</v>
      </c>
      <c r="F40" s="29" t="s">
        <v>7278</v>
      </c>
      <c r="G40" s="244" t="s">
        <v>7299</v>
      </c>
      <c r="I40" t="str">
        <f t="shared" si="0"/>
        <v>kingdom;Delhi;383;10</v>
      </c>
      <c r="J40" t="str">
        <f t="shared" si="1"/>
        <v>duchy;New Delhi:383;10</v>
      </c>
      <c r="K40" t="str">
        <f t="shared" si="2"/>
        <v>county;New Delhi:383;10</v>
      </c>
    </row>
    <row r="41" spans="1:11" x14ac:dyDescent="0.5">
      <c r="A41" s="242" t="s">
        <v>7364</v>
      </c>
      <c r="B41" s="29" t="s">
        <v>7296</v>
      </c>
      <c r="C41" s="29" t="s">
        <v>7396</v>
      </c>
      <c r="D41" s="29" t="s">
        <v>7261</v>
      </c>
      <c r="E41" s="236" t="s">
        <v>7352</v>
      </c>
      <c r="F41" s="29" t="s">
        <v>7278</v>
      </c>
      <c r="G41" s="244" t="s">
        <v>7298</v>
      </c>
      <c r="I41" t="str">
        <f t="shared" si="0"/>
        <v>kingdom;Utkala ;569;214</v>
      </c>
      <c r="J41" t="str">
        <f t="shared" si="1"/>
        <v>duchy;Visakhapatnam:569;214</v>
      </c>
      <c r="K41" t="str">
        <f t="shared" si="2"/>
        <v>county;Visakhapatnam:569;214</v>
      </c>
    </row>
    <row r="42" spans="1:11" x14ac:dyDescent="0.5">
      <c r="A42" s="242" t="s">
        <v>7364</v>
      </c>
      <c r="B42" s="29" t="s">
        <v>7289</v>
      </c>
      <c r="C42" s="29" t="s">
        <v>7397</v>
      </c>
      <c r="D42" s="29" t="s">
        <v>7220</v>
      </c>
      <c r="E42" s="236" t="s">
        <v>7353</v>
      </c>
      <c r="F42" s="29" t="s">
        <v>7278</v>
      </c>
      <c r="G42" s="243"/>
      <c r="I42" t="str">
        <f t="shared" si="0"/>
        <v>kingdom;Bangladesh;732;109</v>
      </c>
      <c r="J42" t="str">
        <f t="shared" si="1"/>
        <v>duchy;Dhaka:732;109</v>
      </c>
      <c r="K42" t="str">
        <f t="shared" si="2"/>
        <v>county;Dhaka:732;109</v>
      </c>
    </row>
    <row r="43" spans="1:11" x14ac:dyDescent="0.5">
      <c r="A43" s="242" t="s">
        <v>7363</v>
      </c>
      <c r="B43" s="1" t="s">
        <v>7279</v>
      </c>
      <c r="C43" s="1" t="s">
        <v>7398</v>
      </c>
      <c r="D43" s="1" t="s">
        <v>7236</v>
      </c>
      <c r="E43" s="237" t="s">
        <v>7354</v>
      </c>
      <c r="F43" s="1" t="s">
        <v>101</v>
      </c>
      <c r="G43" s="243" t="s">
        <v>7239</v>
      </c>
      <c r="I43" t="str">
        <f t="shared" si="0"/>
        <v>empire;Bombay;303;192</v>
      </c>
      <c r="J43" t="str">
        <f t="shared" si="1"/>
        <v>duchy;Ahmedabad:303;192</v>
      </c>
      <c r="K43" t="str">
        <f t="shared" si="2"/>
        <v>county;Ahmedabad:303;192</v>
      </c>
    </row>
    <row r="44" spans="1:11" x14ac:dyDescent="0.5">
      <c r="A44" s="242" t="s">
        <v>7364</v>
      </c>
      <c r="B44" s="1" t="s">
        <v>2775</v>
      </c>
      <c r="C44" s="1" t="s">
        <v>7398</v>
      </c>
      <c r="D44" s="1" t="s">
        <v>7257</v>
      </c>
      <c r="E44" s="237" t="s">
        <v>7355</v>
      </c>
      <c r="F44" s="1" t="s">
        <v>7279</v>
      </c>
      <c r="G44" s="243"/>
      <c r="I44" t="str">
        <f t="shared" si="0"/>
        <v>kingdom;Gujarat;286;84</v>
      </c>
      <c r="J44" t="str">
        <f t="shared" si="1"/>
        <v>duchy;Ahmedabad:286;84</v>
      </c>
      <c r="K44" t="str">
        <f t="shared" si="2"/>
        <v>county;Ahmedabad:286;84</v>
      </c>
    </row>
    <row r="45" spans="1:11" x14ac:dyDescent="0.5">
      <c r="A45" s="242" t="s">
        <v>7364</v>
      </c>
      <c r="B45" s="1" t="s">
        <v>7291</v>
      </c>
      <c r="C45" s="1" t="s">
        <v>7399</v>
      </c>
      <c r="D45" s="1" t="s">
        <v>7222</v>
      </c>
      <c r="E45" s="236" t="s">
        <v>7356</v>
      </c>
      <c r="F45" s="1" t="s">
        <v>7279</v>
      </c>
      <c r="G45" s="243"/>
      <c r="I45" t="str">
        <f t="shared" si="0"/>
        <v>kingdom;Pakistan;158;39</v>
      </c>
      <c r="J45" t="str">
        <f t="shared" si="1"/>
        <v>duchy;Karachi:158;39</v>
      </c>
      <c r="K45" t="str">
        <f t="shared" si="2"/>
        <v>county;Karachi:158;39</v>
      </c>
    </row>
    <row r="46" spans="1:11" x14ac:dyDescent="0.5">
      <c r="A46" s="242" t="s">
        <v>7363</v>
      </c>
      <c r="B46" s="1" t="s">
        <v>7280</v>
      </c>
      <c r="C46" s="29" t="s">
        <v>7400</v>
      </c>
      <c r="D46" s="1" t="s">
        <v>7235</v>
      </c>
      <c r="E46" s="236" t="s">
        <v>7357</v>
      </c>
      <c r="F46" s="1" t="s">
        <v>101</v>
      </c>
      <c r="G46" s="243" t="s">
        <v>7240</v>
      </c>
      <c r="I46" t="str">
        <f t="shared" si="0"/>
        <v>empire;Dakshina;491;329</v>
      </c>
      <c r="J46" t="str">
        <f t="shared" si="1"/>
        <v>duchy;Mumai:491;329</v>
      </c>
      <c r="K46" t="str">
        <f t="shared" si="2"/>
        <v>county;Mumai:491;329</v>
      </c>
    </row>
    <row r="47" spans="1:11" x14ac:dyDescent="0.5">
      <c r="A47" s="242" t="s">
        <v>7364</v>
      </c>
      <c r="B47" s="29" t="s">
        <v>7290</v>
      </c>
      <c r="C47" s="29" t="s">
        <v>7400</v>
      </c>
      <c r="D47" s="29" t="s">
        <v>7258</v>
      </c>
      <c r="E47" s="236" t="s">
        <v>7354</v>
      </c>
      <c r="F47" s="1" t="s">
        <v>7280</v>
      </c>
      <c r="G47" s="243"/>
      <c r="I47" t="str">
        <f t="shared" si="0"/>
        <v>kingdom;Mumbai;303;192</v>
      </c>
      <c r="J47" t="str">
        <f t="shared" si="1"/>
        <v>duchy;Mumai:303;192</v>
      </c>
      <c r="K47" t="str">
        <f t="shared" si="2"/>
        <v>county;Mumai:303;192</v>
      </c>
    </row>
    <row r="48" spans="1:11" x14ac:dyDescent="0.5">
      <c r="A48" s="242" t="s">
        <v>7364</v>
      </c>
      <c r="B48" s="29" t="s">
        <v>7292</v>
      </c>
      <c r="C48" s="29" t="s">
        <v>7401</v>
      </c>
      <c r="D48" s="29" t="s">
        <v>7259</v>
      </c>
      <c r="E48" s="237" t="s">
        <v>7358</v>
      </c>
      <c r="F48" s="1" t="s">
        <v>7280</v>
      </c>
      <c r="G48" s="243"/>
      <c r="I48" t="str">
        <f t="shared" si="0"/>
        <v>kingdom;Dravida;488;329</v>
      </c>
      <c r="J48" t="str">
        <f t="shared" si="1"/>
        <v>duchy;Chennai:488;329</v>
      </c>
      <c r="K48" t="str">
        <f t="shared" si="2"/>
        <v>county;Chennai:488;329</v>
      </c>
    </row>
    <row r="49" spans="1:11" ht="14.7" thickBot="1" x14ac:dyDescent="0.55000000000000004">
      <c r="A49" s="245" t="s">
        <v>7364</v>
      </c>
      <c r="B49" s="251" t="s">
        <v>7293</v>
      </c>
      <c r="C49" s="251" t="s">
        <v>7402</v>
      </c>
      <c r="D49" s="251" t="s">
        <v>7221</v>
      </c>
      <c r="E49" s="252" t="s">
        <v>7359</v>
      </c>
      <c r="F49" s="246" t="s">
        <v>7280</v>
      </c>
      <c r="G49" s="248"/>
      <c r="I49" t="str">
        <f t="shared" si="0"/>
        <v>kingdom;Sri Lanka;493;500</v>
      </c>
      <c r="J49" t="str">
        <f t="shared" si="1"/>
        <v>duchy;Colombo:493;500</v>
      </c>
      <c r="K49" t="str">
        <f t="shared" si="2"/>
        <v>county;Colombo:493;500</v>
      </c>
    </row>
    <row r="50" spans="1:11" ht="14.7" thickBot="1" x14ac:dyDescent="0.55000000000000004">
      <c r="A50" s="238" t="s">
        <v>7363</v>
      </c>
      <c r="B50" s="239" t="s">
        <v>127</v>
      </c>
      <c r="C50" s="239" t="s">
        <v>7403</v>
      </c>
      <c r="D50" s="239" t="s">
        <v>7231</v>
      </c>
      <c r="E50" s="240" t="s">
        <v>7360</v>
      </c>
      <c r="F50" s="239" t="s">
        <v>111</v>
      </c>
      <c r="G50" s="241" t="s">
        <v>7307</v>
      </c>
      <c r="I50" t="str">
        <f t="shared" si="0"/>
        <v>empire;South China;1386;89</v>
      </c>
      <c r="J50" t="str">
        <f t="shared" si="1"/>
        <v>duchy;Hong Kong:1386;89</v>
      </c>
      <c r="K50" t="str">
        <f t="shared" si="2"/>
        <v>county;Hong Kong:1386;89</v>
      </c>
    </row>
    <row r="51" spans="1:11" x14ac:dyDescent="0.5">
      <c r="A51" s="242" t="s">
        <v>7364</v>
      </c>
      <c r="B51" s="1" t="s">
        <v>116</v>
      </c>
      <c r="C51" s="239" t="s">
        <v>7403</v>
      </c>
      <c r="D51" s="1" t="s">
        <v>7233</v>
      </c>
      <c r="E51" s="236" t="s">
        <v>7360</v>
      </c>
      <c r="F51" s="1" t="s">
        <v>127</v>
      </c>
      <c r="G51" s="243" t="s">
        <v>7256</v>
      </c>
      <c r="I51" t="str">
        <f t="shared" si="0"/>
        <v>kingdom;Guangdong;1386;89</v>
      </c>
      <c r="J51" t="str">
        <f t="shared" si="1"/>
        <v>duchy;Hong Kong:1386;89</v>
      </c>
      <c r="K51" t="str">
        <f t="shared" si="2"/>
        <v>county;Hong Kong:1386;89</v>
      </c>
    </row>
    <row r="52" spans="1:11" x14ac:dyDescent="0.5">
      <c r="A52" s="242" t="s">
        <v>7364</v>
      </c>
      <c r="B52" s="1" t="s">
        <v>113</v>
      </c>
      <c r="C52" s="1" t="s">
        <v>7404</v>
      </c>
      <c r="D52" s="1" t="s">
        <v>7232</v>
      </c>
      <c r="E52" s="236" t="s">
        <v>7361</v>
      </c>
      <c r="F52" s="1" t="s">
        <v>127</v>
      </c>
      <c r="G52" s="243" t="s">
        <v>7255</v>
      </c>
      <c r="I52" t="str">
        <f t="shared" si="0"/>
        <v>kingdom;Hainan;1280;160</v>
      </c>
      <c r="J52" t="str">
        <f t="shared" si="1"/>
        <v>duchy;Haikou:1280;160</v>
      </c>
      <c r="K52" t="str">
        <f t="shared" si="2"/>
        <v>county;Haikou:1280;160</v>
      </c>
    </row>
    <row r="53" spans="1:11" ht="14.7" thickBot="1" x14ac:dyDescent="0.55000000000000004">
      <c r="A53" s="245" t="s">
        <v>7364</v>
      </c>
      <c r="B53" s="246" t="s">
        <v>112</v>
      </c>
      <c r="C53" s="246" t="s">
        <v>7405</v>
      </c>
      <c r="D53" s="246" t="s">
        <v>7234</v>
      </c>
      <c r="E53" s="247" t="s">
        <v>7362</v>
      </c>
      <c r="F53" s="246" t="s">
        <v>127</v>
      </c>
      <c r="G53" s="248"/>
      <c r="I53" t="str">
        <f t="shared" si="0"/>
        <v>kingdom;Taiwan;1562;44</v>
      </c>
      <c r="J53" t="str">
        <f t="shared" si="1"/>
        <v>duchy;Taipei:1562;44</v>
      </c>
      <c r="K53" t="str">
        <f t="shared" si="2"/>
        <v>county;Taipei:1562;44</v>
      </c>
    </row>
  </sheetData>
  <autoFilter ref="A1:H53" xr:uid="{93F8444D-ADC5-4BF7-B5BE-78B0F07B9184}"/>
  <pageMargins left="0.7" right="0.7" top="0.75" bottom="0.75" header="0.3" footer="0.3"/>
  <pageSetup orientation="portrait" horizontalDpi="0" verticalDpi="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D4A8DC-1EAD-4F08-94EA-0E77AED55A08}">
  <sheetPr codeName="Sheet7"/>
  <dimension ref="A1:E4576"/>
  <sheetViews>
    <sheetView topLeftCell="A4" workbookViewId="0">
      <selection activeCell="A4" sqref="A1:A1048576"/>
    </sheetView>
  </sheetViews>
  <sheetFormatPr defaultRowHeight="14.35" x14ac:dyDescent="0.5"/>
  <sheetData>
    <row r="1" spans="1:3" x14ac:dyDescent="0.5">
      <c r="A1" t="s">
        <v>4575</v>
      </c>
    </row>
    <row r="2" spans="1:3" x14ac:dyDescent="0.5">
      <c r="A2" t="s">
        <v>4576</v>
      </c>
    </row>
    <row r="4" spans="1:3" x14ac:dyDescent="0.5">
      <c r="A4" t="s">
        <v>4577</v>
      </c>
    </row>
    <row r="6" spans="1:3" x14ac:dyDescent="0.5">
      <c r="A6" t="s">
        <v>4578</v>
      </c>
    </row>
    <row r="7" spans="1:3" x14ac:dyDescent="0.5">
      <c r="A7" t="s">
        <v>4696</v>
      </c>
    </row>
    <row r="9" spans="1:3" x14ac:dyDescent="0.5">
      <c r="A9" t="s">
        <v>4579</v>
      </c>
    </row>
    <row r="11" spans="1:3" x14ac:dyDescent="0.5">
      <c r="A11" t="s">
        <v>4580</v>
      </c>
    </row>
    <row r="12" spans="1:3" x14ac:dyDescent="0.5">
      <c r="B12" t="s">
        <v>4697</v>
      </c>
    </row>
    <row r="13" spans="1:3" x14ac:dyDescent="0.5">
      <c r="B13" t="s">
        <v>4698</v>
      </c>
    </row>
    <row r="14" spans="1:3" x14ac:dyDescent="0.5">
      <c r="C14" t="s">
        <v>4699</v>
      </c>
    </row>
    <row r="16" spans="1:3" x14ac:dyDescent="0.5">
      <c r="B16" t="s">
        <v>4700</v>
      </c>
    </row>
    <row r="17" spans="3:5" x14ac:dyDescent="0.5">
      <c r="C17" t="s">
        <v>4701</v>
      </c>
    </row>
    <row r="18" spans="3:5" x14ac:dyDescent="0.5">
      <c r="C18" t="s">
        <v>4698</v>
      </c>
    </row>
    <row r="19" spans="3:5" x14ac:dyDescent="0.5">
      <c r="C19" t="s">
        <v>4702</v>
      </c>
    </row>
    <row r="20" spans="3:5" x14ac:dyDescent="0.5">
      <c r="D20" t="s">
        <v>4703</v>
      </c>
    </row>
    <row r="21" spans="3:5" x14ac:dyDescent="0.5">
      <c r="E21" t="s">
        <v>4704</v>
      </c>
    </row>
    <row r="22" spans="3:5" x14ac:dyDescent="0.5">
      <c r="E22" t="s">
        <v>4705</v>
      </c>
    </row>
    <row r="23" spans="3:5" x14ac:dyDescent="0.5">
      <c r="D23" t="s">
        <v>4581</v>
      </c>
    </row>
    <row r="24" spans="3:5" x14ac:dyDescent="0.5">
      <c r="C24" t="s">
        <v>4581</v>
      </c>
    </row>
    <row r="26" spans="3:5" x14ac:dyDescent="0.5">
      <c r="C26" t="s">
        <v>4706</v>
      </c>
    </row>
    <row r="28" spans="3:5" x14ac:dyDescent="0.5">
      <c r="C28" t="s">
        <v>4707</v>
      </c>
    </row>
    <row r="30" spans="3:5" x14ac:dyDescent="0.5">
      <c r="C30" t="s">
        <v>4708</v>
      </c>
    </row>
    <row r="31" spans="3:5" x14ac:dyDescent="0.5">
      <c r="D31" t="s">
        <v>4709</v>
      </c>
    </row>
    <row r="32" spans="3:5" x14ac:dyDescent="0.5">
      <c r="D32" t="s">
        <v>4710</v>
      </c>
    </row>
    <row r="33" spans="3:4" x14ac:dyDescent="0.5">
      <c r="D33" t="s">
        <v>4711</v>
      </c>
    </row>
    <row r="34" spans="3:4" x14ac:dyDescent="0.5">
      <c r="D34" t="s">
        <v>4712</v>
      </c>
    </row>
    <row r="35" spans="3:4" x14ac:dyDescent="0.5">
      <c r="D35" t="s">
        <v>4713</v>
      </c>
    </row>
    <row r="36" spans="3:4" x14ac:dyDescent="0.5">
      <c r="C36" t="s">
        <v>4581</v>
      </c>
    </row>
    <row r="37" spans="3:4" x14ac:dyDescent="0.5">
      <c r="C37" t="s">
        <v>4714</v>
      </c>
    </row>
    <row r="38" spans="3:4" x14ac:dyDescent="0.5">
      <c r="D38" t="s">
        <v>4715</v>
      </c>
    </row>
    <row r="39" spans="3:4" x14ac:dyDescent="0.5">
      <c r="D39" t="s">
        <v>4716</v>
      </c>
    </row>
    <row r="40" spans="3:4" x14ac:dyDescent="0.5">
      <c r="D40" t="s">
        <v>4717</v>
      </c>
    </row>
    <row r="41" spans="3:4" x14ac:dyDescent="0.5">
      <c r="D41" t="s">
        <v>4718</v>
      </c>
    </row>
    <row r="42" spans="3:4" x14ac:dyDescent="0.5">
      <c r="D42" t="s">
        <v>4719</v>
      </c>
    </row>
    <row r="43" spans="3:4" x14ac:dyDescent="0.5">
      <c r="C43" t="s">
        <v>4581</v>
      </c>
    </row>
    <row r="45" spans="3:4" x14ac:dyDescent="0.5">
      <c r="C45" t="s">
        <v>4720</v>
      </c>
    </row>
    <row r="46" spans="3:4" x14ac:dyDescent="0.5">
      <c r="C46" t="s">
        <v>4721</v>
      </c>
    </row>
    <row r="47" spans="3:4" x14ac:dyDescent="0.5">
      <c r="C47" t="s">
        <v>4722</v>
      </c>
    </row>
    <row r="49" spans="3:3" x14ac:dyDescent="0.5">
      <c r="C49" t="s">
        <v>4723</v>
      </c>
    </row>
    <row r="51" spans="3:3" x14ac:dyDescent="0.5">
      <c r="C51" t="s">
        <v>4724</v>
      </c>
    </row>
    <row r="52" spans="3:3" x14ac:dyDescent="0.5">
      <c r="C52" t="s">
        <v>4725</v>
      </c>
    </row>
    <row r="53" spans="3:3" x14ac:dyDescent="0.5">
      <c r="C53" t="s">
        <v>4726</v>
      </c>
    </row>
    <row r="55" spans="3:3" x14ac:dyDescent="0.5">
      <c r="C55" t="s">
        <v>4727</v>
      </c>
    </row>
    <row r="56" spans="3:3" x14ac:dyDescent="0.5">
      <c r="C56" t="s">
        <v>4728</v>
      </c>
    </row>
    <row r="57" spans="3:3" x14ac:dyDescent="0.5">
      <c r="C57" t="s">
        <v>4729</v>
      </c>
    </row>
    <row r="58" spans="3:3" x14ac:dyDescent="0.5">
      <c r="C58" t="s">
        <v>4730</v>
      </c>
    </row>
    <row r="60" spans="3:3" x14ac:dyDescent="0.5">
      <c r="C60" t="s">
        <v>4731</v>
      </c>
    </row>
    <row r="61" spans="3:3" x14ac:dyDescent="0.5">
      <c r="C61" t="s">
        <v>4732</v>
      </c>
    </row>
    <row r="62" spans="3:3" x14ac:dyDescent="0.5">
      <c r="C62" t="s">
        <v>4733</v>
      </c>
    </row>
    <row r="63" spans="3:3" x14ac:dyDescent="0.5">
      <c r="C63" t="s">
        <v>4734</v>
      </c>
    </row>
    <row r="65" spans="2:5" x14ac:dyDescent="0.5">
      <c r="C65" t="s">
        <v>4735</v>
      </c>
    </row>
    <row r="67" spans="2:5" x14ac:dyDescent="0.5">
      <c r="C67" t="s">
        <v>4736</v>
      </c>
    </row>
    <row r="68" spans="2:5" x14ac:dyDescent="0.5">
      <c r="C68" t="s">
        <v>4737</v>
      </c>
    </row>
    <row r="69" spans="2:5" x14ac:dyDescent="0.5">
      <c r="B69" t="s">
        <v>4581</v>
      </c>
    </row>
    <row r="71" spans="2:5" x14ac:dyDescent="0.5">
      <c r="B71" t="s">
        <v>4738</v>
      </c>
    </row>
    <row r="72" spans="2:5" x14ac:dyDescent="0.5">
      <c r="C72" t="s">
        <v>4701</v>
      </c>
    </row>
    <row r="73" spans="2:5" x14ac:dyDescent="0.5">
      <c r="C73" t="s">
        <v>4698</v>
      </c>
    </row>
    <row r="74" spans="2:5" x14ac:dyDescent="0.5">
      <c r="C74" t="s">
        <v>4702</v>
      </c>
    </row>
    <row r="75" spans="2:5" x14ac:dyDescent="0.5">
      <c r="D75" t="s">
        <v>4703</v>
      </c>
    </row>
    <row r="76" spans="2:5" x14ac:dyDescent="0.5">
      <c r="E76" t="s">
        <v>4739</v>
      </c>
    </row>
    <row r="77" spans="2:5" x14ac:dyDescent="0.5">
      <c r="E77" t="s">
        <v>4705</v>
      </c>
    </row>
    <row r="78" spans="2:5" x14ac:dyDescent="0.5">
      <c r="D78" t="s">
        <v>4581</v>
      </c>
    </row>
    <row r="79" spans="2:5" x14ac:dyDescent="0.5">
      <c r="C79" t="s">
        <v>4581</v>
      </c>
    </row>
    <row r="81" spans="3:4" x14ac:dyDescent="0.5">
      <c r="C81" t="s">
        <v>4740</v>
      </c>
    </row>
    <row r="83" spans="3:4" x14ac:dyDescent="0.5">
      <c r="C83" t="s">
        <v>4708</v>
      </c>
    </row>
    <row r="84" spans="3:4" x14ac:dyDescent="0.5">
      <c r="D84" t="s">
        <v>4741</v>
      </c>
    </row>
    <row r="85" spans="3:4" x14ac:dyDescent="0.5">
      <c r="D85" t="s">
        <v>4742</v>
      </c>
    </row>
    <row r="86" spans="3:4" x14ac:dyDescent="0.5">
      <c r="D86" t="s">
        <v>4743</v>
      </c>
    </row>
    <row r="87" spans="3:4" x14ac:dyDescent="0.5">
      <c r="D87" t="s">
        <v>4744</v>
      </c>
    </row>
    <row r="88" spans="3:4" x14ac:dyDescent="0.5">
      <c r="D88" t="s">
        <v>4745</v>
      </c>
    </row>
    <row r="89" spans="3:4" x14ac:dyDescent="0.5">
      <c r="C89" t="s">
        <v>4581</v>
      </c>
    </row>
    <row r="90" spans="3:4" x14ac:dyDescent="0.5">
      <c r="C90" t="s">
        <v>4714</v>
      </c>
    </row>
    <row r="91" spans="3:4" x14ac:dyDescent="0.5">
      <c r="D91" t="s">
        <v>4746</v>
      </c>
    </row>
    <row r="92" spans="3:4" x14ac:dyDescent="0.5">
      <c r="D92" t="s">
        <v>4747</v>
      </c>
    </row>
    <row r="93" spans="3:4" x14ac:dyDescent="0.5">
      <c r="D93" t="s">
        <v>4748</v>
      </c>
    </row>
    <row r="94" spans="3:4" x14ac:dyDescent="0.5">
      <c r="C94" t="s">
        <v>4581</v>
      </c>
    </row>
    <row r="96" spans="3:4" x14ac:dyDescent="0.5">
      <c r="C96" t="s">
        <v>4749</v>
      </c>
    </row>
    <row r="98" spans="3:3" x14ac:dyDescent="0.5">
      <c r="C98" t="s">
        <v>4720</v>
      </c>
    </row>
    <row r="100" spans="3:3" x14ac:dyDescent="0.5">
      <c r="C100" t="s">
        <v>4723</v>
      </c>
    </row>
    <row r="102" spans="3:3" x14ac:dyDescent="0.5">
      <c r="C102" t="s">
        <v>4724</v>
      </c>
    </row>
    <row r="103" spans="3:3" x14ac:dyDescent="0.5">
      <c r="C103" t="s">
        <v>4750</v>
      </c>
    </row>
    <row r="104" spans="3:3" x14ac:dyDescent="0.5">
      <c r="C104" t="s">
        <v>4726</v>
      </c>
    </row>
    <row r="106" spans="3:3" x14ac:dyDescent="0.5">
      <c r="C106" t="s">
        <v>4727</v>
      </c>
    </row>
    <row r="107" spans="3:3" x14ac:dyDescent="0.5">
      <c r="C107" t="s">
        <v>4751</v>
      </c>
    </row>
    <row r="108" spans="3:3" x14ac:dyDescent="0.5">
      <c r="C108" t="s">
        <v>4729</v>
      </c>
    </row>
    <row r="109" spans="3:3" x14ac:dyDescent="0.5">
      <c r="C109" t="s">
        <v>4730</v>
      </c>
    </row>
    <row r="111" spans="3:3" x14ac:dyDescent="0.5">
      <c r="C111" t="s">
        <v>4731</v>
      </c>
    </row>
    <row r="112" spans="3:3" x14ac:dyDescent="0.5">
      <c r="C112" t="s">
        <v>4732</v>
      </c>
    </row>
    <row r="113" spans="2:5" x14ac:dyDescent="0.5">
      <c r="C113" t="s">
        <v>4733</v>
      </c>
    </row>
    <row r="114" spans="2:5" x14ac:dyDescent="0.5">
      <c r="C114" t="s">
        <v>4734</v>
      </c>
    </row>
    <row r="116" spans="2:5" x14ac:dyDescent="0.5">
      <c r="C116" t="s">
        <v>4735</v>
      </c>
    </row>
    <row r="118" spans="2:5" x14ac:dyDescent="0.5">
      <c r="C118" t="s">
        <v>4737</v>
      </c>
    </row>
    <row r="119" spans="2:5" x14ac:dyDescent="0.5">
      <c r="B119" t="s">
        <v>4581</v>
      </c>
    </row>
    <row r="120" spans="2:5" x14ac:dyDescent="0.5">
      <c r="B120" t="s">
        <v>4752</v>
      </c>
    </row>
    <row r="121" spans="2:5" x14ac:dyDescent="0.5">
      <c r="C121" t="s">
        <v>4701</v>
      </c>
    </row>
    <row r="122" spans="2:5" x14ac:dyDescent="0.5">
      <c r="C122" t="s">
        <v>4698</v>
      </c>
    </row>
    <row r="123" spans="2:5" x14ac:dyDescent="0.5">
      <c r="C123" t="s">
        <v>4753</v>
      </c>
    </row>
    <row r="124" spans="2:5" x14ac:dyDescent="0.5">
      <c r="D124" t="s">
        <v>4703</v>
      </c>
    </row>
    <row r="125" spans="2:5" x14ac:dyDescent="0.5">
      <c r="E125" t="s">
        <v>4739</v>
      </c>
    </row>
    <row r="126" spans="2:5" x14ac:dyDescent="0.5">
      <c r="E126" t="s">
        <v>4705</v>
      </c>
    </row>
    <row r="127" spans="2:5" x14ac:dyDescent="0.5">
      <c r="D127" t="s">
        <v>4581</v>
      </c>
    </row>
    <row r="128" spans="2:5" x14ac:dyDescent="0.5">
      <c r="C128" t="s">
        <v>4581</v>
      </c>
    </row>
    <row r="130" spans="3:4" x14ac:dyDescent="0.5">
      <c r="C130" t="s">
        <v>4754</v>
      </c>
    </row>
    <row r="132" spans="3:4" x14ac:dyDescent="0.5">
      <c r="C132" t="s">
        <v>4708</v>
      </c>
    </row>
    <row r="133" spans="3:4" x14ac:dyDescent="0.5">
      <c r="D133" t="s">
        <v>4755</v>
      </c>
    </row>
    <row r="134" spans="3:4" x14ac:dyDescent="0.5">
      <c r="D134" t="s">
        <v>4756</v>
      </c>
    </row>
    <row r="135" spans="3:4" x14ac:dyDescent="0.5">
      <c r="D135" t="s">
        <v>4757</v>
      </c>
    </row>
    <row r="136" spans="3:4" x14ac:dyDescent="0.5">
      <c r="D136" t="s">
        <v>4758</v>
      </c>
    </row>
    <row r="137" spans="3:4" x14ac:dyDescent="0.5">
      <c r="D137" t="s">
        <v>4759</v>
      </c>
    </row>
    <row r="138" spans="3:4" x14ac:dyDescent="0.5">
      <c r="C138" t="s">
        <v>4581</v>
      </c>
    </row>
    <row r="139" spans="3:4" x14ac:dyDescent="0.5">
      <c r="C139" t="s">
        <v>4714</v>
      </c>
    </row>
    <row r="140" spans="3:4" x14ac:dyDescent="0.5">
      <c r="D140" t="s">
        <v>4760</v>
      </c>
    </row>
    <row r="141" spans="3:4" x14ac:dyDescent="0.5">
      <c r="D141" t="s">
        <v>4761</v>
      </c>
    </row>
    <row r="142" spans="3:4" x14ac:dyDescent="0.5">
      <c r="C142" t="s">
        <v>4581</v>
      </c>
    </row>
    <row r="144" spans="3:4" x14ac:dyDescent="0.5">
      <c r="C144" t="s">
        <v>4749</v>
      </c>
    </row>
    <row r="146" spans="2:3" x14ac:dyDescent="0.5">
      <c r="C146" t="s">
        <v>4720</v>
      </c>
    </row>
    <row r="148" spans="2:3" x14ac:dyDescent="0.5">
      <c r="C148" t="s">
        <v>4762</v>
      </c>
    </row>
    <row r="150" spans="2:3" x14ac:dyDescent="0.5">
      <c r="C150" t="s">
        <v>4724</v>
      </c>
    </row>
    <row r="151" spans="2:3" x14ac:dyDescent="0.5">
      <c r="C151" t="s">
        <v>4763</v>
      </c>
    </row>
    <row r="152" spans="2:3" x14ac:dyDescent="0.5">
      <c r="C152" t="s">
        <v>4764</v>
      </c>
    </row>
    <row r="154" spans="2:3" x14ac:dyDescent="0.5">
      <c r="C154" t="s">
        <v>4735</v>
      </c>
    </row>
    <row r="156" spans="2:3" x14ac:dyDescent="0.5">
      <c r="C156" t="s">
        <v>4737</v>
      </c>
    </row>
    <row r="157" spans="2:3" x14ac:dyDescent="0.5">
      <c r="B157" t="s">
        <v>4581</v>
      </c>
    </row>
    <row r="158" spans="2:3" x14ac:dyDescent="0.5">
      <c r="B158" t="s">
        <v>4765</v>
      </c>
    </row>
    <row r="159" spans="2:3" x14ac:dyDescent="0.5">
      <c r="C159" t="s">
        <v>4701</v>
      </c>
    </row>
    <row r="160" spans="2:3" x14ac:dyDescent="0.5">
      <c r="C160" t="s">
        <v>4698</v>
      </c>
    </row>
    <row r="161" spans="3:5" x14ac:dyDescent="0.5">
      <c r="C161" t="s">
        <v>4702</v>
      </c>
    </row>
    <row r="162" spans="3:5" x14ac:dyDescent="0.5">
      <c r="D162" t="s">
        <v>4703</v>
      </c>
    </row>
    <row r="163" spans="3:5" x14ac:dyDescent="0.5">
      <c r="E163" t="s">
        <v>4739</v>
      </c>
    </row>
    <row r="164" spans="3:5" x14ac:dyDescent="0.5">
      <c r="E164" t="s">
        <v>4705</v>
      </c>
    </row>
    <row r="165" spans="3:5" x14ac:dyDescent="0.5">
      <c r="D165" t="s">
        <v>4581</v>
      </c>
    </row>
    <row r="166" spans="3:5" x14ac:dyDescent="0.5">
      <c r="C166" t="s">
        <v>4581</v>
      </c>
    </row>
    <row r="168" spans="3:5" x14ac:dyDescent="0.5">
      <c r="C168" t="s">
        <v>4766</v>
      </c>
    </row>
    <row r="170" spans="3:5" x14ac:dyDescent="0.5">
      <c r="C170" t="s">
        <v>4708</v>
      </c>
    </row>
    <row r="171" spans="3:5" x14ac:dyDescent="0.5">
      <c r="D171" t="s">
        <v>4767</v>
      </c>
    </row>
    <row r="172" spans="3:5" x14ac:dyDescent="0.5">
      <c r="D172" t="s">
        <v>4768</v>
      </c>
    </row>
    <row r="173" spans="3:5" x14ac:dyDescent="0.5">
      <c r="D173" t="s">
        <v>4769</v>
      </c>
    </row>
    <row r="174" spans="3:5" x14ac:dyDescent="0.5">
      <c r="D174" t="s">
        <v>4770</v>
      </c>
    </row>
    <row r="175" spans="3:5" x14ac:dyDescent="0.5">
      <c r="C175" t="s">
        <v>4581</v>
      </c>
    </row>
    <row r="176" spans="3:5" x14ac:dyDescent="0.5">
      <c r="C176" t="s">
        <v>4714</v>
      </c>
    </row>
    <row r="177" spans="3:4" x14ac:dyDescent="0.5">
      <c r="D177" t="s">
        <v>4771</v>
      </c>
    </row>
    <row r="178" spans="3:4" x14ac:dyDescent="0.5">
      <c r="D178" t="s">
        <v>4772</v>
      </c>
    </row>
    <row r="179" spans="3:4" x14ac:dyDescent="0.5">
      <c r="D179" t="s">
        <v>4773</v>
      </c>
    </row>
    <row r="180" spans="3:4" x14ac:dyDescent="0.5">
      <c r="C180" t="s">
        <v>4581</v>
      </c>
    </row>
    <row r="182" spans="3:4" x14ac:dyDescent="0.5">
      <c r="C182" t="s">
        <v>4749</v>
      </c>
    </row>
    <row r="184" spans="3:4" x14ac:dyDescent="0.5">
      <c r="C184" t="s">
        <v>4720</v>
      </c>
    </row>
    <row r="186" spans="3:4" x14ac:dyDescent="0.5">
      <c r="C186" t="s">
        <v>4723</v>
      </c>
    </row>
    <row r="188" spans="3:4" x14ac:dyDescent="0.5">
      <c r="C188" t="s">
        <v>4774</v>
      </c>
    </row>
    <row r="189" spans="3:4" x14ac:dyDescent="0.5">
      <c r="C189" t="s">
        <v>4763</v>
      </c>
    </row>
    <row r="190" spans="3:4" x14ac:dyDescent="0.5">
      <c r="C190" t="s">
        <v>4764</v>
      </c>
    </row>
    <row r="192" spans="3:4" x14ac:dyDescent="0.5">
      <c r="C192" t="s">
        <v>4735</v>
      </c>
    </row>
    <row r="193" spans="1:3" x14ac:dyDescent="0.5">
      <c r="C193" t="s">
        <v>4727</v>
      </c>
    </row>
    <row r="194" spans="1:3" x14ac:dyDescent="0.5">
      <c r="C194" t="s">
        <v>4751</v>
      </c>
    </row>
    <row r="195" spans="1:3" x14ac:dyDescent="0.5">
      <c r="C195" t="s">
        <v>4729</v>
      </c>
    </row>
    <row r="196" spans="1:3" x14ac:dyDescent="0.5">
      <c r="C196" t="s">
        <v>4730</v>
      </c>
    </row>
    <row r="198" spans="1:3" x14ac:dyDescent="0.5">
      <c r="C198" t="s">
        <v>4731</v>
      </c>
    </row>
    <row r="199" spans="1:3" x14ac:dyDescent="0.5">
      <c r="C199" t="s">
        <v>4732</v>
      </c>
    </row>
    <row r="200" spans="1:3" x14ac:dyDescent="0.5">
      <c r="C200" t="s">
        <v>4733</v>
      </c>
    </row>
    <row r="201" spans="1:3" x14ac:dyDescent="0.5">
      <c r="C201" t="s">
        <v>4734</v>
      </c>
    </row>
    <row r="203" spans="1:3" x14ac:dyDescent="0.5">
      <c r="C203" t="s">
        <v>4737</v>
      </c>
    </row>
    <row r="204" spans="1:3" x14ac:dyDescent="0.5">
      <c r="B204" t="s">
        <v>4581</v>
      </c>
    </row>
    <row r="205" spans="1:3" x14ac:dyDescent="0.5">
      <c r="A205" t="s">
        <v>4581</v>
      </c>
    </row>
    <row r="207" spans="1:3" x14ac:dyDescent="0.5">
      <c r="A207" t="s">
        <v>4582</v>
      </c>
    </row>
    <row r="208" spans="1:3" x14ac:dyDescent="0.5">
      <c r="B208" t="s">
        <v>4698</v>
      </c>
    </row>
    <row r="209" spans="2:4" x14ac:dyDescent="0.5">
      <c r="C209" t="s">
        <v>4699</v>
      </c>
    </row>
    <row r="210" spans="2:4" x14ac:dyDescent="0.5">
      <c r="B210" t="s">
        <v>4775</v>
      </c>
    </row>
    <row r="212" spans="2:4" x14ac:dyDescent="0.5">
      <c r="B212" t="s">
        <v>4776</v>
      </c>
    </row>
    <row r="213" spans="2:4" x14ac:dyDescent="0.5">
      <c r="C213" t="s">
        <v>4775</v>
      </c>
    </row>
    <row r="215" spans="2:4" x14ac:dyDescent="0.5">
      <c r="C215" t="s">
        <v>4777</v>
      </c>
    </row>
    <row r="217" spans="2:4" x14ac:dyDescent="0.5">
      <c r="C217" t="s">
        <v>4708</v>
      </c>
    </row>
    <row r="218" spans="2:4" x14ac:dyDescent="0.5">
      <c r="D218" t="s">
        <v>4778</v>
      </c>
    </row>
    <row r="219" spans="2:4" x14ac:dyDescent="0.5">
      <c r="D219" t="s">
        <v>4779</v>
      </c>
    </row>
    <row r="220" spans="2:4" x14ac:dyDescent="0.5">
      <c r="D220" t="s">
        <v>4780</v>
      </c>
    </row>
    <row r="221" spans="2:4" x14ac:dyDescent="0.5">
      <c r="D221" t="s">
        <v>4781</v>
      </c>
    </row>
    <row r="222" spans="2:4" x14ac:dyDescent="0.5">
      <c r="D222" t="s">
        <v>4782</v>
      </c>
    </row>
    <row r="223" spans="2:4" x14ac:dyDescent="0.5">
      <c r="D223" t="s">
        <v>4783</v>
      </c>
    </row>
    <row r="224" spans="2:4" x14ac:dyDescent="0.5">
      <c r="D224" t="s">
        <v>4784</v>
      </c>
    </row>
    <row r="225" spans="3:4" x14ac:dyDescent="0.5">
      <c r="D225" t="s">
        <v>4785</v>
      </c>
    </row>
    <row r="226" spans="3:4" x14ac:dyDescent="0.5">
      <c r="D226" t="s">
        <v>4786</v>
      </c>
    </row>
    <row r="227" spans="3:4" x14ac:dyDescent="0.5">
      <c r="D227" t="s">
        <v>4787</v>
      </c>
    </row>
    <row r="228" spans="3:4" x14ac:dyDescent="0.5">
      <c r="D228" t="s">
        <v>4788</v>
      </c>
    </row>
    <row r="229" spans="3:4" x14ac:dyDescent="0.5">
      <c r="D229" t="s">
        <v>4789</v>
      </c>
    </row>
    <row r="230" spans="3:4" x14ac:dyDescent="0.5">
      <c r="D230" t="s">
        <v>4790</v>
      </c>
    </row>
    <row r="231" spans="3:4" x14ac:dyDescent="0.5">
      <c r="D231" t="s">
        <v>4791</v>
      </c>
    </row>
    <row r="232" spans="3:4" x14ac:dyDescent="0.5">
      <c r="C232" t="s">
        <v>4581</v>
      </c>
    </row>
    <row r="233" spans="3:4" x14ac:dyDescent="0.5">
      <c r="C233" t="s">
        <v>4714</v>
      </c>
    </row>
    <row r="234" spans="3:4" x14ac:dyDescent="0.5">
      <c r="D234" t="s">
        <v>4792</v>
      </c>
    </row>
    <row r="235" spans="3:4" x14ac:dyDescent="0.5">
      <c r="D235" t="s">
        <v>4793</v>
      </c>
    </row>
    <row r="236" spans="3:4" x14ac:dyDescent="0.5">
      <c r="D236" t="s">
        <v>4794</v>
      </c>
    </row>
    <row r="237" spans="3:4" x14ac:dyDescent="0.5">
      <c r="D237" t="s">
        <v>4795</v>
      </c>
    </row>
    <row r="238" spans="3:4" x14ac:dyDescent="0.5">
      <c r="D238" t="s">
        <v>4796</v>
      </c>
    </row>
    <row r="239" spans="3:4" x14ac:dyDescent="0.5">
      <c r="D239" t="s">
        <v>4797</v>
      </c>
    </row>
    <row r="240" spans="3:4" x14ac:dyDescent="0.5">
      <c r="D240" t="s">
        <v>4798</v>
      </c>
    </row>
    <row r="241" spans="3:4" x14ac:dyDescent="0.5">
      <c r="D241" t="s">
        <v>4799</v>
      </c>
    </row>
    <row r="242" spans="3:4" x14ac:dyDescent="0.5">
      <c r="D242" t="s">
        <v>4800</v>
      </c>
    </row>
    <row r="243" spans="3:4" x14ac:dyDescent="0.5">
      <c r="C243" t="s">
        <v>4581</v>
      </c>
    </row>
    <row r="244" spans="3:4" x14ac:dyDescent="0.5">
      <c r="C244" t="s">
        <v>4801</v>
      </c>
    </row>
    <row r="246" spans="3:4" x14ac:dyDescent="0.5">
      <c r="C246" t="s">
        <v>4727</v>
      </c>
    </row>
    <row r="247" spans="3:4" x14ac:dyDescent="0.5">
      <c r="C247" t="s">
        <v>4728</v>
      </c>
    </row>
    <row r="248" spans="3:4" x14ac:dyDescent="0.5">
      <c r="C248" t="s">
        <v>4802</v>
      </c>
    </row>
    <row r="249" spans="3:4" x14ac:dyDescent="0.5">
      <c r="C249" t="s">
        <v>4803</v>
      </c>
    </row>
    <row r="251" spans="3:4" x14ac:dyDescent="0.5">
      <c r="C251" t="s">
        <v>4731</v>
      </c>
    </row>
    <row r="252" spans="3:4" x14ac:dyDescent="0.5">
      <c r="C252" t="s">
        <v>4732</v>
      </c>
    </row>
    <row r="253" spans="3:4" x14ac:dyDescent="0.5">
      <c r="C253" t="s">
        <v>4733</v>
      </c>
    </row>
    <row r="254" spans="3:4" x14ac:dyDescent="0.5">
      <c r="C254" t="s">
        <v>4804</v>
      </c>
    </row>
    <row r="256" spans="3:4" x14ac:dyDescent="0.5">
      <c r="C256" t="s">
        <v>4735</v>
      </c>
    </row>
    <row r="257" spans="2:5" x14ac:dyDescent="0.5">
      <c r="B257" t="s">
        <v>4581</v>
      </c>
    </row>
    <row r="258" spans="2:5" x14ac:dyDescent="0.5">
      <c r="B258" t="s">
        <v>4805</v>
      </c>
    </row>
    <row r="259" spans="2:5" x14ac:dyDescent="0.5">
      <c r="C259" t="s">
        <v>4775</v>
      </c>
    </row>
    <row r="260" spans="2:5" x14ac:dyDescent="0.5">
      <c r="C260" t="s">
        <v>4698</v>
      </c>
    </row>
    <row r="261" spans="2:5" x14ac:dyDescent="0.5">
      <c r="C261" t="s">
        <v>4702</v>
      </c>
    </row>
    <row r="262" spans="2:5" x14ac:dyDescent="0.5">
      <c r="D262" t="s">
        <v>4703</v>
      </c>
    </row>
    <row r="263" spans="2:5" x14ac:dyDescent="0.5">
      <c r="E263" t="s">
        <v>4739</v>
      </c>
    </row>
    <row r="264" spans="2:5" x14ac:dyDescent="0.5">
      <c r="E264" t="s">
        <v>4705</v>
      </c>
    </row>
    <row r="265" spans="2:5" x14ac:dyDescent="0.5">
      <c r="D265" t="s">
        <v>4581</v>
      </c>
    </row>
    <row r="266" spans="2:5" x14ac:dyDescent="0.5">
      <c r="C266" t="s">
        <v>4581</v>
      </c>
    </row>
    <row r="268" spans="2:5" x14ac:dyDescent="0.5">
      <c r="C268" t="s">
        <v>4806</v>
      </c>
    </row>
    <row r="270" spans="2:5" x14ac:dyDescent="0.5">
      <c r="C270" t="s">
        <v>4708</v>
      </c>
    </row>
    <row r="271" spans="2:5" x14ac:dyDescent="0.5">
      <c r="D271" t="s">
        <v>4807</v>
      </c>
    </row>
    <row r="272" spans="2:5" x14ac:dyDescent="0.5">
      <c r="D272" t="s">
        <v>4808</v>
      </c>
    </row>
    <row r="273" spans="3:4" x14ac:dyDescent="0.5">
      <c r="D273" t="s">
        <v>4809</v>
      </c>
    </row>
    <row r="274" spans="3:4" x14ac:dyDescent="0.5">
      <c r="D274" t="s">
        <v>4810</v>
      </c>
    </row>
    <row r="275" spans="3:4" x14ac:dyDescent="0.5">
      <c r="D275" t="s">
        <v>4811</v>
      </c>
    </row>
    <row r="276" spans="3:4" x14ac:dyDescent="0.5">
      <c r="D276" t="s">
        <v>4812</v>
      </c>
    </row>
    <row r="277" spans="3:4" x14ac:dyDescent="0.5">
      <c r="D277" t="s">
        <v>4813</v>
      </c>
    </row>
    <row r="278" spans="3:4" x14ac:dyDescent="0.5">
      <c r="D278" t="s">
        <v>4814</v>
      </c>
    </row>
    <row r="279" spans="3:4" x14ac:dyDescent="0.5">
      <c r="D279" t="s">
        <v>4815</v>
      </c>
    </row>
    <row r="280" spans="3:4" x14ac:dyDescent="0.5">
      <c r="D280" t="s">
        <v>4816</v>
      </c>
    </row>
    <row r="281" spans="3:4" x14ac:dyDescent="0.5">
      <c r="D281" t="s">
        <v>4817</v>
      </c>
    </row>
    <row r="282" spans="3:4" x14ac:dyDescent="0.5">
      <c r="D282" t="s">
        <v>4818</v>
      </c>
    </row>
    <row r="283" spans="3:4" x14ac:dyDescent="0.5">
      <c r="D283" t="s">
        <v>4819</v>
      </c>
    </row>
    <row r="284" spans="3:4" x14ac:dyDescent="0.5">
      <c r="D284" t="s">
        <v>4820</v>
      </c>
    </row>
    <row r="285" spans="3:4" x14ac:dyDescent="0.5">
      <c r="C285" t="s">
        <v>4581</v>
      </c>
    </row>
    <row r="286" spans="3:4" x14ac:dyDescent="0.5">
      <c r="C286" t="s">
        <v>4714</v>
      </c>
    </row>
    <row r="287" spans="3:4" x14ac:dyDescent="0.5">
      <c r="D287" t="s">
        <v>4821</v>
      </c>
    </row>
    <row r="288" spans="3:4" x14ac:dyDescent="0.5">
      <c r="D288" t="s">
        <v>4822</v>
      </c>
    </row>
    <row r="289" spans="3:4" x14ac:dyDescent="0.5">
      <c r="D289" t="s">
        <v>4823</v>
      </c>
    </row>
    <row r="290" spans="3:4" x14ac:dyDescent="0.5">
      <c r="D290" t="s">
        <v>4824</v>
      </c>
    </row>
    <row r="291" spans="3:4" x14ac:dyDescent="0.5">
      <c r="D291" t="s">
        <v>4825</v>
      </c>
    </row>
    <row r="292" spans="3:4" x14ac:dyDescent="0.5">
      <c r="D292" t="s">
        <v>4826</v>
      </c>
    </row>
    <row r="293" spans="3:4" x14ac:dyDescent="0.5">
      <c r="C293" t="s">
        <v>4581</v>
      </c>
    </row>
    <row r="295" spans="3:4" x14ac:dyDescent="0.5">
      <c r="C295" t="s">
        <v>4827</v>
      </c>
    </row>
    <row r="296" spans="3:4" x14ac:dyDescent="0.5">
      <c r="C296" t="s">
        <v>4828</v>
      </c>
    </row>
    <row r="298" spans="3:4" x14ac:dyDescent="0.5">
      <c r="C298" t="s">
        <v>4727</v>
      </c>
    </row>
    <row r="299" spans="3:4" x14ac:dyDescent="0.5">
      <c r="C299" t="s">
        <v>4829</v>
      </c>
    </row>
    <row r="300" spans="3:4" x14ac:dyDescent="0.5">
      <c r="C300" t="s">
        <v>4802</v>
      </c>
    </row>
    <row r="301" spans="3:4" x14ac:dyDescent="0.5">
      <c r="C301" t="s">
        <v>4830</v>
      </c>
    </row>
    <row r="303" spans="3:4" x14ac:dyDescent="0.5">
      <c r="C303" t="s">
        <v>4731</v>
      </c>
    </row>
    <row r="304" spans="3:4" x14ac:dyDescent="0.5">
      <c r="C304" t="s">
        <v>4831</v>
      </c>
    </row>
    <row r="305" spans="2:5" x14ac:dyDescent="0.5">
      <c r="C305" t="s">
        <v>4832</v>
      </c>
    </row>
    <row r="306" spans="2:5" x14ac:dyDescent="0.5">
      <c r="C306" t="s">
        <v>4833</v>
      </c>
    </row>
    <row r="308" spans="2:5" x14ac:dyDescent="0.5">
      <c r="C308" t="s">
        <v>4735</v>
      </c>
    </row>
    <row r="309" spans="2:5" x14ac:dyDescent="0.5">
      <c r="B309" t="s">
        <v>4581</v>
      </c>
    </row>
    <row r="310" spans="2:5" x14ac:dyDescent="0.5">
      <c r="B310" t="s">
        <v>4834</v>
      </c>
    </row>
    <row r="311" spans="2:5" x14ac:dyDescent="0.5">
      <c r="C311" t="s">
        <v>4835</v>
      </c>
    </row>
    <row r="312" spans="2:5" x14ac:dyDescent="0.5">
      <c r="C312" t="s">
        <v>4698</v>
      </c>
    </row>
    <row r="313" spans="2:5" x14ac:dyDescent="0.5">
      <c r="C313" t="s">
        <v>4702</v>
      </c>
    </row>
    <row r="314" spans="2:5" x14ac:dyDescent="0.5">
      <c r="D314" t="s">
        <v>4703</v>
      </c>
    </row>
    <row r="315" spans="2:5" x14ac:dyDescent="0.5">
      <c r="E315" t="s">
        <v>4739</v>
      </c>
    </row>
    <row r="316" spans="2:5" x14ac:dyDescent="0.5">
      <c r="E316" t="s">
        <v>4705</v>
      </c>
    </row>
    <row r="317" spans="2:5" x14ac:dyDescent="0.5">
      <c r="D317" t="s">
        <v>4581</v>
      </c>
    </row>
    <row r="318" spans="2:5" x14ac:dyDescent="0.5">
      <c r="C318" t="s">
        <v>4581</v>
      </c>
    </row>
    <row r="320" spans="2:5" x14ac:dyDescent="0.5">
      <c r="C320" t="s">
        <v>4836</v>
      </c>
    </row>
    <row r="322" spans="3:4" x14ac:dyDescent="0.5">
      <c r="C322" t="s">
        <v>4708</v>
      </c>
    </row>
    <row r="323" spans="3:4" x14ac:dyDescent="0.5">
      <c r="D323" t="s">
        <v>4837</v>
      </c>
    </row>
    <row r="324" spans="3:4" x14ac:dyDescent="0.5">
      <c r="D324" t="s">
        <v>4838</v>
      </c>
    </row>
    <row r="325" spans="3:4" x14ac:dyDescent="0.5">
      <c r="D325" t="s">
        <v>4839</v>
      </c>
    </row>
    <row r="326" spans="3:4" x14ac:dyDescent="0.5">
      <c r="D326" t="s">
        <v>4840</v>
      </c>
    </row>
    <row r="327" spans="3:4" x14ac:dyDescent="0.5">
      <c r="D327" t="s">
        <v>4841</v>
      </c>
    </row>
    <row r="328" spans="3:4" x14ac:dyDescent="0.5">
      <c r="D328" t="s">
        <v>4842</v>
      </c>
    </row>
    <row r="329" spans="3:4" x14ac:dyDescent="0.5">
      <c r="D329" t="s">
        <v>4843</v>
      </c>
    </row>
    <row r="330" spans="3:4" x14ac:dyDescent="0.5">
      <c r="D330" t="s">
        <v>4844</v>
      </c>
    </row>
    <row r="331" spans="3:4" x14ac:dyDescent="0.5">
      <c r="D331" t="s">
        <v>4845</v>
      </c>
    </row>
    <row r="332" spans="3:4" x14ac:dyDescent="0.5">
      <c r="D332" t="s">
        <v>4846</v>
      </c>
    </row>
    <row r="333" spans="3:4" x14ac:dyDescent="0.5">
      <c r="D333" t="s">
        <v>4847</v>
      </c>
    </row>
    <row r="334" spans="3:4" x14ac:dyDescent="0.5">
      <c r="D334" t="s">
        <v>4848</v>
      </c>
    </row>
    <row r="335" spans="3:4" x14ac:dyDescent="0.5">
      <c r="D335" t="s">
        <v>4849</v>
      </c>
    </row>
    <row r="336" spans="3:4" x14ac:dyDescent="0.5">
      <c r="D336" t="s">
        <v>4850</v>
      </c>
    </row>
    <row r="337" spans="3:4" x14ac:dyDescent="0.5">
      <c r="D337" t="s">
        <v>4851</v>
      </c>
    </row>
    <row r="338" spans="3:4" x14ac:dyDescent="0.5">
      <c r="D338" t="s">
        <v>4852</v>
      </c>
    </row>
    <row r="339" spans="3:4" x14ac:dyDescent="0.5">
      <c r="C339" t="s">
        <v>4581</v>
      </c>
    </row>
    <row r="340" spans="3:4" x14ac:dyDescent="0.5">
      <c r="C340" t="s">
        <v>4714</v>
      </c>
    </row>
    <row r="341" spans="3:4" x14ac:dyDescent="0.5">
      <c r="D341" t="s">
        <v>4853</v>
      </c>
    </row>
    <row r="342" spans="3:4" x14ac:dyDescent="0.5">
      <c r="D342" t="s">
        <v>4854</v>
      </c>
    </row>
    <row r="343" spans="3:4" x14ac:dyDescent="0.5">
      <c r="D343" t="s">
        <v>4855</v>
      </c>
    </row>
    <row r="344" spans="3:4" x14ac:dyDescent="0.5">
      <c r="D344" t="s">
        <v>4856</v>
      </c>
    </row>
    <row r="345" spans="3:4" x14ac:dyDescent="0.5">
      <c r="D345" t="s">
        <v>4857</v>
      </c>
    </row>
    <row r="346" spans="3:4" x14ac:dyDescent="0.5">
      <c r="D346" t="s">
        <v>4858</v>
      </c>
    </row>
    <row r="347" spans="3:4" x14ac:dyDescent="0.5">
      <c r="D347" t="s">
        <v>4859</v>
      </c>
    </row>
    <row r="348" spans="3:4" x14ac:dyDescent="0.5">
      <c r="D348" t="s">
        <v>4860</v>
      </c>
    </row>
    <row r="349" spans="3:4" x14ac:dyDescent="0.5">
      <c r="C349" t="s">
        <v>4581</v>
      </c>
    </row>
    <row r="351" spans="3:4" x14ac:dyDescent="0.5">
      <c r="C351" t="s">
        <v>4827</v>
      </c>
    </row>
    <row r="353" spans="2:3" x14ac:dyDescent="0.5">
      <c r="C353" t="s">
        <v>4727</v>
      </c>
    </row>
    <row r="354" spans="2:3" x14ac:dyDescent="0.5">
      <c r="C354" t="s">
        <v>4728</v>
      </c>
    </row>
    <row r="355" spans="2:3" x14ac:dyDescent="0.5">
      <c r="C355" t="s">
        <v>4802</v>
      </c>
    </row>
    <row r="356" spans="2:3" x14ac:dyDescent="0.5">
      <c r="C356" t="s">
        <v>4803</v>
      </c>
    </row>
    <row r="358" spans="2:3" x14ac:dyDescent="0.5">
      <c r="C358" t="s">
        <v>4731</v>
      </c>
    </row>
    <row r="359" spans="2:3" x14ac:dyDescent="0.5">
      <c r="C359" t="s">
        <v>4732</v>
      </c>
    </row>
    <row r="360" spans="2:3" x14ac:dyDescent="0.5">
      <c r="C360" t="s">
        <v>4733</v>
      </c>
    </row>
    <row r="361" spans="2:3" x14ac:dyDescent="0.5">
      <c r="C361" t="s">
        <v>4804</v>
      </c>
    </row>
    <row r="363" spans="2:3" x14ac:dyDescent="0.5">
      <c r="C363" t="s">
        <v>4735</v>
      </c>
    </row>
    <row r="364" spans="2:3" x14ac:dyDescent="0.5">
      <c r="B364" t="s">
        <v>4581</v>
      </c>
    </row>
    <row r="365" spans="2:3" x14ac:dyDescent="0.5">
      <c r="B365" t="s">
        <v>4861</v>
      </c>
    </row>
    <row r="366" spans="2:3" x14ac:dyDescent="0.5">
      <c r="C366" t="s">
        <v>4775</v>
      </c>
    </row>
    <row r="367" spans="2:3" x14ac:dyDescent="0.5">
      <c r="C367" t="s">
        <v>4698</v>
      </c>
    </row>
    <row r="368" spans="2:3" x14ac:dyDescent="0.5">
      <c r="C368" t="s">
        <v>4702</v>
      </c>
    </row>
    <row r="369" spans="3:5" x14ac:dyDescent="0.5">
      <c r="D369" t="s">
        <v>4703</v>
      </c>
    </row>
    <row r="370" spans="3:5" x14ac:dyDescent="0.5">
      <c r="E370" t="s">
        <v>4862</v>
      </c>
    </row>
    <row r="371" spans="3:5" x14ac:dyDescent="0.5">
      <c r="E371" t="s">
        <v>4705</v>
      </c>
    </row>
    <row r="372" spans="3:5" x14ac:dyDescent="0.5">
      <c r="D372" t="s">
        <v>4581</v>
      </c>
    </row>
    <row r="373" spans="3:5" x14ac:dyDescent="0.5">
      <c r="C373" t="s">
        <v>4581</v>
      </c>
    </row>
    <row r="375" spans="3:5" x14ac:dyDescent="0.5">
      <c r="C375" t="s">
        <v>4863</v>
      </c>
    </row>
    <row r="377" spans="3:5" x14ac:dyDescent="0.5">
      <c r="C377" t="s">
        <v>4708</v>
      </c>
    </row>
    <row r="378" spans="3:5" x14ac:dyDescent="0.5">
      <c r="D378" t="s">
        <v>4864</v>
      </c>
    </row>
    <row r="379" spans="3:5" x14ac:dyDescent="0.5">
      <c r="D379" t="s">
        <v>4865</v>
      </c>
    </row>
    <row r="380" spans="3:5" x14ac:dyDescent="0.5">
      <c r="D380" t="s">
        <v>4866</v>
      </c>
    </row>
    <row r="381" spans="3:5" x14ac:dyDescent="0.5">
      <c r="D381" t="s">
        <v>4867</v>
      </c>
    </row>
    <row r="382" spans="3:5" x14ac:dyDescent="0.5">
      <c r="D382" t="s">
        <v>4868</v>
      </c>
    </row>
    <row r="383" spans="3:5" x14ac:dyDescent="0.5">
      <c r="D383" t="s">
        <v>4869</v>
      </c>
    </row>
    <row r="384" spans="3:5" x14ac:dyDescent="0.5">
      <c r="D384" t="s">
        <v>4870</v>
      </c>
    </row>
    <row r="385" spans="3:4" x14ac:dyDescent="0.5">
      <c r="D385" t="s">
        <v>4871</v>
      </c>
    </row>
    <row r="386" spans="3:4" x14ac:dyDescent="0.5">
      <c r="D386" t="s">
        <v>4872</v>
      </c>
    </row>
    <row r="387" spans="3:4" x14ac:dyDescent="0.5">
      <c r="D387" t="s">
        <v>4873</v>
      </c>
    </row>
    <row r="388" spans="3:4" x14ac:dyDescent="0.5">
      <c r="D388" t="s">
        <v>4874</v>
      </c>
    </row>
    <row r="389" spans="3:4" x14ac:dyDescent="0.5">
      <c r="D389" t="s">
        <v>4875</v>
      </c>
    </row>
    <row r="390" spans="3:4" x14ac:dyDescent="0.5">
      <c r="D390" t="s">
        <v>4876</v>
      </c>
    </row>
    <row r="391" spans="3:4" x14ac:dyDescent="0.5">
      <c r="D391" t="s">
        <v>4877</v>
      </c>
    </row>
    <row r="392" spans="3:4" x14ac:dyDescent="0.5">
      <c r="C392" t="s">
        <v>4581</v>
      </c>
    </row>
    <row r="393" spans="3:4" x14ac:dyDescent="0.5">
      <c r="C393" t="s">
        <v>4714</v>
      </c>
    </row>
    <row r="394" spans="3:4" x14ac:dyDescent="0.5">
      <c r="D394" t="s">
        <v>4878</v>
      </c>
    </row>
    <row r="395" spans="3:4" x14ac:dyDescent="0.5">
      <c r="D395" t="s">
        <v>4879</v>
      </c>
    </row>
    <row r="396" spans="3:4" x14ac:dyDescent="0.5">
      <c r="D396" t="s">
        <v>4880</v>
      </c>
    </row>
    <row r="397" spans="3:4" x14ac:dyDescent="0.5">
      <c r="D397" t="s">
        <v>4881</v>
      </c>
    </row>
    <row r="398" spans="3:4" x14ac:dyDescent="0.5">
      <c r="D398" t="s">
        <v>4882</v>
      </c>
    </row>
    <row r="399" spans="3:4" x14ac:dyDescent="0.5">
      <c r="D399" t="s">
        <v>4883</v>
      </c>
    </row>
    <row r="400" spans="3:4" x14ac:dyDescent="0.5">
      <c r="D400" t="s">
        <v>4884</v>
      </c>
    </row>
    <row r="401" spans="2:3" x14ac:dyDescent="0.5">
      <c r="C401" t="s">
        <v>4581</v>
      </c>
    </row>
    <row r="403" spans="2:3" x14ac:dyDescent="0.5">
      <c r="C403" t="s">
        <v>4801</v>
      </c>
    </row>
    <row r="405" spans="2:3" x14ac:dyDescent="0.5">
      <c r="C405" t="s">
        <v>4727</v>
      </c>
    </row>
    <row r="406" spans="2:3" x14ac:dyDescent="0.5">
      <c r="C406" t="s">
        <v>4728</v>
      </c>
    </row>
    <row r="407" spans="2:3" x14ac:dyDescent="0.5">
      <c r="C407" t="s">
        <v>4802</v>
      </c>
    </row>
    <row r="408" spans="2:3" x14ac:dyDescent="0.5">
      <c r="C408" t="s">
        <v>4803</v>
      </c>
    </row>
    <row r="410" spans="2:3" x14ac:dyDescent="0.5">
      <c r="C410" t="s">
        <v>4731</v>
      </c>
    </row>
    <row r="411" spans="2:3" x14ac:dyDescent="0.5">
      <c r="C411" t="s">
        <v>4732</v>
      </c>
    </row>
    <row r="412" spans="2:3" x14ac:dyDescent="0.5">
      <c r="C412" t="s">
        <v>4733</v>
      </c>
    </row>
    <row r="413" spans="2:3" x14ac:dyDescent="0.5">
      <c r="C413" t="s">
        <v>4804</v>
      </c>
    </row>
    <row r="415" spans="2:3" x14ac:dyDescent="0.5">
      <c r="C415" t="s">
        <v>4735</v>
      </c>
    </row>
    <row r="416" spans="2:3" x14ac:dyDescent="0.5">
      <c r="B416" t="s">
        <v>4581</v>
      </c>
    </row>
    <row r="417" spans="1:5" x14ac:dyDescent="0.5">
      <c r="A417" t="s">
        <v>4581</v>
      </c>
    </row>
    <row r="419" spans="1:5" x14ac:dyDescent="0.5">
      <c r="A419" t="s">
        <v>4583</v>
      </c>
    </row>
    <row r="420" spans="1:5" x14ac:dyDescent="0.5">
      <c r="B420" t="s">
        <v>4698</v>
      </c>
    </row>
    <row r="421" spans="1:5" x14ac:dyDescent="0.5">
      <c r="C421" t="s">
        <v>4699</v>
      </c>
    </row>
    <row r="422" spans="1:5" x14ac:dyDescent="0.5">
      <c r="B422" t="s">
        <v>4697</v>
      </c>
    </row>
    <row r="424" spans="1:5" x14ac:dyDescent="0.5">
      <c r="B424" t="s">
        <v>4885</v>
      </c>
    </row>
    <row r="425" spans="1:5" x14ac:dyDescent="0.5">
      <c r="C425" t="s">
        <v>4886</v>
      </c>
    </row>
    <row r="427" spans="1:5" x14ac:dyDescent="0.5">
      <c r="C427" t="s">
        <v>4887</v>
      </c>
    </row>
    <row r="429" spans="1:5" x14ac:dyDescent="0.5">
      <c r="C429" t="s">
        <v>4698</v>
      </c>
    </row>
    <row r="430" spans="1:5" x14ac:dyDescent="0.5">
      <c r="C430" t="s">
        <v>4702</v>
      </c>
    </row>
    <row r="431" spans="1:5" x14ac:dyDescent="0.5">
      <c r="D431" t="s">
        <v>4703</v>
      </c>
    </row>
    <row r="432" spans="1:5" x14ac:dyDescent="0.5">
      <c r="E432" t="s">
        <v>4888</v>
      </c>
    </row>
    <row r="433" spans="3:5" x14ac:dyDescent="0.5">
      <c r="E433" t="s">
        <v>4705</v>
      </c>
    </row>
    <row r="434" spans="3:5" x14ac:dyDescent="0.5">
      <c r="D434" t="s">
        <v>4581</v>
      </c>
    </row>
    <row r="435" spans="3:5" x14ac:dyDescent="0.5">
      <c r="C435" t="s">
        <v>4581</v>
      </c>
    </row>
    <row r="437" spans="3:5" x14ac:dyDescent="0.5">
      <c r="C437" t="s">
        <v>4889</v>
      </c>
    </row>
    <row r="438" spans="3:5" x14ac:dyDescent="0.5">
      <c r="C438" t="s">
        <v>4708</v>
      </c>
    </row>
    <row r="439" spans="3:5" x14ac:dyDescent="0.5">
      <c r="D439" t="s">
        <v>4890</v>
      </c>
    </row>
    <row r="440" spans="3:5" x14ac:dyDescent="0.5">
      <c r="D440" t="s">
        <v>4891</v>
      </c>
    </row>
    <row r="441" spans="3:5" x14ac:dyDescent="0.5">
      <c r="D441" t="s">
        <v>4892</v>
      </c>
    </row>
    <row r="442" spans="3:5" x14ac:dyDescent="0.5">
      <c r="C442" t="s">
        <v>4581</v>
      </c>
    </row>
    <row r="443" spans="3:5" x14ac:dyDescent="0.5">
      <c r="C443" t="s">
        <v>4714</v>
      </c>
    </row>
    <row r="444" spans="3:5" x14ac:dyDescent="0.5">
      <c r="D444" t="s">
        <v>4893</v>
      </c>
    </row>
    <row r="445" spans="3:5" x14ac:dyDescent="0.5">
      <c r="D445" t="s">
        <v>4894</v>
      </c>
    </row>
    <row r="446" spans="3:5" x14ac:dyDescent="0.5">
      <c r="C446" t="s">
        <v>4581</v>
      </c>
    </row>
    <row r="447" spans="3:5" x14ac:dyDescent="0.5">
      <c r="C447" t="s">
        <v>4895</v>
      </c>
    </row>
    <row r="448" spans="3:5" x14ac:dyDescent="0.5">
      <c r="C448" t="s">
        <v>4896</v>
      </c>
    </row>
    <row r="450" spans="2:3" x14ac:dyDescent="0.5">
      <c r="C450" t="s">
        <v>4735</v>
      </c>
    </row>
    <row r="451" spans="2:3" x14ac:dyDescent="0.5">
      <c r="C451" t="s">
        <v>4727</v>
      </c>
    </row>
    <row r="452" spans="2:3" x14ac:dyDescent="0.5">
      <c r="C452" t="s">
        <v>4897</v>
      </c>
    </row>
    <row r="453" spans="2:3" x14ac:dyDescent="0.5">
      <c r="C453" t="s">
        <v>4898</v>
      </c>
    </row>
    <row r="454" spans="2:3" x14ac:dyDescent="0.5">
      <c r="C454" t="s">
        <v>4899</v>
      </c>
    </row>
    <row r="456" spans="2:3" x14ac:dyDescent="0.5">
      <c r="C456" t="s">
        <v>4731</v>
      </c>
    </row>
    <row r="457" spans="2:3" x14ac:dyDescent="0.5">
      <c r="C457" t="s">
        <v>4831</v>
      </c>
    </row>
    <row r="458" spans="2:3" x14ac:dyDescent="0.5">
      <c r="C458" t="s">
        <v>4900</v>
      </c>
    </row>
    <row r="459" spans="2:3" x14ac:dyDescent="0.5">
      <c r="C459" t="s">
        <v>4804</v>
      </c>
    </row>
    <row r="460" spans="2:3" x14ac:dyDescent="0.5">
      <c r="B460" t="s">
        <v>4581</v>
      </c>
    </row>
    <row r="461" spans="2:3" x14ac:dyDescent="0.5">
      <c r="B461" t="s">
        <v>4901</v>
      </c>
    </row>
    <row r="462" spans="2:3" x14ac:dyDescent="0.5">
      <c r="C462" t="s">
        <v>4902</v>
      </c>
    </row>
    <row r="463" spans="2:3" x14ac:dyDescent="0.5">
      <c r="C463" t="s">
        <v>4903</v>
      </c>
    </row>
    <row r="465" spans="3:5" x14ac:dyDescent="0.5">
      <c r="C465" t="s">
        <v>4904</v>
      </c>
    </row>
    <row r="467" spans="3:5" x14ac:dyDescent="0.5">
      <c r="C467" t="s">
        <v>4698</v>
      </c>
    </row>
    <row r="468" spans="3:5" x14ac:dyDescent="0.5">
      <c r="C468" t="s">
        <v>4702</v>
      </c>
    </row>
    <row r="469" spans="3:5" x14ac:dyDescent="0.5">
      <c r="D469" t="s">
        <v>4703</v>
      </c>
    </row>
    <row r="470" spans="3:5" x14ac:dyDescent="0.5">
      <c r="E470" t="s">
        <v>4905</v>
      </c>
    </row>
    <row r="471" spans="3:5" x14ac:dyDescent="0.5">
      <c r="E471" t="s">
        <v>4705</v>
      </c>
    </row>
    <row r="472" spans="3:5" x14ac:dyDescent="0.5">
      <c r="D472" t="s">
        <v>4581</v>
      </c>
    </row>
    <row r="473" spans="3:5" x14ac:dyDescent="0.5">
      <c r="C473" t="s">
        <v>4581</v>
      </c>
    </row>
    <row r="475" spans="3:5" x14ac:dyDescent="0.5">
      <c r="C475" t="s">
        <v>4708</v>
      </c>
    </row>
    <row r="476" spans="3:5" x14ac:dyDescent="0.5">
      <c r="D476" t="s">
        <v>4906</v>
      </c>
    </row>
    <row r="477" spans="3:5" x14ac:dyDescent="0.5">
      <c r="D477" t="s">
        <v>4907</v>
      </c>
    </row>
    <row r="478" spans="3:5" x14ac:dyDescent="0.5">
      <c r="D478" t="s">
        <v>4908</v>
      </c>
    </row>
    <row r="479" spans="3:5" x14ac:dyDescent="0.5">
      <c r="D479" t="s">
        <v>4909</v>
      </c>
    </row>
    <row r="480" spans="3:5" x14ac:dyDescent="0.5">
      <c r="D480" t="s">
        <v>4910</v>
      </c>
    </row>
    <row r="481" spans="3:4" x14ac:dyDescent="0.5">
      <c r="D481" t="s">
        <v>4911</v>
      </c>
    </row>
    <row r="482" spans="3:4" x14ac:dyDescent="0.5">
      <c r="D482" t="s">
        <v>4912</v>
      </c>
    </row>
    <row r="483" spans="3:4" x14ac:dyDescent="0.5">
      <c r="D483" t="s">
        <v>4913</v>
      </c>
    </row>
    <row r="484" spans="3:4" x14ac:dyDescent="0.5">
      <c r="D484" t="s">
        <v>4914</v>
      </c>
    </row>
    <row r="485" spans="3:4" x14ac:dyDescent="0.5">
      <c r="D485" t="s">
        <v>4915</v>
      </c>
    </row>
    <row r="486" spans="3:4" x14ac:dyDescent="0.5">
      <c r="D486" t="s">
        <v>4916</v>
      </c>
    </row>
    <row r="487" spans="3:4" x14ac:dyDescent="0.5">
      <c r="D487" t="s">
        <v>4917</v>
      </c>
    </row>
    <row r="488" spans="3:4" x14ac:dyDescent="0.5">
      <c r="D488" t="s">
        <v>4918</v>
      </c>
    </row>
    <row r="489" spans="3:4" x14ac:dyDescent="0.5">
      <c r="D489" t="s">
        <v>4919</v>
      </c>
    </row>
    <row r="490" spans="3:4" x14ac:dyDescent="0.5">
      <c r="C490" t="s">
        <v>4581</v>
      </c>
    </row>
    <row r="491" spans="3:4" x14ac:dyDescent="0.5">
      <c r="C491" t="s">
        <v>4714</v>
      </c>
    </row>
    <row r="492" spans="3:4" x14ac:dyDescent="0.5">
      <c r="D492" t="s">
        <v>4920</v>
      </c>
    </row>
    <row r="493" spans="3:4" x14ac:dyDescent="0.5">
      <c r="D493" t="s">
        <v>4921</v>
      </c>
    </row>
    <row r="494" spans="3:4" x14ac:dyDescent="0.5">
      <c r="D494" t="s">
        <v>4922</v>
      </c>
    </row>
    <row r="495" spans="3:4" x14ac:dyDescent="0.5">
      <c r="D495" t="s">
        <v>4923</v>
      </c>
    </row>
    <row r="496" spans="3:4" x14ac:dyDescent="0.5">
      <c r="D496" t="s">
        <v>4924</v>
      </c>
    </row>
    <row r="497" spans="3:4" x14ac:dyDescent="0.5">
      <c r="D497" t="s">
        <v>4925</v>
      </c>
    </row>
    <row r="498" spans="3:4" x14ac:dyDescent="0.5">
      <c r="D498" t="s">
        <v>4926</v>
      </c>
    </row>
    <row r="499" spans="3:4" x14ac:dyDescent="0.5">
      <c r="C499" t="s">
        <v>4581</v>
      </c>
    </row>
    <row r="501" spans="3:4" x14ac:dyDescent="0.5">
      <c r="C501" t="s">
        <v>4720</v>
      </c>
    </row>
    <row r="503" spans="3:4" x14ac:dyDescent="0.5">
      <c r="C503" t="s">
        <v>4895</v>
      </c>
    </row>
    <row r="505" spans="3:4" x14ac:dyDescent="0.5">
      <c r="C505" t="s">
        <v>4724</v>
      </c>
    </row>
    <row r="506" spans="3:4" x14ac:dyDescent="0.5">
      <c r="C506" t="s">
        <v>4927</v>
      </c>
    </row>
    <row r="507" spans="3:4" x14ac:dyDescent="0.5">
      <c r="C507" t="s">
        <v>4726</v>
      </c>
    </row>
    <row r="509" spans="3:4" x14ac:dyDescent="0.5">
      <c r="C509" t="s">
        <v>4727</v>
      </c>
    </row>
    <row r="510" spans="3:4" x14ac:dyDescent="0.5">
      <c r="C510" t="s">
        <v>4897</v>
      </c>
    </row>
    <row r="511" spans="3:4" x14ac:dyDescent="0.5">
      <c r="C511" t="s">
        <v>4898</v>
      </c>
    </row>
    <row r="512" spans="3:4" x14ac:dyDescent="0.5">
      <c r="C512" t="s">
        <v>4928</v>
      </c>
    </row>
    <row r="514" spans="2:4" x14ac:dyDescent="0.5">
      <c r="C514" t="s">
        <v>4731</v>
      </c>
    </row>
    <row r="515" spans="2:4" x14ac:dyDescent="0.5">
      <c r="C515" t="s">
        <v>4831</v>
      </c>
    </row>
    <row r="516" spans="2:4" x14ac:dyDescent="0.5">
      <c r="C516" t="s">
        <v>4900</v>
      </c>
    </row>
    <row r="517" spans="2:4" x14ac:dyDescent="0.5">
      <c r="C517" t="s">
        <v>4804</v>
      </c>
    </row>
    <row r="519" spans="2:4" x14ac:dyDescent="0.5">
      <c r="C519" t="s">
        <v>4735</v>
      </c>
    </row>
    <row r="520" spans="2:4" x14ac:dyDescent="0.5">
      <c r="B520" t="s">
        <v>4581</v>
      </c>
    </row>
    <row r="521" spans="2:4" x14ac:dyDescent="0.5">
      <c r="B521" t="s">
        <v>4929</v>
      </c>
    </row>
    <row r="522" spans="2:4" x14ac:dyDescent="0.5">
      <c r="C522" t="s">
        <v>4902</v>
      </c>
    </row>
    <row r="523" spans="2:4" x14ac:dyDescent="0.5">
      <c r="C523" t="s">
        <v>4903</v>
      </c>
    </row>
    <row r="525" spans="2:4" x14ac:dyDescent="0.5">
      <c r="C525" t="s">
        <v>4930</v>
      </c>
    </row>
    <row r="526" spans="2:4" x14ac:dyDescent="0.5">
      <c r="C526" t="s">
        <v>4698</v>
      </c>
    </row>
    <row r="527" spans="2:4" x14ac:dyDescent="0.5">
      <c r="C527" t="s">
        <v>4702</v>
      </c>
    </row>
    <row r="528" spans="2:4" x14ac:dyDescent="0.5">
      <c r="D528" t="s">
        <v>4703</v>
      </c>
    </row>
    <row r="529" spans="3:5" x14ac:dyDescent="0.5">
      <c r="E529" t="s">
        <v>4931</v>
      </c>
    </row>
    <row r="530" spans="3:5" x14ac:dyDescent="0.5">
      <c r="E530" t="s">
        <v>4705</v>
      </c>
    </row>
    <row r="531" spans="3:5" x14ac:dyDescent="0.5">
      <c r="D531" t="s">
        <v>4581</v>
      </c>
    </row>
    <row r="532" spans="3:5" x14ac:dyDescent="0.5">
      <c r="C532" t="s">
        <v>4581</v>
      </c>
    </row>
    <row r="534" spans="3:5" x14ac:dyDescent="0.5">
      <c r="C534" t="s">
        <v>4708</v>
      </c>
    </row>
    <row r="535" spans="3:5" x14ac:dyDescent="0.5">
      <c r="D535" t="s">
        <v>4932</v>
      </c>
    </row>
    <row r="536" spans="3:5" x14ac:dyDescent="0.5">
      <c r="D536" t="s">
        <v>4933</v>
      </c>
    </row>
    <row r="537" spans="3:5" x14ac:dyDescent="0.5">
      <c r="D537" t="s">
        <v>4934</v>
      </c>
    </row>
    <row r="538" spans="3:5" x14ac:dyDescent="0.5">
      <c r="D538" t="s">
        <v>4935</v>
      </c>
    </row>
    <row r="539" spans="3:5" x14ac:dyDescent="0.5">
      <c r="D539" t="s">
        <v>4936</v>
      </c>
    </row>
    <row r="540" spans="3:5" x14ac:dyDescent="0.5">
      <c r="D540" t="s">
        <v>4937</v>
      </c>
    </row>
    <row r="541" spans="3:5" x14ac:dyDescent="0.5">
      <c r="D541" t="s">
        <v>4938</v>
      </c>
    </row>
    <row r="542" spans="3:5" x14ac:dyDescent="0.5">
      <c r="D542" t="s">
        <v>4939</v>
      </c>
    </row>
    <row r="543" spans="3:5" x14ac:dyDescent="0.5">
      <c r="D543" t="s">
        <v>4940</v>
      </c>
    </row>
    <row r="544" spans="3:5" x14ac:dyDescent="0.5">
      <c r="D544" t="s">
        <v>4941</v>
      </c>
    </row>
    <row r="545" spans="3:4" x14ac:dyDescent="0.5">
      <c r="D545" t="s">
        <v>4942</v>
      </c>
    </row>
    <row r="546" spans="3:4" x14ac:dyDescent="0.5">
      <c r="D546" t="s">
        <v>4943</v>
      </c>
    </row>
    <row r="547" spans="3:4" x14ac:dyDescent="0.5">
      <c r="D547" t="s">
        <v>4944</v>
      </c>
    </row>
    <row r="548" spans="3:4" x14ac:dyDescent="0.5">
      <c r="D548" t="s">
        <v>4945</v>
      </c>
    </row>
    <row r="549" spans="3:4" x14ac:dyDescent="0.5">
      <c r="C549" t="s">
        <v>4581</v>
      </c>
    </row>
    <row r="550" spans="3:4" x14ac:dyDescent="0.5">
      <c r="C550" t="s">
        <v>4714</v>
      </c>
    </row>
    <row r="551" spans="3:4" x14ac:dyDescent="0.5">
      <c r="D551" t="s">
        <v>4946</v>
      </c>
    </row>
    <row r="552" spans="3:4" x14ac:dyDescent="0.5">
      <c r="D552" t="s">
        <v>4947</v>
      </c>
    </row>
    <row r="553" spans="3:4" x14ac:dyDescent="0.5">
      <c r="D553" t="s">
        <v>4948</v>
      </c>
    </row>
    <row r="554" spans="3:4" x14ac:dyDescent="0.5">
      <c r="D554" t="s">
        <v>4949</v>
      </c>
    </row>
    <row r="555" spans="3:4" x14ac:dyDescent="0.5">
      <c r="D555" t="s">
        <v>4950</v>
      </c>
    </row>
    <row r="556" spans="3:4" x14ac:dyDescent="0.5">
      <c r="C556" t="s">
        <v>4581</v>
      </c>
    </row>
    <row r="558" spans="3:4" x14ac:dyDescent="0.5">
      <c r="C558" t="s">
        <v>4721</v>
      </c>
    </row>
    <row r="559" spans="3:4" x14ac:dyDescent="0.5">
      <c r="C559" t="s">
        <v>4722</v>
      </c>
    </row>
    <row r="561" spans="3:3" x14ac:dyDescent="0.5">
      <c r="C561" t="s">
        <v>4895</v>
      </c>
    </row>
    <row r="563" spans="3:3" x14ac:dyDescent="0.5">
      <c r="C563" t="s">
        <v>4724</v>
      </c>
    </row>
    <row r="564" spans="3:3" x14ac:dyDescent="0.5">
      <c r="C564" t="s">
        <v>4927</v>
      </c>
    </row>
    <row r="565" spans="3:3" x14ac:dyDescent="0.5">
      <c r="C565" t="s">
        <v>4726</v>
      </c>
    </row>
    <row r="567" spans="3:3" x14ac:dyDescent="0.5">
      <c r="C567" t="s">
        <v>4727</v>
      </c>
    </row>
    <row r="568" spans="3:3" x14ac:dyDescent="0.5">
      <c r="C568" t="s">
        <v>4897</v>
      </c>
    </row>
    <row r="569" spans="3:3" x14ac:dyDescent="0.5">
      <c r="C569" t="s">
        <v>4898</v>
      </c>
    </row>
    <row r="570" spans="3:3" x14ac:dyDescent="0.5">
      <c r="C570" t="s">
        <v>4928</v>
      </c>
    </row>
    <row r="572" spans="3:3" x14ac:dyDescent="0.5">
      <c r="C572" t="s">
        <v>4731</v>
      </c>
    </row>
    <row r="573" spans="3:3" x14ac:dyDescent="0.5">
      <c r="C573" t="s">
        <v>4831</v>
      </c>
    </row>
    <row r="574" spans="3:3" x14ac:dyDescent="0.5">
      <c r="C574" t="s">
        <v>4900</v>
      </c>
    </row>
    <row r="575" spans="3:3" x14ac:dyDescent="0.5">
      <c r="C575" t="s">
        <v>4804</v>
      </c>
    </row>
    <row r="577" spans="2:5" x14ac:dyDescent="0.5">
      <c r="C577" t="s">
        <v>4735</v>
      </c>
    </row>
    <row r="578" spans="2:5" x14ac:dyDescent="0.5">
      <c r="B578" t="s">
        <v>4581</v>
      </c>
    </row>
    <row r="579" spans="2:5" x14ac:dyDescent="0.5">
      <c r="B579" t="s">
        <v>4951</v>
      </c>
    </row>
    <row r="580" spans="2:5" x14ac:dyDescent="0.5">
      <c r="C580" t="s">
        <v>4952</v>
      </c>
    </row>
    <row r="581" spans="2:5" x14ac:dyDescent="0.5">
      <c r="C581" t="s">
        <v>4698</v>
      </c>
    </row>
    <row r="582" spans="2:5" x14ac:dyDescent="0.5">
      <c r="C582" t="s">
        <v>4702</v>
      </c>
    </row>
    <row r="583" spans="2:5" x14ac:dyDescent="0.5">
      <c r="D583" t="s">
        <v>4703</v>
      </c>
    </row>
    <row r="584" spans="2:5" x14ac:dyDescent="0.5">
      <c r="E584" t="s">
        <v>4931</v>
      </c>
    </row>
    <row r="585" spans="2:5" x14ac:dyDescent="0.5">
      <c r="E585" t="s">
        <v>4705</v>
      </c>
    </row>
    <row r="586" spans="2:5" x14ac:dyDescent="0.5">
      <c r="D586" t="s">
        <v>4581</v>
      </c>
    </row>
    <row r="587" spans="2:5" x14ac:dyDescent="0.5">
      <c r="C587" t="s">
        <v>4581</v>
      </c>
    </row>
    <row r="589" spans="2:5" x14ac:dyDescent="0.5">
      <c r="C589" t="s">
        <v>4953</v>
      </c>
    </row>
    <row r="591" spans="2:5" x14ac:dyDescent="0.5">
      <c r="C591" t="s">
        <v>4708</v>
      </c>
    </row>
    <row r="592" spans="2:5" x14ac:dyDescent="0.5">
      <c r="D592" t="s">
        <v>4954</v>
      </c>
    </row>
    <row r="593" spans="3:4" x14ac:dyDescent="0.5">
      <c r="D593" t="s">
        <v>4955</v>
      </c>
    </row>
    <row r="594" spans="3:4" x14ac:dyDescent="0.5">
      <c r="D594" t="s">
        <v>4956</v>
      </c>
    </row>
    <row r="595" spans="3:4" x14ac:dyDescent="0.5">
      <c r="D595" t="s">
        <v>4957</v>
      </c>
    </row>
    <row r="596" spans="3:4" x14ac:dyDescent="0.5">
      <c r="D596" t="s">
        <v>4958</v>
      </c>
    </row>
    <row r="597" spans="3:4" x14ac:dyDescent="0.5">
      <c r="D597" t="s">
        <v>4959</v>
      </c>
    </row>
    <row r="598" spans="3:4" x14ac:dyDescent="0.5">
      <c r="D598" t="s">
        <v>4960</v>
      </c>
    </row>
    <row r="599" spans="3:4" x14ac:dyDescent="0.5">
      <c r="D599" t="s">
        <v>4961</v>
      </c>
    </row>
    <row r="600" spans="3:4" x14ac:dyDescent="0.5">
      <c r="D600" t="s">
        <v>4962</v>
      </c>
    </row>
    <row r="601" spans="3:4" x14ac:dyDescent="0.5">
      <c r="D601" t="s">
        <v>4963</v>
      </c>
    </row>
    <row r="602" spans="3:4" x14ac:dyDescent="0.5">
      <c r="D602" t="s">
        <v>4964</v>
      </c>
    </row>
    <row r="603" spans="3:4" x14ac:dyDescent="0.5">
      <c r="D603" t="s">
        <v>4965</v>
      </c>
    </row>
    <row r="604" spans="3:4" x14ac:dyDescent="0.5">
      <c r="C604" t="s">
        <v>4581</v>
      </c>
    </row>
    <row r="605" spans="3:4" x14ac:dyDescent="0.5">
      <c r="C605" t="s">
        <v>4714</v>
      </c>
    </row>
    <row r="606" spans="3:4" x14ac:dyDescent="0.5">
      <c r="D606" t="s">
        <v>4966</v>
      </c>
    </row>
    <row r="607" spans="3:4" x14ac:dyDescent="0.5">
      <c r="D607" t="s">
        <v>4967</v>
      </c>
    </row>
    <row r="608" spans="3:4" x14ac:dyDescent="0.5">
      <c r="D608" t="s">
        <v>4968</v>
      </c>
    </row>
    <row r="609" spans="3:4" x14ac:dyDescent="0.5">
      <c r="D609" t="s">
        <v>4969</v>
      </c>
    </row>
    <row r="610" spans="3:4" x14ac:dyDescent="0.5">
      <c r="D610" t="s">
        <v>4970</v>
      </c>
    </row>
    <row r="611" spans="3:4" x14ac:dyDescent="0.5">
      <c r="C611" t="s">
        <v>4581</v>
      </c>
    </row>
    <row r="613" spans="3:4" x14ac:dyDescent="0.5">
      <c r="C613" t="s">
        <v>4721</v>
      </c>
    </row>
    <row r="614" spans="3:4" x14ac:dyDescent="0.5">
      <c r="C614" t="s">
        <v>4722</v>
      </c>
    </row>
    <row r="616" spans="3:4" x14ac:dyDescent="0.5">
      <c r="C616" t="s">
        <v>4801</v>
      </c>
    </row>
    <row r="618" spans="3:4" x14ac:dyDescent="0.5">
      <c r="C618" t="s">
        <v>4724</v>
      </c>
    </row>
    <row r="619" spans="3:4" x14ac:dyDescent="0.5">
      <c r="C619" t="s">
        <v>4927</v>
      </c>
    </row>
    <row r="620" spans="3:4" x14ac:dyDescent="0.5">
      <c r="C620" t="s">
        <v>4726</v>
      </c>
    </row>
    <row r="622" spans="3:4" x14ac:dyDescent="0.5">
      <c r="C622" t="s">
        <v>4727</v>
      </c>
    </row>
    <row r="623" spans="3:4" x14ac:dyDescent="0.5">
      <c r="C623" t="s">
        <v>4897</v>
      </c>
    </row>
    <row r="624" spans="3:4" x14ac:dyDescent="0.5">
      <c r="C624" t="s">
        <v>4898</v>
      </c>
    </row>
    <row r="625" spans="2:4" x14ac:dyDescent="0.5">
      <c r="C625" t="s">
        <v>4928</v>
      </c>
    </row>
    <row r="627" spans="2:4" x14ac:dyDescent="0.5">
      <c r="C627" t="s">
        <v>4731</v>
      </c>
    </row>
    <row r="628" spans="2:4" x14ac:dyDescent="0.5">
      <c r="C628" t="s">
        <v>4831</v>
      </c>
    </row>
    <row r="629" spans="2:4" x14ac:dyDescent="0.5">
      <c r="C629" t="s">
        <v>4900</v>
      </c>
    </row>
    <row r="630" spans="2:4" x14ac:dyDescent="0.5">
      <c r="C630" t="s">
        <v>4804</v>
      </c>
    </row>
    <row r="632" spans="2:4" x14ac:dyDescent="0.5">
      <c r="C632" t="s">
        <v>4735</v>
      </c>
    </row>
    <row r="633" spans="2:4" x14ac:dyDescent="0.5">
      <c r="B633" t="s">
        <v>4581</v>
      </c>
    </row>
    <row r="634" spans="2:4" x14ac:dyDescent="0.5">
      <c r="B634" t="s">
        <v>4971</v>
      </c>
    </row>
    <row r="635" spans="2:4" x14ac:dyDescent="0.5">
      <c r="C635" t="s">
        <v>4775</v>
      </c>
    </row>
    <row r="637" spans="2:4" x14ac:dyDescent="0.5">
      <c r="C637" t="s">
        <v>4972</v>
      </c>
    </row>
    <row r="638" spans="2:4" x14ac:dyDescent="0.5">
      <c r="C638" t="s">
        <v>4698</v>
      </c>
    </row>
    <row r="639" spans="2:4" x14ac:dyDescent="0.5">
      <c r="C639" t="s">
        <v>4702</v>
      </c>
    </row>
    <row r="640" spans="2:4" x14ac:dyDescent="0.5">
      <c r="D640" t="s">
        <v>4703</v>
      </c>
    </row>
    <row r="641" spans="3:5" x14ac:dyDescent="0.5">
      <c r="E641" t="s">
        <v>4973</v>
      </c>
    </row>
    <row r="642" spans="3:5" x14ac:dyDescent="0.5">
      <c r="E642" t="s">
        <v>4705</v>
      </c>
    </row>
    <row r="643" spans="3:5" x14ac:dyDescent="0.5">
      <c r="D643" t="s">
        <v>4581</v>
      </c>
    </row>
    <row r="644" spans="3:5" x14ac:dyDescent="0.5">
      <c r="C644" t="s">
        <v>4581</v>
      </c>
    </row>
    <row r="646" spans="3:5" x14ac:dyDescent="0.5">
      <c r="C646" t="s">
        <v>4708</v>
      </c>
    </row>
    <row r="647" spans="3:5" x14ac:dyDescent="0.5">
      <c r="D647" t="s">
        <v>4974</v>
      </c>
    </row>
    <row r="648" spans="3:5" x14ac:dyDescent="0.5">
      <c r="D648" t="s">
        <v>4975</v>
      </c>
    </row>
    <row r="649" spans="3:5" x14ac:dyDescent="0.5">
      <c r="D649" t="s">
        <v>4976</v>
      </c>
    </row>
    <row r="650" spans="3:5" x14ac:dyDescent="0.5">
      <c r="D650" t="s">
        <v>4977</v>
      </c>
    </row>
    <row r="651" spans="3:5" x14ac:dyDescent="0.5">
      <c r="D651" t="s">
        <v>4978</v>
      </c>
    </row>
    <row r="652" spans="3:5" x14ac:dyDescent="0.5">
      <c r="D652" t="s">
        <v>4979</v>
      </c>
    </row>
    <row r="653" spans="3:5" x14ac:dyDescent="0.5">
      <c r="D653" t="s">
        <v>4980</v>
      </c>
    </row>
    <row r="654" spans="3:5" x14ac:dyDescent="0.5">
      <c r="D654" t="s">
        <v>4981</v>
      </c>
    </row>
    <row r="655" spans="3:5" x14ac:dyDescent="0.5">
      <c r="D655" t="s">
        <v>4982</v>
      </c>
    </row>
    <row r="656" spans="3:5" x14ac:dyDescent="0.5">
      <c r="C656" t="s">
        <v>4581</v>
      </c>
    </row>
    <row r="657" spans="3:4" x14ac:dyDescent="0.5">
      <c r="C657" t="s">
        <v>4714</v>
      </c>
    </row>
    <row r="658" spans="3:4" x14ac:dyDescent="0.5">
      <c r="D658" t="s">
        <v>4983</v>
      </c>
    </row>
    <row r="659" spans="3:4" x14ac:dyDescent="0.5">
      <c r="D659" t="s">
        <v>4984</v>
      </c>
    </row>
    <row r="660" spans="3:4" x14ac:dyDescent="0.5">
      <c r="D660" t="s">
        <v>4985</v>
      </c>
    </row>
    <row r="661" spans="3:4" x14ac:dyDescent="0.5">
      <c r="D661" t="s">
        <v>4986</v>
      </c>
    </row>
    <row r="662" spans="3:4" x14ac:dyDescent="0.5">
      <c r="D662" t="s">
        <v>4987</v>
      </c>
    </row>
    <row r="663" spans="3:4" x14ac:dyDescent="0.5">
      <c r="D663" t="s">
        <v>4988</v>
      </c>
    </row>
    <row r="664" spans="3:4" x14ac:dyDescent="0.5">
      <c r="C664" t="s">
        <v>4581</v>
      </c>
    </row>
    <row r="666" spans="3:4" x14ac:dyDescent="0.5">
      <c r="C666" t="s">
        <v>4989</v>
      </c>
    </row>
    <row r="668" spans="3:4" x14ac:dyDescent="0.5">
      <c r="C668" t="s">
        <v>4990</v>
      </c>
    </row>
    <row r="669" spans="3:4" x14ac:dyDescent="0.5">
      <c r="C669" t="s">
        <v>4991</v>
      </c>
    </row>
    <row r="670" spans="3:4" x14ac:dyDescent="0.5">
      <c r="C670" t="s">
        <v>4764</v>
      </c>
    </row>
    <row r="672" spans="3:4" x14ac:dyDescent="0.5">
      <c r="C672" t="s">
        <v>4727</v>
      </c>
    </row>
    <row r="673" spans="1:3" x14ac:dyDescent="0.5">
      <c r="C673" t="s">
        <v>4897</v>
      </c>
    </row>
    <row r="674" spans="1:3" x14ac:dyDescent="0.5">
      <c r="C674" t="s">
        <v>4898</v>
      </c>
    </row>
    <row r="675" spans="1:3" x14ac:dyDescent="0.5">
      <c r="C675" t="s">
        <v>4899</v>
      </c>
    </row>
    <row r="677" spans="1:3" x14ac:dyDescent="0.5">
      <c r="C677" t="s">
        <v>4731</v>
      </c>
    </row>
    <row r="678" spans="1:3" x14ac:dyDescent="0.5">
      <c r="C678" t="s">
        <v>4831</v>
      </c>
    </row>
    <row r="679" spans="1:3" x14ac:dyDescent="0.5">
      <c r="C679" t="s">
        <v>4900</v>
      </c>
    </row>
    <row r="680" spans="1:3" x14ac:dyDescent="0.5">
      <c r="C680" t="s">
        <v>4804</v>
      </c>
    </row>
    <row r="682" spans="1:3" x14ac:dyDescent="0.5">
      <c r="C682" t="s">
        <v>4735</v>
      </c>
    </row>
    <row r="683" spans="1:3" x14ac:dyDescent="0.5">
      <c r="B683" t="s">
        <v>4581</v>
      </c>
    </row>
    <row r="684" spans="1:3" x14ac:dyDescent="0.5">
      <c r="A684" t="s">
        <v>4581</v>
      </c>
    </row>
    <row r="686" spans="1:3" x14ac:dyDescent="0.5">
      <c r="A686" t="s">
        <v>4584</v>
      </c>
    </row>
    <row r="687" spans="1:3" x14ac:dyDescent="0.5">
      <c r="B687" t="s">
        <v>4698</v>
      </c>
    </row>
    <row r="688" spans="1:3" x14ac:dyDescent="0.5">
      <c r="C688" t="s">
        <v>4699</v>
      </c>
    </row>
    <row r="689" spans="2:5" x14ac:dyDescent="0.5">
      <c r="B689" t="s">
        <v>4697</v>
      </c>
    </row>
    <row r="691" spans="2:5" x14ac:dyDescent="0.5">
      <c r="B691" t="s">
        <v>4992</v>
      </c>
    </row>
    <row r="692" spans="2:5" x14ac:dyDescent="0.5">
      <c r="C692" t="s">
        <v>4993</v>
      </c>
    </row>
    <row r="693" spans="2:5" x14ac:dyDescent="0.5">
      <c r="C693" t="s">
        <v>4698</v>
      </c>
    </row>
    <row r="694" spans="2:5" x14ac:dyDescent="0.5">
      <c r="C694" t="s">
        <v>4702</v>
      </c>
    </row>
    <row r="695" spans="2:5" x14ac:dyDescent="0.5">
      <c r="D695" t="s">
        <v>4703</v>
      </c>
    </row>
    <row r="696" spans="2:5" x14ac:dyDescent="0.5">
      <c r="E696" t="s">
        <v>4739</v>
      </c>
    </row>
    <row r="697" spans="2:5" x14ac:dyDescent="0.5">
      <c r="E697" t="s">
        <v>4705</v>
      </c>
    </row>
    <row r="698" spans="2:5" x14ac:dyDescent="0.5">
      <c r="D698" t="s">
        <v>4581</v>
      </c>
    </row>
    <row r="699" spans="2:5" x14ac:dyDescent="0.5">
      <c r="C699" t="s">
        <v>4581</v>
      </c>
    </row>
    <row r="701" spans="2:5" x14ac:dyDescent="0.5">
      <c r="C701" t="s">
        <v>4994</v>
      </c>
    </row>
    <row r="702" spans="2:5" x14ac:dyDescent="0.5">
      <c r="C702" t="s">
        <v>4708</v>
      </c>
    </row>
    <row r="703" spans="2:5" x14ac:dyDescent="0.5">
      <c r="D703" t="s">
        <v>4995</v>
      </c>
    </row>
    <row r="704" spans="2:5" x14ac:dyDescent="0.5">
      <c r="D704" t="s">
        <v>4996</v>
      </c>
    </row>
    <row r="705" spans="3:4" x14ac:dyDescent="0.5">
      <c r="D705" t="s">
        <v>4997</v>
      </c>
    </row>
    <row r="706" spans="3:4" x14ac:dyDescent="0.5">
      <c r="D706" t="s">
        <v>4998</v>
      </c>
    </row>
    <row r="707" spans="3:4" x14ac:dyDescent="0.5">
      <c r="D707" t="s">
        <v>4999</v>
      </c>
    </row>
    <row r="708" spans="3:4" x14ac:dyDescent="0.5">
      <c r="D708" t="s">
        <v>5000</v>
      </c>
    </row>
    <row r="709" spans="3:4" x14ac:dyDescent="0.5">
      <c r="D709" t="s">
        <v>5001</v>
      </c>
    </row>
    <row r="710" spans="3:4" x14ac:dyDescent="0.5">
      <c r="D710" t="s">
        <v>5002</v>
      </c>
    </row>
    <row r="711" spans="3:4" x14ac:dyDescent="0.5">
      <c r="D711" t="s">
        <v>5003</v>
      </c>
    </row>
    <row r="712" spans="3:4" x14ac:dyDescent="0.5">
      <c r="C712" t="s">
        <v>4581</v>
      </c>
    </row>
    <row r="713" spans="3:4" x14ac:dyDescent="0.5">
      <c r="C713" t="s">
        <v>4714</v>
      </c>
    </row>
    <row r="714" spans="3:4" x14ac:dyDescent="0.5">
      <c r="D714" t="s">
        <v>5004</v>
      </c>
    </row>
    <row r="715" spans="3:4" x14ac:dyDescent="0.5">
      <c r="D715" t="s">
        <v>5005</v>
      </c>
    </row>
    <row r="716" spans="3:4" x14ac:dyDescent="0.5">
      <c r="D716" t="s">
        <v>5006</v>
      </c>
    </row>
    <row r="717" spans="3:4" x14ac:dyDescent="0.5">
      <c r="D717" t="s">
        <v>5007</v>
      </c>
    </row>
    <row r="718" spans="3:4" x14ac:dyDescent="0.5">
      <c r="D718" t="s">
        <v>5008</v>
      </c>
    </row>
    <row r="719" spans="3:4" x14ac:dyDescent="0.5">
      <c r="D719" t="s">
        <v>5009</v>
      </c>
    </row>
    <row r="720" spans="3:4" x14ac:dyDescent="0.5">
      <c r="D720" t="s">
        <v>5010</v>
      </c>
    </row>
    <row r="721" spans="3:4" x14ac:dyDescent="0.5">
      <c r="D721" t="s">
        <v>5011</v>
      </c>
    </row>
    <row r="722" spans="3:4" x14ac:dyDescent="0.5">
      <c r="C722" t="s">
        <v>4581</v>
      </c>
    </row>
    <row r="723" spans="3:4" x14ac:dyDescent="0.5">
      <c r="C723" t="s">
        <v>4827</v>
      </c>
    </row>
    <row r="724" spans="3:4" x14ac:dyDescent="0.5">
      <c r="C724" t="s">
        <v>4828</v>
      </c>
    </row>
    <row r="726" spans="3:4" x14ac:dyDescent="0.5">
      <c r="C726" t="s">
        <v>4735</v>
      </c>
    </row>
    <row r="728" spans="3:4" x14ac:dyDescent="0.5">
      <c r="C728" t="s">
        <v>4727</v>
      </c>
    </row>
    <row r="729" spans="3:4" x14ac:dyDescent="0.5">
      <c r="C729" t="s">
        <v>5012</v>
      </c>
    </row>
    <row r="730" spans="3:4" x14ac:dyDescent="0.5">
      <c r="C730" t="s">
        <v>4898</v>
      </c>
    </row>
    <row r="731" spans="3:4" x14ac:dyDescent="0.5">
      <c r="C731" t="s">
        <v>4803</v>
      </c>
    </row>
    <row r="733" spans="3:4" x14ac:dyDescent="0.5">
      <c r="C733" t="s">
        <v>4731</v>
      </c>
    </row>
    <row r="734" spans="3:4" x14ac:dyDescent="0.5">
      <c r="C734" t="s">
        <v>4732</v>
      </c>
    </row>
    <row r="735" spans="3:4" x14ac:dyDescent="0.5">
      <c r="C735" t="s">
        <v>5013</v>
      </c>
    </row>
    <row r="736" spans="3:4" x14ac:dyDescent="0.5">
      <c r="C736" t="s">
        <v>5014</v>
      </c>
    </row>
    <row r="737" spans="2:5" x14ac:dyDescent="0.5">
      <c r="B737" t="s">
        <v>4581</v>
      </c>
    </row>
    <row r="739" spans="2:5" x14ac:dyDescent="0.5">
      <c r="B739" t="s">
        <v>5015</v>
      </c>
    </row>
    <row r="740" spans="2:5" x14ac:dyDescent="0.5">
      <c r="C740" t="s">
        <v>5016</v>
      </c>
    </row>
    <row r="741" spans="2:5" x14ac:dyDescent="0.5">
      <c r="C741" t="s">
        <v>4698</v>
      </c>
    </row>
    <row r="742" spans="2:5" x14ac:dyDescent="0.5">
      <c r="C742" t="s">
        <v>4702</v>
      </c>
    </row>
    <row r="743" spans="2:5" x14ac:dyDescent="0.5">
      <c r="D743" t="s">
        <v>4703</v>
      </c>
    </row>
    <row r="744" spans="2:5" x14ac:dyDescent="0.5">
      <c r="E744" t="s">
        <v>4739</v>
      </c>
    </row>
    <row r="745" spans="2:5" x14ac:dyDescent="0.5">
      <c r="E745" t="s">
        <v>4705</v>
      </c>
    </row>
    <row r="746" spans="2:5" x14ac:dyDescent="0.5">
      <c r="D746" t="s">
        <v>4581</v>
      </c>
    </row>
    <row r="747" spans="2:5" x14ac:dyDescent="0.5">
      <c r="C747" t="s">
        <v>4581</v>
      </c>
    </row>
    <row r="749" spans="2:5" x14ac:dyDescent="0.5">
      <c r="C749" t="s">
        <v>5017</v>
      </c>
    </row>
    <row r="751" spans="2:5" x14ac:dyDescent="0.5">
      <c r="C751" t="s">
        <v>4708</v>
      </c>
    </row>
    <row r="752" spans="2:5" x14ac:dyDescent="0.5">
      <c r="D752" t="s">
        <v>5018</v>
      </c>
    </row>
    <row r="753" spans="3:4" x14ac:dyDescent="0.5">
      <c r="D753" t="s">
        <v>5019</v>
      </c>
    </row>
    <row r="754" spans="3:4" x14ac:dyDescent="0.5">
      <c r="D754" t="s">
        <v>5020</v>
      </c>
    </row>
    <row r="755" spans="3:4" x14ac:dyDescent="0.5">
      <c r="D755" t="s">
        <v>5021</v>
      </c>
    </row>
    <row r="756" spans="3:4" x14ac:dyDescent="0.5">
      <c r="D756" t="s">
        <v>5022</v>
      </c>
    </row>
    <row r="757" spans="3:4" x14ac:dyDescent="0.5">
      <c r="D757" t="s">
        <v>5023</v>
      </c>
    </row>
    <row r="758" spans="3:4" x14ac:dyDescent="0.5">
      <c r="D758" t="s">
        <v>5024</v>
      </c>
    </row>
    <row r="759" spans="3:4" x14ac:dyDescent="0.5">
      <c r="C759" t="s">
        <v>4581</v>
      </c>
    </row>
    <row r="760" spans="3:4" x14ac:dyDescent="0.5">
      <c r="C760" t="s">
        <v>4714</v>
      </c>
    </row>
    <row r="761" spans="3:4" x14ac:dyDescent="0.5">
      <c r="D761" t="s">
        <v>5025</v>
      </c>
    </row>
    <row r="762" spans="3:4" x14ac:dyDescent="0.5">
      <c r="D762" t="s">
        <v>5026</v>
      </c>
    </row>
    <row r="763" spans="3:4" x14ac:dyDescent="0.5">
      <c r="D763" t="s">
        <v>5027</v>
      </c>
    </row>
    <row r="764" spans="3:4" x14ac:dyDescent="0.5">
      <c r="D764" t="s">
        <v>5028</v>
      </c>
    </row>
    <row r="765" spans="3:4" x14ac:dyDescent="0.5">
      <c r="D765" t="s">
        <v>5029</v>
      </c>
    </row>
    <row r="766" spans="3:4" x14ac:dyDescent="0.5">
      <c r="C766" t="s">
        <v>4581</v>
      </c>
    </row>
    <row r="767" spans="3:4" x14ac:dyDescent="0.5">
      <c r="C767" t="s">
        <v>4827</v>
      </c>
    </row>
    <row r="768" spans="3:4" x14ac:dyDescent="0.5">
      <c r="C768" t="s">
        <v>4828</v>
      </c>
    </row>
    <row r="770" spans="3:3" x14ac:dyDescent="0.5">
      <c r="C770" t="s">
        <v>4896</v>
      </c>
    </row>
    <row r="772" spans="3:3" x14ac:dyDescent="0.5">
      <c r="C772" t="s">
        <v>4727</v>
      </c>
    </row>
    <row r="773" spans="3:3" x14ac:dyDescent="0.5">
      <c r="C773" t="s">
        <v>4897</v>
      </c>
    </row>
    <row r="774" spans="3:3" x14ac:dyDescent="0.5">
      <c r="C774" t="s">
        <v>4898</v>
      </c>
    </row>
    <row r="775" spans="3:3" x14ac:dyDescent="0.5">
      <c r="C775" t="s">
        <v>4899</v>
      </c>
    </row>
    <row r="777" spans="3:3" x14ac:dyDescent="0.5">
      <c r="C777" t="s">
        <v>4731</v>
      </c>
    </row>
    <row r="778" spans="3:3" x14ac:dyDescent="0.5">
      <c r="C778" t="s">
        <v>4831</v>
      </c>
    </row>
    <row r="779" spans="3:3" x14ac:dyDescent="0.5">
      <c r="C779" t="s">
        <v>4900</v>
      </c>
    </row>
    <row r="780" spans="3:3" x14ac:dyDescent="0.5">
      <c r="C780" t="s">
        <v>4804</v>
      </c>
    </row>
    <row r="782" spans="3:3" x14ac:dyDescent="0.5">
      <c r="C782" t="s">
        <v>4735</v>
      </c>
    </row>
    <row r="784" spans="3:3" x14ac:dyDescent="0.5">
      <c r="C784" t="s">
        <v>4737</v>
      </c>
    </row>
    <row r="785" spans="2:4" x14ac:dyDescent="0.5">
      <c r="B785" t="s">
        <v>4581</v>
      </c>
    </row>
    <row r="786" spans="2:4" x14ac:dyDescent="0.5">
      <c r="B786" t="s">
        <v>5030</v>
      </c>
    </row>
    <row r="787" spans="2:4" x14ac:dyDescent="0.5">
      <c r="C787" t="s">
        <v>5031</v>
      </c>
    </row>
    <row r="789" spans="2:4" x14ac:dyDescent="0.5">
      <c r="C789" t="s">
        <v>5032</v>
      </c>
    </row>
    <row r="791" spans="2:4" x14ac:dyDescent="0.5">
      <c r="C791" t="s">
        <v>4708</v>
      </c>
    </row>
    <row r="792" spans="2:4" x14ac:dyDescent="0.5">
      <c r="D792" t="s">
        <v>5033</v>
      </c>
    </row>
    <row r="793" spans="2:4" x14ac:dyDescent="0.5">
      <c r="D793" t="s">
        <v>5034</v>
      </c>
    </row>
    <row r="794" spans="2:4" x14ac:dyDescent="0.5">
      <c r="D794" t="s">
        <v>5035</v>
      </c>
    </row>
    <row r="795" spans="2:4" x14ac:dyDescent="0.5">
      <c r="D795" t="s">
        <v>5036</v>
      </c>
    </row>
    <row r="796" spans="2:4" x14ac:dyDescent="0.5">
      <c r="D796" t="s">
        <v>5037</v>
      </c>
    </row>
    <row r="797" spans="2:4" x14ac:dyDescent="0.5">
      <c r="D797" t="s">
        <v>5038</v>
      </c>
    </row>
    <row r="798" spans="2:4" x14ac:dyDescent="0.5">
      <c r="D798" t="s">
        <v>5039</v>
      </c>
    </row>
    <row r="799" spans="2:4" x14ac:dyDescent="0.5">
      <c r="D799" t="s">
        <v>5040</v>
      </c>
    </row>
    <row r="800" spans="2:4" x14ac:dyDescent="0.5">
      <c r="D800" t="s">
        <v>5041</v>
      </c>
    </row>
    <row r="801" spans="3:4" x14ac:dyDescent="0.5">
      <c r="D801" t="s">
        <v>5042</v>
      </c>
    </row>
    <row r="802" spans="3:4" x14ac:dyDescent="0.5">
      <c r="D802" t="s">
        <v>5043</v>
      </c>
    </row>
    <row r="803" spans="3:4" x14ac:dyDescent="0.5">
      <c r="D803" t="s">
        <v>5044</v>
      </c>
    </row>
    <row r="804" spans="3:4" x14ac:dyDescent="0.5">
      <c r="D804" t="s">
        <v>5045</v>
      </c>
    </row>
    <row r="805" spans="3:4" x14ac:dyDescent="0.5">
      <c r="D805" t="s">
        <v>5046</v>
      </c>
    </row>
    <row r="806" spans="3:4" x14ac:dyDescent="0.5">
      <c r="D806" t="s">
        <v>5047</v>
      </c>
    </row>
    <row r="807" spans="3:4" x14ac:dyDescent="0.5">
      <c r="D807" t="s">
        <v>5048</v>
      </c>
    </row>
    <row r="808" spans="3:4" x14ac:dyDescent="0.5">
      <c r="D808" t="s">
        <v>5049</v>
      </c>
    </row>
    <row r="809" spans="3:4" x14ac:dyDescent="0.5">
      <c r="D809" t="s">
        <v>5050</v>
      </c>
    </row>
    <row r="810" spans="3:4" x14ac:dyDescent="0.5">
      <c r="C810" t="s">
        <v>4581</v>
      </c>
    </row>
    <row r="811" spans="3:4" x14ac:dyDescent="0.5">
      <c r="C811" t="s">
        <v>4714</v>
      </c>
    </row>
    <row r="812" spans="3:4" x14ac:dyDescent="0.5">
      <c r="D812" t="s">
        <v>5051</v>
      </c>
    </row>
    <row r="813" spans="3:4" x14ac:dyDescent="0.5">
      <c r="D813" t="s">
        <v>5052</v>
      </c>
    </row>
    <row r="814" spans="3:4" x14ac:dyDescent="0.5">
      <c r="D814" t="s">
        <v>5053</v>
      </c>
    </row>
    <row r="815" spans="3:4" x14ac:dyDescent="0.5">
      <c r="D815" t="s">
        <v>5054</v>
      </c>
    </row>
    <row r="816" spans="3:4" x14ac:dyDescent="0.5">
      <c r="D816" t="s">
        <v>5055</v>
      </c>
    </row>
    <row r="817" spans="3:4" x14ac:dyDescent="0.5">
      <c r="D817" t="s">
        <v>5056</v>
      </c>
    </row>
    <row r="818" spans="3:4" x14ac:dyDescent="0.5">
      <c r="D818" t="s">
        <v>5057</v>
      </c>
    </row>
    <row r="819" spans="3:4" x14ac:dyDescent="0.5">
      <c r="D819" t="s">
        <v>5058</v>
      </c>
    </row>
    <row r="820" spans="3:4" x14ac:dyDescent="0.5">
      <c r="C820" t="s">
        <v>4581</v>
      </c>
    </row>
    <row r="821" spans="3:4" x14ac:dyDescent="0.5">
      <c r="C821" t="s">
        <v>5059</v>
      </c>
    </row>
    <row r="823" spans="3:4" x14ac:dyDescent="0.5">
      <c r="C823" t="s">
        <v>4735</v>
      </c>
    </row>
    <row r="824" spans="3:4" x14ac:dyDescent="0.5">
      <c r="C824" t="s">
        <v>4727</v>
      </c>
    </row>
    <row r="825" spans="3:4" x14ac:dyDescent="0.5">
      <c r="C825" t="s">
        <v>4897</v>
      </c>
    </row>
    <row r="826" spans="3:4" x14ac:dyDescent="0.5">
      <c r="C826" t="s">
        <v>4898</v>
      </c>
    </row>
    <row r="827" spans="3:4" x14ac:dyDescent="0.5">
      <c r="C827" t="s">
        <v>4899</v>
      </c>
    </row>
    <row r="829" spans="3:4" x14ac:dyDescent="0.5">
      <c r="C829" t="s">
        <v>4731</v>
      </c>
    </row>
    <row r="830" spans="3:4" x14ac:dyDescent="0.5">
      <c r="C830" t="s">
        <v>4831</v>
      </c>
    </row>
    <row r="831" spans="3:4" x14ac:dyDescent="0.5">
      <c r="C831" t="s">
        <v>4900</v>
      </c>
    </row>
    <row r="832" spans="3:4" x14ac:dyDescent="0.5">
      <c r="C832" t="s">
        <v>4804</v>
      </c>
    </row>
    <row r="833" spans="2:5" x14ac:dyDescent="0.5">
      <c r="B833" t="s">
        <v>4581</v>
      </c>
    </row>
    <row r="834" spans="2:5" x14ac:dyDescent="0.5">
      <c r="B834" t="s">
        <v>5060</v>
      </c>
    </row>
    <row r="835" spans="2:5" x14ac:dyDescent="0.5">
      <c r="C835" t="s">
        <v>5061</v>
      </c>
    </row>
    <row r="837" spans="2:5" x14ac:dyDescent="0.5">
      <c r="C837" t="s">
        <v>5062</v>
      </c>
    </row>
    <row r="838" spans="2:5" x14ac:dyDescent="0.5">
      <c r="C838" t="s">
        <v>4698</v>
      </c>
    </row>
    <row r="839" spans="2:5" x14ac:dyDescent="0.5">
      <c r="C839" t="s">
        <v>4702</v>
      </c>
    </row>
    <row r="840" spans="2:5" x14ac:dyDescent="0.5">
      <c r="D840" t="s">
        <v>4703</v>
      </c>
    </row>
    <row r="841" spans="2:5" x14ac:dyDescent="0.5">
      <c r="E841" t="s">
        <v>4739</v>
      </c>
    </row>
    <row r="842" spans="2:5" x14ac:dyDescent="0.5">
      <c r="E842" t="s">
        <v>4705</v>
      </c>
    </row>
    <row r="843" spans="2:5" x14ac:dyDescent="0.5">
      <c r="D843" t="s">
        <v>4581</v>
      </c>
    </row>
    <row r="844" spans="2:5" x14ac:dyDescent="0.5">
      <c r="C844" t="s">
        <v>4581</v>
      </c>
    </row>
    <row r="846" spans="2:5" x14ac:dyDescent="0.5">
      <c r="C846" t="s">
        <v>5063</v>
      </c>
    </row>
    <row r="847" spans="2:5" x14ac:dyDescent="0.5">
      <c r="D847" t="s">
        <v>5064</v>
      </c>
    </row>
    <row r="848" spans="2:5" x14ac:dyDescent="0.5">
      <c r="D848" t="s">
        <v>5065</v>
      </c>
    </row>
    <row r="849" spans="3:4" x14ac:dyDescent="0.5">
      <c r="D849" t="s">
        <v>5066</v>
      </c>
    </row>
    <row r="850" spans="3:4" x14ac:dyDescent="0.5">
      <c r="D850" t="s">
        <v>5067</v>
      </c>
    </row>
    <row r="851" spans="3:4" x14ac:dyDescent="0.5">
      <c r="D851" t="s">
        <v>5068</v>
      </c>
    </row>
    <row r="852" spans="3:4" x14ac:dyDescent="0.5">
      <c r="D852" t="s">
        <v>5069</v>
      </c>
    </row>
    <row r="853" spans="3:4" x14ac:dyDescent="0.5">
      <c r="D853" t="s">
        <v>5070</v>
      </c>
    </row>
    <row r="854" spans="3:4" x14ac:dyDescent="0.5">
      <c r="D854" t="s">
        <v>5071</v>
      </c>
    </row>
    <row r="855" spans="3:4" x14ac:dyDescent="0.5">
      <c r="D855" t="s">
        <v>5072</v>
      </c>
    </row>
    <row r="856" spans="3:4" x14ac:dyDescent="0.5">
      <c r="C856" t="s">
        <v>4581</v>
      </c>
    </row>
    <row r="857" spans="3:4" x14ac:dyDescent="0.5">
      <c r="C857" t="s">
        <v>4714</v>
      </c>
    </row>
    <row r="858" spans="3:4" x14ac:dyDescent="0.5">
      <c r="D858" t="s">
        <v>5073</v>
      </c>
    </row>
    <row r="859" spans="3:4" x14ac:dyDescent="0.5">
      <c r="D859" t="s">
        <v>5074</v>
      </c>
    </row>
    <row r="860" spans="3:4" x14ac:dyDescent="0.5">
      <c r="D860" t="s">
        <v>5075</v>
      </c>
    </row>
    <row r="861" spans="3:4" x14ac:dyDescent="0.5">
      <c r="D861" t="s">
        <v>5076</v>
      </c>
    </row>
    <row r="862" spans="3:4" x14ac:dyDescent="0.5">
      <c r="D862" t="s">
        <v>5077</v>
      </c>
    </row>
    <row r="863" spans="3:4" x14ac:dyDescent="0.5">
      <c r="D863" t="s">
        <v>5078</v>
      </c>
    </row>
    <row r="864" spans="3:4" x14ac:dyDescent="0.5">
      <c r="D864" t="s">
        <v>5079</v>
      </c>
    </row>
    <row r="865" spans="2:4" x14ac:dyDescent="0.5">
      <c r="D865" t="s">
        <v>5080</v>
      </c>
    </row>
    <row r="866" spans="2:4" x14ac:dyDescent="0.5">
      <c r="C866" t="s">
        <v>4581</v>
      </c>
    </row>
    <row r="867" spans="2:4" x14ac:dyDescent="0.5">
      <c r="C867" t="s">
        <v>4827</v>
      </c>
    </row>
    <row r="868" spans="2:4" x14ac:dyDescent="0.5">
      <c r="C868" t="s">
        <v>4828</v>
      </c>
    </row>
    <row r="869" spans="2:4" x14ac:dyDescent="0.5">
      <c r="C869" t="s">
        <v>4735</v>
      </c>
    </row>
    <row r="870" spans="2:4" x14ac:dyDescent="0.5">
      <c r="C870" t="s">
        <v>4727</v>
      </c>
    </row>
    <row r="871" spans="2:4" x14ac:dyDescent="0.5">
      <c r="C871" t="s">
        <v>4897</v>
      </c>
    </row>
    <row r="872" spans="2:4" x14ac:dyDescent="0.5">
      <c r="C872" t="s">
        <v>4898</v>
      </c>
    </row>
    <row r="873" spans="2:4" x14ac:dyDescent="0.5">
      <c r="C873" t="s">
        <v>4899</v>
      </c>
    </row>
    <row r="875" spans="2:4" x14ac:dyDescent="0.5">
      <c r="C875" t="s">
        <v>4731</v>
      </c>
    </row>
    <row r="876" spans="2:4" x14ac:dyDescent="0.5">
      <c r="C876" t="s">
        <v>4831</v>
      </c>
    </row>
    <row r="877" spans="2:4" x14ac:dyDescent="0.5">
      <c r="C877" t="s">
        <v>4900</v>
      </c>
    </row>
    <row r="878" spans="2:4" x14ac:dyDescent="0.5">
      <c r="C878" t="s">
        <v>4804</v>
      </c>
    </row>
    <row r="879" spans="2:4" x14ac:dyDescent="0.5">
      <c r="B879" t="s">
        <v>4581</v>
      </c>
    </row>
    <row r="880" spans="2:4" x14ac:dyDescent="0.5">
      <c r="B880" t="s">
        <v>5081</v>
      </c>
    </row>
    <row r="881" spans="3:4" x14ac:dyDescent="0.5">
      <c r="C881" t="s">
        <v>5082</v>
      </c>
    </row>
    <row r="883" spans="3:4" x14ac:dyDescent="0.5">
      <c r="C883" t="s">
        <v>4887</v>
      </c>
    </row>
    <row r="885" spans="3:4" x14ac:dyDescent="0.5">
      <c r="C885" t="s">
        <v>5083</v>
      </c>
    </row>
    <row r="886" spans="3:4" x14ac:dyDescent="0.5">
      <c r="C886" t="s">
        <v>4698</v>
      </c>
    </row>
    <row r="887" spans="3:4" x14ac:dyDescent="0.5">
      <c r="C887" t="s">
        <v>5084</v>
      </c>
    </row>
    <row r="889" spans="3:4" x14ac:dyDescent="0.5">
      <c r="C889" t="s">
        <v>4708</v>
      </c>
    </row>
    <row r="890" spans="3:4" x14ac:dyDescent="0.5">
      <c r="D890" t="s">
        <v>5085</v>
      </c>
    </row>
    <row r="891" spans="3:4" x14ac:dyDescent="0.5">
      <c r="D891" t="s">
        <v>5086</v>
      </c>
    </row>
    <row r="892" spans="3:4" x14ac:dyDescent="0.5">
      <c r="D892" t="s">
        <v>5087</v>
      </c>
    </row>
    <row r="893" spans="3:4" x14ac:dyDescent="0.5">
      <c r="D893" t="s">
        <v>5088</v>
      </c>
    </row>
    <row r="894" spans="3:4" x14ac:dyDescent="0.5">
      <c r="D894" t="s">
        <v>5089</v>
      </c>
    </row>
    <row r="895" spans="3:4" x14ac:dyDescent="0.5">
      <c r="D895" t="s">
        <v>5090</v>
      </c>
    </row>
    <row r="896" spans="3:4" x14ac:dyDescent="0.5">
      <c r="D896" t="s">
        <v>5091</v>
      </c>
    </row>
    <row r="897" spans="3:4" x14ac:dyDescent="0.5">
      <c r="D897" t="s">
        <v>5092</v>
      </c>
    </row>
    <row r="898" spans="3:4" x14ac:dyDescent="0.5">
      <c r="D898" t="s">
        <v>5093</v>
      </c>
    </row>
    <row r="899" spans="3:4" x14ac:dyDescent="0.5">
      <c r="C899" t="s">
        <v>4581</v>
      </c>
    </row>
    <row r="900" spans="3:4" x14ac:dyDescent="0.5">
      <c r="C900" t="s">
        <v>4714</v>
      </c>
    </row>
    <row r="901" spans="3:4" x14ac:dyDescent="0.5">
      <c r="D901" t="s">
        <v>5094</v>
      </c>
    </row>
    <row r="902" spans="3:4" x14ac:dyDescent="0.5">
      <c r="D902" t="s">
        <v>5095</v>
      </c>
    </row>
    <row r="903" spans="3:4" x14ac:dyDescent="0.5">
      <c r="D903" t="s">
        <v>5096</v>
      </c>
    </row>
    <row r="904" spans="3:4" x14ac:dyDescent="0.5">
      <c r="D904" t="s">
        <v>5097</v>
      </c>
    </row>
    <row r="905" spans="3:4" x14ac:dyDescent="0.5">
      <c r="D905" t="s">
        <v>5098</v>
      </c>
    </row>
    <row r="906" spans="3:4" x14ac:dyDescent="0.5">
      <c r="D906" t="s">
        <v>5099</v>
      </c>
    </row>
    <row r="907" spans="3:4" x14ac:dyDescent="0.5">
      <c r="D907" t="s">
        <v>5100</v>
      </c>
    </row>
    <row r="908" spans="3:4" x14ac:dyDescent="0.5">
      <c r="C908" t="s">
        <v>4581</v>
      </c>
    </row>
    <row r="909" spans="3:4" x14ac:dyDescent="0.5">
      <c r="C909" t="s">
        <v>4895</v>
      </c>
    </row>
    <row r="911" spans="3:4" x14ac:dyDescent="0.5">
      <c r="C911" t="s">
        <v>4727</v>
      </c>
    </row>
    <row r="912" spans="3:4" x14ac:dyDescent="0.5">
      <c r="C912" t="s">
        <v>4728</v>
      </c>
    </row>
    <row r="913" spans="2:3" x14ac:dyDescent="0.5">
      <c r="C913" t="s">
        <v>4729</v>
      </c>
    </row>
    <row r="914" spans="2:3" x14ac:dyDescent="0.5">
      <c r="C914" t="s">
        <v>5101</v>
      </c>
    </row>
    <row r="916" spans="2:3" x14ac:dyDescent="0.5">
      <c r="C916" t="s">
        <v>4731</v>
      </c>
    </row>
    <row r="917" spans="2:3" x14ac:dyDescent="0.5">
      <c r="C917" t="s">
        <v>5102</v>
      </c>
    </row>
    <row r="918" spans="2:3" x14ac:dyDescent="0.5">
      <c r="C918" t="s">
        <v>4733</v>
      </c>
    </row>
    <row r="919" spans="2:3" x14ac:dyDescent="0.5">
      <c r="C919" t="s">
        <v>4734</v>
      </c>
    </row>
    <row r="921" spans="2:3" x14ac:dyDescent="0.5">
      <c r="C921" t="s">
        <v>5103</v>
      </c>
    </row>
    <row r="923" spans="2:3" x14ac:dyDescent="0.5">
      <c r="C923" t="s">
        <v>4735</v>
      </c>
    </row>
    <row r="924" spans="2:3" x14ac:dyDescent="0.5">
      <c r="B924" t="s">
        <v>4581</v>
      </c>
    </row>
    <row r="925" spans="2:3" x14ac:dyDescent="0.5">
      <c r="B925" t="s">
        <v>5104</v>
      </c>
    </row>
    <row r="926" spans="2:3" x14ac:dyDescent="0.5">
      <c r="C926" t="s">
        <v>5105</v>
      </c>
    </row>
    <row r="928" spans="2:3" x14ac:dyDescent="0.5">
      <c r="C928" t="s">
        <v>4994</v>
      </c>
    </row>
    <row r="930" spans="3:4" x14ac:dyDescent="0.5">
      <c r="C930" t="s">
        <v>5083</v>
      </c>
    </row>
    <row r="932" spans="3:4" x14ac:dyDescent="0.5">
      <c r="C932" t="s">
        <v>4708</v>
      </c>
    </row>
    <row r="933" spans="3:4" x14ac:dyDescent="0.5">
      <c r="D933" t="s">
        <v>5106</v>
      </c>
    </row>
    <row r="934" spans="3:4" x14ac:dyDescent="0.5">
      <c r="D934" t="s">
        <v>5107</v>
      </c>
    </row>
    <row r="935" spans="3:4" x14ac:dyDescent="0.5">
      <c r="D935" t="s">
        <v>5108</v>
      </c>
    </row>
    <row r="936" spans="3:4" x14ac:dyDescent="0.5">
      <c r="D936" t="s">
        <v>5109</v>
      </c>
    </row>
    <row r="937" spans="3:4" x14ac:dyDescent="0.5">
      <c r="D937" t="s">
        <v>5110</v>
      </c>
    </row>
    <row r="938" spans="3:4" x14ac:dyDescent="0.5">
      <c r="D938" t="s">
        <v>5111</v>
      </c>
    </row>
    <row r="939" spans="3:4" x14ac:dyDescent="0.5">
      <c r="C939" t="s">
        <v>4581</v>
      </c>
    </row>
    <row r="940" spans="3:4" x14ac:dyDescent="0.5">
      <c r="C940" t="s">
        <v>4714</v>
      </c>
    </row>
    <row r="941" spans="3:4" x14ac:dyDescent="0.5">
      <c r="D941" t="s">
        <v>5112</v>
      </c>
    </row>
    <row r="942" spans="3:4" x14ac:dyDescent="0.5">
      <c r="D942" t="s">
        <v>5113</v>
      </c>
    </row>
    <row r="943" spans="3:4" x14ac:dyDescent="0.5">
      <c r="D943" t="s">
        <v>5114</v>
      </c>
    </row>
    <row r="944" spans="3:4" x14ac:dyDescent="0.5">
      <c r="D944" t="s">
        <v>5115</v>
      </c>
    </row>
    <row r="945" spans="2:4" x14ac:dyDescent="0.5">
      <c r="C945" t="s">
        <v>4581</v>
      </c>
    </row>
    <row r="946" spans="2:4" x14ac:dyDescent="0.5">
      <c r="C946" t="s">
        <v>5059</v>
      </c>
    </row>
    <row r="948" spans="2:4" x14ac:dyDescent="0.5">
      <c r="C948" t="s">
        <v>5103</v>
      </c>
    </row>
    <row r="950" spans="2:4" x14ac:dyDescent="0.5">
      <c r="C950" t="s">
        <v>4735</v>
      </c>
    </row>
    <row r="951" spans="2:4" x14ac:dyDescent="0.5">
      <c r="B951" t="s">
        <v>4581</v>
      </c>
    </row>
    <row r="952" spans="2:4" x14ac:dyDescent="0.5">
      <c r="B952" t="s">
        <v>5116</v>
      </c>
    </row>
    <row r="953" spans="2:4" x14ac:dyDescent="0.5">
      <c r="C953" t="s">
        <v>5117</v>
      </c>
    </row>
    <row r="954" spans="2:4" x14ac:dyDescent="0.5">
      <c r="C954" t="s">
        <v>4698</v>
      </c>
    </row>
    <row r="955" spans="2:4" x14ac:dyDescent="0.5">
      <c r="C955" t="s">
        <v>4702</v>
      </c>
    </row>
    <row r="956" spans="2:4" x14ac:dyDescent="0.5">
      <c r="D956" t="s">
        <v>4705</v>
      </c>
    </row>
    <row r="957" spans="2:4" x14ac:dyDescent="0.5">
      <c r="C957" t="s">
        <v>4581</v>
      </c>
    </row>
    <row r="959" spans="2:4" x14ac:dyDescent="0.5">
      <c r="C959" t="s">
        <v>5118</v>
      </c>
    </row>
    <row r="961" spans="3:4" x14ac:dyDescent="0.5">
      <c r="C961" t="s">
        <v>5083</v>
      </c>
    </row>
    <row r="963" spans="3:4" x14ac:dyDescent="0.5">
      <c r="C963" t="s">
        <v>4708</v>
      </c>
    </row>
    <row r="964" spans="3:4" x14ac:dyDescent="0.5">
      <c r="D964" t="s">
        <v>4995</v>
      </c>
    </row>
    <row r="965" spans="3:4" x14ac:dyDescent="0.5">
      <c r="D965" t="s">
        <v>4996</v>
      </c>
    </row>
    <row r="966" spans="3:4" x14ac:dyDescent="0.5">
      <c r="D966" t="s">
        <v>4997</v>
      </c>
    </row>
    <row r="967" spans="3:4" x14ac:dyDescent="0.5">
      <c r="D967" t="s">
        <v>4998</v>
      </c>
    </row>
    <row r="968" spans="3:4" x14ac:dyDescent="0.5">
      <c r="D968" t="s">
        <v>4999</v>
      </c>
    </row>
    <row r="969" spans="3:4" x14ac:dyDescent="0.5">
      <c r="D969" t="s">
        <v>5000</v>
      </c>
    </row>
    <row r="970" spans="3:4" x14ac:dyDescent="0.5">
      <c r="D970" t="s">
        <v>5001</v>
      </c>
    </row>
    <row r="971" spans="3:4" x14ac:dyDescent="0.5">
      <c r="D971" t="s">
        <v>5002</v>
      </c>
    </row>
    <row r="972" spans="3:4" x14ac:dyDescent="0.5">
      <c r="D972" t="s">
        <v>5003</v>
      </c>
    </row>
    <row r="973" spans="3:4" x14ac:dyDescent="0.5">
      <c r="C973" t="s">
        <v>4581</v>
      </c>
    </row>
    <row r="974" spans="3:4" x14ac:dyDescent="0.5">
      <c r="C974" t="s">
        <v>4714</v>
      </c>
    </row>
    <row r="975" spans="3:4" x14ac:dyDescent="0.5">
      <c r="D975" t="s">
        <v>5004</v>
      </c>
    </row>
    <row r="976" spans="3:4" x14ac:dyDescent="0.5">
      <c r="D976" t="s">
        <v>5005</v>
      </c>
    </row>
    <row r="977" spans="3:4" x14ac:dyDescent="0.5">
      <c r="D977" t="s">
        <v>5006</v>
      </c>
    </row>
    <row r="978" spans="3:4" x14ac:dyDescent="0.5">
      <c r="D978" t="s">
        <v>5007</v>
      </c>
    </row>
    <row r="979" spans="3:4" x14ac:dyDescent="0.5">
      <c r="D979" t="s">
        <v>5008</v>
      </c>
    </row>
    <row r="980" spans="3:4" x14ac:dyDescent="0.5">
      <c r="D980" t="s">
        <v>5009</v>
      </c>
    </row>
    <row r="981" spans="3:4" x14ac:dyDescent="0.5">
      <c r="D981" t="s">
        <v>5010</v>
      </c>
    </row>
    <row r="982" spans="3:4" x14ac:dyDescent="0.5">
      <c r="D982" t="s">
        <v>5011</v>
      </c>
    </row>
    <row r="983" spans="3:4" x14ac:dyDescent="0.5">
      <c r="C983" t="s">
        <v>4581</v>
      </c>
    </row>
    <row r="984" spans="3:4" x14ac:dyDescent="0.5">
      <c r="C984" t="s">
        <v>4827</v>
      </c>
    </row>
    <row r="985" spans="3:4" x14ac:dyDescent="0.5">
      <c r="C985" t="s">
        <v>4828</v>
      </c>
    </row>
    <row r="987" spans="3:4" x14ac:dyDescent="0.5">
      <c r="C987" t="s">
        <v>4735</v>
      </c>
    </row>
    <row r="989" spans="3:4" x14ac:dyDescent="0.5">
      <c r="C989" t="s">
        <v>4727</v>
      </c>
    </row>
    <row r="990" spans="3:4" x14ac:dyDescent="0.5">
      <c r="C990" t="s">
        <v>5012</v>
      </c>
    </row>
    <row r="991" spans="3:4" x14ac:dyDescent="0.5">
      <c r="C991" t="s">
        <v>4898</v>
      </c>
    </row>
    <row r="992" spans="3:4" x14ac:dyDescent="0.5">
      <c r="C992" t="s">
        <v>4803</v>
      </c>
    </row>
    <row r="994" spans="2:4" x14ac:dyDescent="0.5">
      <c r="C994" t="s">
        <v>4731</v>
      </c>
    </row>
    <row r="995" spans="2:4" x14ac:dyDescent="0.5">
      <c r="C995" t="s">
        <v>4732</v>
      </c>
    </row>
    <row r="996" spans="2:4" x14ac:dyDescent="0.5">
      <c r="C996" t="s">
        <v>5013</v>
      </c>
    </row>
    <row r="997" spans="2:4" x14ac:dyDescent="0.5">
      <c r="C997" t="s">
        <v>5014</v>
      </c>
    </row>
    <row r="998" spans="2:4" x14ac:dyDescent="0.5">
      <c r="B998" t="s">
        <v>4581</v>
      </c>
    </row>
    <row r="999" spans="2:4" x14ac:dyDescent="0.5">
      <c r="B999" t="s">
        <v>5119</v>
      </c>
    </row>
    <row r="1000" spans="2:4" x14ac:dyDescent="0.5">
      <c r="C1000" t="s">
        <v>5120</v>
      </c>
    </row>
    <row r="1002" spans="2:4" x14ac:dyDescent="0.5">
      <c r="C1002" t="s">
        <v>5121</v>
      </c>
    </row>
    <row r="1004" spans="2:4" x14ac:dyDescent="0.5">
      <c r="C1004" t="s">
        <v>4708</v>
      </c>
    </row>
    <row r="1005" spans="2:4" x14ac:dyDescent="0.5">
      <c r="D1005" t="s">
        <v>5122</v>
      </c>
    </row>
    <row r="1006" spans="2:4" x14ac:dyDescent="0.5">
      <c r="D1006" t="s">
        <v>5123</v>
      </c>
    </row>
    <row r="1007" spans="2:4" x14ac:dyDescent="0.5">
      <c r="D1007" t="s">
        <v>5124</v>
      </c>
    </row>
    <row r="1008" spans="2:4" x14ac:dyDescent="0.5">
      <c r="D1008" t="s">
        <v>5125</v>
      </c>
    </row>
    <row r="1009" spans="3:4" x14ac:dyDescent="0.5">
      <c r="D1009" t="s">
        <v>5126</v>
      </c>
    </row>
    <row r="1010" spans="3:4" x14ac:dyDescent="0.5">
      <c r="D1010" t="s">
        <v>5127</v>
      </c>
    </row>
    <row r="1011" spans="3:4" x14ac:dyDescent="0.5">
      <c r="D1011" t="s">
        <v>5128</v>
      </c>
    </row>
    <row r="1012" spans="3:4" x14ac:dyDescent="0.5">
      <c r="D1012" t="s">
        <v>5129</v>
      </c>
    </row>
    <row r="1013" spans="3:4" x14ac:dyDescent="0.5">
      <c r="D1013" t="s">
        <v>5130</v>
      </c>
    </row>
    <row r="1014" spans="3:4" x14ac:dyDescent="0.5">
      <c r="D1014" t="s">
        <v>5131</v>
      </c>
    </row>
    <row r="1015" spans="3:4" x14ac:dyDescent="0.5">
      <c r="D1015" t="s">
        <v>5132</v>
      </c>
    </row>
    <row r="1016" spans="3:4" x14ac:dyDescent="0.5">
      <c r="D1016" t="s">
        <v>5133</v>
      </c>
    </row>
    <row r="1017" spans="3:4" x14ac:dyDescent="0.5">
      <c r="D1017" t="s">
        <v>5134</v>
      </c>
    </row>
    <row r="1018" spans="3:4" x14ac:dyDescent="0.5">
      <c r="D1018" t="s">
        <v>5135</v>
      </c>
    </row>
    <row r="1019" spans="3:4" x14ac:dyDescent="0.5">
      <c r="D1019" t="s">
        <v>5136</v>
      </c>
    </row>
    <row r="1020" spans="3:4" x14ac:dyDescent="0.5">
      <c r="D1020" t="s">
        <v>5137</v>
      </c>
    </row>
    <row r="1021" spans="3:4" x14ac:dyDescent="0.5">
      <c r="D1021" t="s">
        <v>5138</v>
      </c>
    </row>
    <row r="1022" spans="3:4" x14ac:dyDescent="0.5">
      <c r="D1022" t="s">
        <v>5139</v>
      </c>
    </row>
    <row r="1023" spans="3:4" x14ac:dyDescent="0.5">
      <c r="D1023" t="s">
        <v>5140</v>
      </c>
    </row>
    <row r="1024" spans="3:4" x14ac:dyDescent="0.5">
      <c r="C1024" t="s">
        <v>4581</v>
      </c>
    </row>
    <row r="1025" spans="3:4" x14ac:dyDescent="0.5">
      <c r="C1025" t="s">
        <v>4714</v>
      </c>
    </row>
    <row r="1026" spans="3:4" x14ac:dyDescent="0.5">
      <c r="D1026" t="s">
        <v>5141</v>
      </c>
    </row>
    <row r="1027" spans="3:4" x14ac:dyDescent="0.5">
      <c r="D1027" t="s">
        <v>5142</v>
      </c>
    </row>
    <row r="1028" spans="3:4" x14ac:dyDescent="0.5">
      <c r="D1028" t="s">
        <v>5143</v>
      </c>
    </row>
    <row r="1029" spans="3:4" x14ac:dyDescent="0.5">
      <c r="D1029" t="s">
        <v>5144</v>
      </c>
    </row>
    <row r="1030" spans="3:4" x14ac:dyDescent="0.5">
      <c r="D1030" t="s">
        <v>5145</v>
      </c>
    </row>
    <row r="1031" spans="3:4" x14ac:dyDescent="0.5">
      <c r="D1031" t="s">
        <v>5146</v>
      </c>
    </row>
    <row r="1032" spans="3:4" x14ac:dyDescent="0.5">
      <c r="D1032" t="s">
        <v>5147</v>
      </c>
    </row>
    <row r="1033" spans="3:4" x14ac:dyDescent="0.5">
      <c r="D1033" t="s">
        <v>5148</v>
      </c>
    </row>
    <row r="1034" spans="3:4" x14ac:dyDescent="0.5">
      <c r="D1034" t="s">
        <v>5149</v>
      </c>
    </row>
    <row r="1035" spans="3:4" x14ac:dyDescent="0.5">
      <c r="D1035" t="s">
        <v>5150</v>
      </c>
    </row>
    <row r="1036" spans="3:4" x14ac:dyDescent="0.5">
      <c r="D1036" t="s">
        <v>5151</v>
      </c>
    </row>
    <row r="1037" spans="3:4" x14ac:dyDescent="0.5">
      <c r="D1037" t="s">
        <v>5152</v>
      </c>
    </row>
    <row r="1038" spans="3:4" x14ac:dyDescent="0.5">
      <c r="D1038" t="s">
        <v>5153</v>
      </c>
    </row>
    <row r="1039" spans="3:4" x14ac:dyDescent="0.5">
      <c r="C1039" t="s">
        <v>4581</v>
      </c>
    </row>
    <row r="1040" spans="3:4" x14ac:dyDescent="0.5">
      <c r="C1040" t="s">
        <v>4827</v>
      </c>
    </row>
    <row r="1042" spans="1:3" x14ac:dyDescent="0.5">
      <c r="C1042" t="s">
        <v>4735</v>
      </c>
    </row>
    <row r="1043" spans="1:3" x14ac:dyDescent="0.5">
      <c r="C1043" t="s">
        <v>4727</v>
      </c>
    </row>
    <row r="1044" spans="1:3" x14ac:dyDescent="0.5">
      <c r="C1044" t="s">
        <v>4897</v>
      </c>
    </row>
    <row r="1045" spans="1:3" x14ac:dyDescent="0.5">
      <c r="C1045" t="s">
        <v>4898</v>
      </c>
    </row>
    <row r="1046" spans="1:3" x14ac:dyDescent="0.5">
      <c r="C1046" t="s">
        <v>4899</v>
      </c>
    </row>
    <row r="1048" spans="1:3" x14ac:dyDescent="0.5">
      <c r="C1048" t="s">
        <v>4731</v>
      </c>
    </row>
    <row r="1049" spans="1:3" x14ac:dyDescent="0.5">
      <c r="C1049" t="s">
        <v>4831</v>
      </c>
    </row>
    <row r="1050" spans="1:3" x14ac:dyDescent="0.5">
      <c r="C1050" t="s">
        <v>4900</v>
      </c>
    </row>
    <row r="1051" spans="1:3" x14ac:dyDescent="0.5">
      <c r="C1051" t="s">
        <v>4804</v>
      </c>
    </row>
    <row r="1052" spans="1:3" x14ac:dyDescent="0.5">
      <c r="B1052" t="s">
        <v>4581</v>
      </c>
    </row>
    <row r="1053" spans="1:3" x14ac:dyDescent="0.5">
      <c r="A1053" t="s">
        <v>4581</v>
      </c>
    </row>
    <row r="1055" spans="1:3" x14ac:dyDescent="0.5">
      <c r="A1055" t="s">
        <v>4585</v>
      </c>
    </row>
    <row r="1056" spans="1:3" x14ac:dyDescent="0.5">
      <c r="B1056" t="s">
        <v>4698</v>
      </c>
    </row>
    <row r="1057" spans="2:4" x14ac:dyDescent="0.5">
      <c r="C1057" t="s">
        <v>4699</v>
      </c>
    </row>
    <row r="1058" spans="2:4" x14ac:dyDescent="0.5">
      <c r="B1058" t="s">
        <v>5154</v>
      </c>
    </row>
    <row r="1060" spans="2:4" x14ac:dyDescent="0.5">
      <c r="B1060" t="s">
        <v>5155</v>
      </c>
    </row>
    <row r="1061" spans="2:4" x14ac:dyDescent="0.5">
      <c r="C1061" t="s">
        <v>5156</v>
      </c>
    </row>
    <row r="1063" spans="2:4" x14ac:dyDescent="0.5">
      <c r="C1063" t="s">
        <v>5157</v>
      </c>
    </row>
    <row r="1065" spans="2:4" x14ac:dyDescent="0.5">
      <c r="C1065" t="s">
        <v>4708</v>
      </c>
    </row>
    <row r="1066" spans="2:4" x14ac:dyDescent="0.5">
      <c r="D1066" t="s">
        <v>5158</v>
      </c>
    </row>
    <row r="1067" spans="2:4" x14ac:dyDescent="0.5">
      <c r="D1067" t="s">
        <v>5159</v>
      </c>
    </row>
    <row r="1068" spans="2:4" x14ac:dyDescent="0.5">
      <c r="D1068" t="s">
        <v>5160</v>
      </c>
    </row>
    <row r="1069" spans="2:4" x14ac:dyDescent="0.5">
      <c r="D1069" t="s">
        <v>5161</v>
      </c>
    </row>
    <row r="1071" spans="2:4" x14ac:dyDescent="0.5">
      <c r="D1071" t="s">
        <v>5162</v>
      </c>
    </row>
    <row r="1072" spans="2:4" x14ac:dyDescent="0.5">
      <c r="C1072" t="s">
        <v>4581</v>
      </c>
    </row>
    <row r="1073" spans="3:4" x14ac:dyDescent="0.5">
      <c r="C1073" t="s">
        <v>4714</v>
      </c>
    </row>
    <row r="1074" spans="3:4" x14ac:dyDescent="0.5">
      <c r="D1074" t="s">
        <v>5163</v>
      </c>
    </row>
    <row r="1075" spans="3:4" x14ac:dyDescent="0.5">
      <c r="D1075" t="s">
        <v>5164</v>
      </c>
    </row>
    <row r="1076" spans="3:4" x14ac:dyDescent="0.5">
      <c r="D1076" t="s">
        <v>5165</v>
      </c>
    </row>
    <row r="1078" spans="3:4" x14ac:dyDescent="0.5">
      <c r="D1078" t="s">
        <v>5166</v>
      </c>
    </row>
    <row r="1079" spans="3:4" x14ac:dyDescent="0.5">
      <c r="C1079" t="s">
        <v>4581</v>
      </c>
    </row>
    <row r="1080" spans="3:4" x14ac:dyDescent="0.5">
      <c r="C1080" t="s">
        <v>4827</v>
      </c>
    </row>
    <row r="1082" spans="3:4" x14ac:dyDescent="0.5">
      <c r="C1082" t="s">
        <v>5167</v>
      </c>
    </row>
    <row r="1083" spans="3:4" x14ac:dyDescent="0.5">
      <c r="C1083" t="s">
        <v>5168</v>
      </c>
    </row>
    <row r="1084" spans="3:4" x14ac:dyDescent="0.5">
      <c r="C1084" t="s">
        <v>5169</v>
      </c>
    </row>
    <row r="1086" spans="3:4" x14ac:dyDescent="0.5">
      <c r="C1086" t="s">
        <v>4751</v>
      </c>
    </row>
    <row r="1087" spans="3:4" x14ac:dyDescent="0.5">
      <c r="C1087" t="s">
        <v>4802</v>
      </c>
    </row>
    <row r="1088" spans="3:4" x14ac:dyDescent="0.5">
      <c r="C1088" t="s">
        <v>4928</v>
      </c>
    </row>
    <row r="1090" spans="2:5" x14ac:dyDescent="0.5">
      <c r="C1090" t="s">
        <v>5170</v>
      </c>
    </row>
    <row r="1091" spans="2:5" x14ac:dyDescent="0.5">
      <c r="C1091" t="s">
        <v>5171</v>
      </c>
    </row>
    <row r="1092" spans="2:5" x14ac:dyDescent="0.5">
      <c r="C1092" t="s">
        <v>5172</v>
      </c>
    </row>
    <row r="1094" spans="2:5" x14ac:dyDescent="0.5">
      <c r="C1094" t="s">
        <v>4735</v>
      </c>
    </row>
    <row r="1095" spans="2:5" x14ac:dyDescent="0.5">
      <c r="B1095" t="s">
        <v>4581</v>
      </c>
    </row>
    <row r="1096" spans="2:5" x14ac:dyDescent="0.5">
      <c r="B1096" t="s">
        <v>5173</v>
      </c>
    </row>
    <row r="1097" spans="2:5" x14ac:dyDescent="0.5">
      <c r="C1097" t="s">
        <v>5174</v>
      </c>
    </row>
    <row r="1099" spans="2:5" x14ac:dyDescent="0.5">
      <c r="C1099" t="s">
        <v>5175</v>
      </c>
    </row>
    <row r="1101" spans="2:5" x14ac:dyDescent="0.5">
      <c r="C1101" t="s">
        <v>4698</v>
      </c>
    </row>
    <row r="1102" spans="2:5" x14ac:dyDescent="0.5">
      <c r="C1102" t="s">
        <v>4702</v>
      </c>
    </row>
    <row r="1103" spans="2:5" x14ac:dyDescent="0.5">
      <c r="D1103" t="s">
        <v>4703</v>
      </c>
    </row>
    <row r="1104" spans="2:5" x14ac:dyDescent="0.5">
      <c r="E1104" t="s">
        <v>4739</v>
      </c>
    </row>
    <row r="1105" spans="1:5" x14ac:dyDescent="0.5">
      <c r="E1105" t="s">
        <v>4705</v>
      </c>
    </row>
    <row r="1106" spans="1:5" x14ac:dyDescent="0.5">
      <c r="D1106" t="s">
        <v>4581</v>
      </c>
    </row>
    <row r="1107" spans="1:5" x14ac:dyDescent="0.5">
      <c r="C1107" t="s">
        <v>4581</v>
      </c>
    </row>
    <row r="1109" spans="1:5" x14ac:dyDescent="0.5">
      <c r="C1109" t="s">
        <v>4708</v>
      </c>
    </row>
    <row r="1110" spans="1:5" x14ac:dyDescent="0.5">
      <c r="D1110" t="s">
        <v>5176</v>
      </c>
    </row>
    <row r="1111" spans="1:5" x14ac:dyDescent="0.5">
      <c r="A1111" t="s">
        <v>4665</v>
      </c>
      <c r="D1111" t="s">
        <v>5177</v>
      </c>
    </row>
    <row r="1112" spans="1:5" x14ac:dyDescent="0.5">
      <c r="D1112" t="s">
        <v>5178</v>
      </c>
    </row>
    <row r="1113" spans="1:5" x14ac:dyDescent="0.5">
      <c r="D1113" t="s">
        <v>5179</v>
      </c>
    </row>
    <row r="1114" spans="1:5" x14ac:dyDescent="0.5">
      <c r="C1114" t="s">
        <v>4581</v>
      </c>
    </row>
    <row r="1115" spans="1:5" x14ac:dyDescent="0.5">
      <c r="C1115" t="s">
        <v>4714</v>
      </c>
    </row>
    <row r="1116" spans="1:5" x14ac:dyDescent="0.5">
      <c r="D1116" t="s">
        <v>5180</v>
      </c>
    </row>
    <row r="1117" spans="1:5" x14ac:dyDescent="0.5">
      <c r="D1117" t="s">
        <v>5181</v>
      </c>
    </row>
    <row r="1118" spans="1:5" x14ac:dyDescent="0.5">
      <c r="D1118" t="s">
        <v>5182</v>
      </c>
    </row>
    <row r="1119" spans="1:5" x14ac:dyDescent="0.5">
      <c r="C1119" t="s">
        <v>4581</v>
      </c>
    </row>
    <row r="1120" spans="1:5" x14ac:dyDescent="0.5">
      <c r="C1120" t="s">
        <v>4827</v>
      </c>
    </row>
    <row r="1122" spans="2:3" x14ac:dyDescent="0.5">
      <c r="C1122" t="s">
        <v>5167</v>
      </c>
    </row>
    <row r="1123" spans="2:3" x14ac:dyDescent="0.5">
      <c r="C1123" t="s">
        <v>5168</v>
      </c>
    </row>
    <row r="1124" spans="2:3" x14ac:dyDescent="0.5">
      <c r="C1124" t="s">
        <v>5169</v>
      </c>
    </row>
    <row r="1126" spans="2:3" x14ac:dyDescent="0.5">
      <c r="C1126" t="s">
        <v>5183</v>
      </c>
    </row>
    <row r="1127" spans="2:3" x14ac:dyDescent="0.5">
      <c r="C1127" t="s">
        <v>5184</v>
      </c>
    </row>
    <row r="1128" spans="2:3" x14ac:dyDescent="0.5">
      <c r="C1128" t="s">
        <v>5185</v>
      </c>
    </row>
    <row r="1130" spans="2:3" x14ac:dyDescent="0.5">
      <c r="C1130" t="s">
        <v>5186</v>
      </c>
    </row>
    <row r="1131" spans="2:3" x14ac:dyDescent="0.5">
      <c r="C1131" t="s">
        <v>5187</v>
      </c>
    </row>
    <row r="1132" spans="2:3" x14ac:dyDescent="0.5">
      <c r="C1132" t="s">
        <v>5188</v>
      </c>
    </row>
    <row r="1134" spans="2:3" x14ac:dyDescent="0.5">
      <c r="C1134" t="s">
        <v>4735</v>
      </c>
    </row>
    <row r="1135" spans="2:3" x14ac:dyDescent="0.5">
      <c r="B1135" t="s">
        <v>4581</v>
      </c>
    </row>
    <row r="1136" spans="2:3" x14ac:dyDescent="0.5">
      <c r="B1136" t="s">
        <v>5189</v>
      </c>
    </row>
    <row r="1137" spans="3:5" x14ac:dyDescent="0.5">
      <c r="C1137" t="s">
        <v>5174</v>
      </c>
    </row>
    <row r="1139" spans="3:5" x14ac:dyDescent="0.5">
      <c r="C1139" t="s">
        <v>5190</v>
      </c>
    </row>
    <row r="1141" spans="3:5" x14ac:dyDescent="0.5">
      <c r="C1141" t="s">
        <v>4698</v>
      </c>
    </row>
    <row r="1142" spans="3:5" x14ac:dyDescent="0.5">
      <c r="C1142" t="s">
        <v>4702</v>
      </c>
    </row>
    <row r="1143" spans="3:5" x14ac:dyDescent="0.5">
      <c r="D1143" t="s">
        <v>4703</v>
      </c>
    </row>
    <row r="1144" spans="3:5" x14ac:dyDescent="0.5">
      <c r="E1144" t="s">
        <v>4739</v>
      </c>
    </row>
    <row r="1145" spans="3:5" x14ac:dyDescent="0.5">
      <c r="E1145" t="s">
        <v>4705</v>
      </c>
    </row>
    <row r="1146" spans="3:5" x14ac:dyDescent="0.5">
      <c r="D1146" t="s">
        <v>4581</v>
      </c>
    </row>
    <row r="1147" spans="3:5" x14ac:dyDescent="0.5">
      <c r="C1147" t="s">
        <v>4581</v>
      </c>
    </row>
    <row r="1149" spans="3:5" x14ac:dyDescent="0.5">
      <c r="C1149" t="s">
        <v>4708</v>
      </c>
    </row>
    <row r="1150" spans="3:5" x14ac:dyDescent="0.5">
      <c r="D1150" t="s">
        <v>5191</v>
      </c>
    </row>
    <row r="1151" spans="3:5" x14ac:dyDescent="0.5">
      <c r="D1151" t="s">
        <v>5192</v>
      </c>
    </row>
    <row r="1152" spans="3:5" x14ac:dyDescent="0.5">
      <c r="D1152" t="s">
        <v>5193</v>
      </c>
    </row>
    <row r="1153" spans="1:4" x14ac:dyDescent="0.5">
      <c r="D1153" t="s">
        <v>5194</v>
      </c>
    </row>
    <row r="1154" spans="1:4" x14ac:dyDescent="0.5">
      <c r="C1154" t="s">
        <v>4581</v>
      </c>
    </row>
    <row r="1155" spans="1:4" x14ac:dyDescent="0.5">
      <c r="C1155" t="s">
        <v>4714</v>
      </c>
    </row>
    <row r="1156" spans="1:4" x14ac:dyDescent="0.5">
      <c r="D1156" t="s">
        <v>5195</v>
      </c>
    </row>
    <row r="1157" spans="1:4" x14ac:dyDescent="0.5">
      <c r="D1157" t="s">
        <v>5196</v>
      </c>
    </row>
    <row r="1158" spans="1:4" x14ac:dyDescent="0.5">
      <c r="D1158" t="s">
        <v>5197</v>
      </c>
    </row>
    <row r="1159" spans="1:4" x14ac:dyDescent="0.5">
      <c r="A1159" t="s">
        <v>4586</v>
      </c>
    </row>
    <row r="1160" spans="1:4" x14ac:dyDescent="0.5">
      <c r="C1160" t="s">
        <v>4827</v>
      </c>
    </row>
    <row r="1161" spans="1:4" x14ac:dyDescent="0.5">
      <c r="C1161" t="s">
        <v>4828</v>
      </c>
    </row>
    <row r="1163" spans="1:4" x14ac:dyDescent="0.5">
      <c r="C1163" t="s">
        <v>4728</v>
      </c>
    </row>
    <row r="1164" spans="1:4" x14ac:dyDescent="0.5">
      <c r="C1164" t="s">
        <v>4898</v>
      </c>
    </row>
    <row r="1165" spans="1:4" x14ac:dyDescent="0.5">
      <c r="C1165" t="s">
        <v>5185</v>
      </c>
    </row>
    <row r="1167" spans="1:4" x14ac:dyDescent="0.5">
      <c r="C1167" t="s">
        <v>5186</v>
      </c>
    </row>
    <row r="1168" spans="1:4" x14ac:dyDescent="0.5">
      <c r="C1168" t="s">
        <v>5198</v>
      </c>
    </row>
    <row r="1169" spans="2:5" x14ac:dyDescent="0.5">
      <c r="C1169" t="s">
        <v>4833</v>
      </c>
    </row>
    <row r="1171" spans="2:5" x14ac:dyDescent="0.5">
      <c r="C1171" t="s">
        <v>4735</v>
      </c>
    </row>
    <row r="1172" spans="2:5" x14ac:dyDescent="0.5">
      <c r="B1172" t="s">
        <v>4581</v>
      </c>
    </row>
    <row r="1173" spans="2:5" x14ac:dyDescent="0.5">
      <c r="B1173" t="s">
        <v>5199</v>
      </c>
    </row>
    <row r="1174" spans="2:5" x14ac:dyDescent="0.5">
      <c r="C1174" t="s">
        <v>5174</v>
      </c>
    </row>
    <row r="1176" spans="2:5" x14ac:dyDescent="0.5">
      <c r="C1176" t="s">
        <v>5200</v>
      </c>
    </row>
    <row r="1177" spans="2:5" x14ac:dyDescent="0.5">
      <c r="C1177" t="s">
        <v>4698</v>
      </c>
    </row>
    <row r="1178" spans="2:5" x14ac:dyDescent="0.5">
      <c r="C1178" t="s">
        <v>4702</v>
      </c>
    </row>
    <row r="1179" spans="2:5" x14ac:dyDescent="0.5">
      <c r="D1179" t="s">
        <v>4703</v>
      </c>
    </row>
    <row r="1180" spans="2:5" x14ac:dyDescent="0.5">
      <c r="E1180" t="s">
        <v>4739</v>
      </c>
    </row>
    <row r="1181" spans="2:5" x14ac:dyDescent="0.5">
      <c r="E1181" t="s">
        <v>4705</v>
      </c>
    </row>
    <row r="1182" spans="2:5" x14ac:dyDescent="0.5">
      <c r="D1182" t="s">
        <v>4581</v>
      </c>
    </row>
    <row r="1183" spans="2:5" x14ac:dyDescent="0.5">
      <c r="C1183" t="s">
        <v>4581</v>
      </c>
    </row>
    <row r="1185" spans="3:4" x14ac:dyDescent="0.5">
      <c r="C1185" t="s">
        <v>4708</v>
      </c>
    </row>
    <row r="1186" spans="3:4" x14ac:dyDescent="0.5">
      <c r="D1186" t="s">
        <v>5201</v>
      </c>
    </row>
    <row r="1187" spans="3:4" x14ac:dyDescent="0.5">
      <c r="D1187" t="s">
        <v>5202</v>
      </c>
    </row>
    <row r="1188" spans="3:4" x14ac:dyDescent="0.5">
      <c r="D1188" t="s">
        <v>5203</v>
      </c>
    </row>
    <row r="1189" spans="3:4" x14ac:dyDescent="0.5">
      <c r="D1189" t="s">
        <v>5204</v>
      </c>
    </row>
    <row r="1190" spans="3:4" x14ac:dyDescent="0.5">
      <c r="C1190" t="s">
        <v>4581</v>
      </c>
    </row>
    <row r="1191" spans="3:4" x14ac:dyDescent="0.5">
      <c r="C1191" t="s">
        <v>4714</v>
      </c>
    </row>
    <row r="1192" spans="3:4" x14ac:dyDescent="0.5">
      <c r="D1192" t="s">
        <v>5205</v>
      </c>
    </row>
    <row r="1193" spans="3:4" x14ac:dyDescent="0.5">
      <c r="D1193" t="s">
        <v>5206</v>
      </c>
    </row>
    <row r="1194" spans="3:4" x14ac:dyDescent="0.5">
      <c r="D1194" t="s">
        <v>5207</v>
      </c>
    </row>
    <row r="1195" spans="3:4" x14ac:dyDescent="0.5">
      <c r="C1195" t="s">
        <v>4581</v>
      </c>
    </row>
    <row r="1196" spans="3:4" x14ac:dyDescent="0.5">
      <c r="C1196" t="s">
        <v>4827</v>
      </c>
    </row>
    <row r="1197" spans="3:4" x14ac:dyDescent="0.5">
      <c r="C1197" t="s">
        <v>5208</v>
      </c>
    </row>
    <row r="1198" spans="3:4" x14ac:dyDescent="0.5">
      <c r="C1198" t="s">
        <v>5209</v>
      </c>
    </row>
    <row r="1199" spans="3:4" x14ac:dyDescent="0.5">
      <c r="C1199" t="s">
        <v>5169</v>
      </c>
    </row>
    <row r="1201" spans="2:3" x14ac:dyDescent="0.5">
      <c r="C1201" t="s">
        <v>4735</v>
      </c>
    </row>
    <row r="1203" spans="2:3" x14ac:dyDescent="0.5">
      <c r="C1203" t="s">
        <v>5210</v>
      </c>
    </row>
    <row r="1204" spans="2:3" x14ac:dyDescent="0.5">
      <c r="C1204" t="s">
        <v>4802</v>
      </c>
    </row>
    <row r="1205" spans="2:3" x14ac:dyDescent="0.5">
      <c r="C1205" t="s">
        <v>5185</v>
      </c>
    </row>
    <row r="1207" spans="2:3" x14ac:dyDescent="0.5">
      <c r="C1207" t="s">
        <v>5211</v>
      </c>
    </row>
    <row r="1208" spans="2:3" x14ac:dyDescent="0.5">
      <c r="C1208" t="s">
        <v>5171</v>
      </c>
    </row>
    <row r="1209" spans="2:3" x14ac:dyDescent="0.5">
      <c r="C1209" t="s">
        <v>5212</v>
      </c>
    </row>
    <row r="1210" spans="2:3" x14ac:dyDescent="0.5">
      <c r="B1210" t="s">
        <v>4581</v>
      </c>
    </row>
    <row r="1211" spans="2:3" x14ac:dyDescent="0.5">
      <c r="B1211" t="s">
        <v>5213</v>
      </c>
    </row>
    <row r="1212" spans="2:3" x14ac:dyDescent="0.5">
      <c r="C1212" t="s">
        <v>5174</v>
      </c>
    </row>
    <row r="1214" spans="2:3" x14ac:dyDescent="0.5">
      <c r="C1214" t="s">
        <v>5214</v>
      </c>
    </row>
    <row r="1215" spans="2:3" x14ac:dyDescent="0.5">
      <c r="C1215" t="s">
        <v>4698</v>
      </c>
    </row>
    <row r="1216" spans="2:3" x14ac:dyDescent="0.5">
      <c r="C1216" t="s">
        <v>4702</v>
      </c>
    </row>
    <row r="1217" spans="3:5" x14ac:dyDescent="0.5">
      <c r="D1217" t="s">
        <v>4703</v>
      </c>
    </row>
    <row r="1218" spans="3:5" x14ac:dyDescent="0.5">
      <c r="E1218" t="s">
        <v>4862</v>
      </c>
    </row>
    <row r="1219" spans="3:5" x14ac:dyDescent="0.5">
      <c r="E1219" t="s">
        <v>4705</v>
      </c>
    </row>
    <row r="1220" spans="3:5" x14ac:dyDescent="0.5">
      <c r="D1220" t="s">
        <v>4581</v>
      </c>
    </row>
    <row r="1221" spans="3:5" x14ac:dyDescent="0.5">
      <c r="C1221" t="s">
        <v>4581</v>
      </c>
    </row>
    <row r="1223" spans="3:5" x14ac:dyDescent="0.5">
      <c r="C1223" t="s">
        <v>4708</v>
      </c>
    </row>
    <row r="1224" spans="3:5" x14ac:dyDescent="0.5">
      <c r="D1224" t="s">
        <v>5215</v>
      </c>
    </row>
    <row r="1225" spans="3:5" x14ac:dyDescent="0.5">
      <c r="D1225" t="s">
        <v>5216</v>
      </c>
    </row>
    <row r="1226" spans="3:5" x14ac:dyDescent="0.5">
      <c r="D1226" t="s">
        <v>5217</v>
      </c>
    </row>
    <row r="1227" spans="3:5" x14ac:dyDescent="0.5">
      <c r="D1227" t="s">
        <v>5218</v>
      </c>
    </row>
    <row r="1229" spans="3:5" x14ac:dyDescent="0.5">
      <c r="D1229" t="s">
        <v>5219</v>
      </c>
    </row>
    <row r="1230" spans="3:5" x14ac:dyDescent="0.5">
      <c r="D1230" t="s">
        <v>5220</v>
      </c>
    </row>
    <row r="1231" spans="3:5" x14ac:dyDescent="0.5">
      <c r="D1231" t="s">
        <v>5221</v>
      </c>
    </row>
    <row r="1232" spans="3:5" x14ac:dyDescent="0.5">
      <c r="C1232" t="s">
        <v>4581</v>
      </c>
    </row>
    <row r="1233" spans="3:4" x14ac:dyDescent="0.5">
      <c r="C1233" t="s">
        <v>4714</v>
      </c>
    </row>
    <row r="1234" spans="3:4" x14ac:dyDescent="0.5">
      <c r="D1234" t="s">
        <v>5222</v>
      </c>
    </row>
    <row r="1235" spans="3:4" x14ac:dyDescent="0.5">
      <c r="D1235" t="s">
        <v>5223</v>
      </c>
    </row>
    <row r="1236" spans="3:4" x14ac:dyDescent="0.5">
      <c r="D1236" t="s">
        <v>5224</v>
      </c>
    </row>
    <row r="1238" spans="3:4" x14ac:dyDescent="0.5">
      <c r="D1238" t="s">
        <v>5225</v>
      </c>
    </row>
    <row r="1239" spans="3:4" x14ac:dyDescent="0.5">
      <c r="D1239" t="s">
        <v>5226</v>
      </c>
    </row>
    <row r="1240" spans="3:4" x14ac:dyDescent="0.5">
      <c r="C1240" t="s">
        <v>4581</v>
      </c>
    </row>
    <row r="1241" spans="3:4" x14ac:dyDescent="0.5">
      <c r="C1241" t="s">
        <v>4827</v>
      </c>
    </row>
    <row r="1242" spans="3:4" x14ac:dyDescent="0.5">
      <c r="C1242" t="s">
        <v>4828</v>
      </c>
    </row>
    <row r="1244" spans="3:4" x14ac:dyDescent="0.5">
      <c r="C1244" t="s">
        <v>4727</v>
      </c>
    </row>
    <row r="1245" spans="3:4" x14ac:dyDescent="0.5">
      <c r="C1245" t="s">
        <v>4728</v>
      </c>
    </row>
    <row r="1246" spans="3:4" x14ac:dyDescent="0.5">
      <c r="C1246" t="s">
        <v>4802</v>
      </c>
    </row>
    <row r="1247" spans="3:4" x14ac:dyDescent="0.5">
      <c r="C1247" t="s">
        <v>4803</v>
      </c>
    </row>
    <row r="1249" spans="1:3" x14ac:dyDescent="0.5">
      <c r="C1249" t="s">
        <v>4731</v>
      </c>
    </row>
    <row r="1250" spans="1:3" x14ac:dyDescent="0.5">
      <c r="C1250" t="s">
        <v>4732</v>
      </c>
    </row>
    <row r="1251" spans="1:3" x14ac:dyDescent="0.5">
      <c r="C1251" t="s">
        <v>4733</v>
      </c>
    </row>
    <row r="1252" spans="1:3" x14ac:dyDescent="0.5">
      <c r="C1252" t="s">
        <v>4804</v>
      </c>
    </row>
    <row r="1254" spans="1:3" x14ac:dyDescent="0.5">
      <c r="C1254" t="s">
        <v>4735</v>
      </c>
    </row>
    <row r="1255" spans="1:3" x14ac:dyDescent="0.5">
      <c r="B1255" t="s">
        <v>4581</v>
      </c>
    </row>
    <row r="1256" spans="1:3" x14ac:dyDescent="0.5">
      <c r="A1256" t="s">
        <v>4581</v>
      </c>
    </row>
    <row r="1258" spans="1:3" x14ac:dyDescent="0.5">
      <c r="A1258" t="s">
        <v>4587</v>
      </c>
    </row>
    <row r="1259" spans="1:3" x14ac:dyDescent="0.5">
      <c r="B1259" t="s">
        <v>4698</v>
      </c>
    </row>
    <row r="1260" spans="1:3" x14ac:dyDescent="0.5">
      <c r="C1260" t="s">
        <v>4699</v>
      </c>
    </row>
    <row r="1261" spans="1:3" x14ac:dyDescent="0.5">
      <c r="B1261" t="s">
        <v>5227</v>
      </c>
    </row>
    <row r="1263" spans="1:3" x14ac:dyDescent="0.5">
      <c r="B1263" t="s">
        <v>5228</v>
      </c>
    </row>
    <row r="1264" spans="1:3" x14ac:dyDescent="0.5">
      <c r="C1264" t="s">
        <v>5229</v>
      </c>
    </row>
    <row r="1266" spans="2:4" x14ac:dyDescent="0.5">
      <c r="C1266" t="s">
        <v>5230</v>
      </c>
    </row>
    <row r="1268" spans="2:4" x14ac:dyDescent="0.5">
      <c r="C1268" t="s">
        <v>4708</v>
      </c>
    </row>
    <row r="1269" spans="2:4" x14ac:dyDescent="0.5">
      <c r="D1269" t="s">
        <v>5231</v>
      </c>
    </row>
    <row r="1270" spans="2:4" x14ac:dyDescent="0.5">
      <c r="C1270" t="s">
        <v>4581</v>
      </c>
    </row>
    <row r="1271" spans="2:4" x14ac:dyDescent="0.5">
      <c r="C1271" t="s">
        <v>4714</v>
      </c>
    </row>
    <row r="1272" spans="2:4" x14ac:dyDescent="0.5">
      <c r="D1272" t="s">
        <v>5232</v>
      </c>
    </row>
    <row r="1273" spans="2:4" x14ac:dyDescent="0.5">
      <c r="C1273" t="s">
        <v>4581</v>
      </c>
    </row>
    <row r="1275" spans="2:4" x14ac:dyDescent="0.5">
      <c r="C1275" t="s">
        <v>5233</v>
      </c>
    </row>
    <row r="1277" spans="2:4" x14ac:dyDescent="0.5">
      <c r="C1277" t="s">
        <v>5103</v>
      </c>
    </row>
    <row r="1279" spans="2:4" x14ac:dyDescent="0.5">
      <c r="C1279" t="s">
        <v>4735</v>
      </c>
    </row>
    <row r="1280" spans="2:4" x14ac:dyDescent="0.5">
      <c r="B1280" t="s">
        <v>4581</v>
      </c>
    </row>
    <row r="1282" spans="2:4" x14ac:dyDescent="0.5">
      <c r="B1282" t="s">
        <v>5234</v>
      </c>
    </row>
    <row r="1283" spans="2:4" x14ac:dyDescent="0.5">
      <c r="C1283" t="s">
        <v>5229</v>
      </c>
    </row>
    <row r="1285" spans="2:4" x14ac:dyDescent="0.5">
      <c r="C1285" t="s">
        <v>5235</v>
      </c>
    </row>
    <row r="1287" spans="2:4" x14ac:dyDescent="0.5">
      <c r="C1287" t="s">
        <v>4708</v>
      </c>
    </row>
    <row r="1288" spans="2:4" x14ac:dyDescent="0.5">
      <c r="D1288" t="s">
        <v>5236</v>
      </c>
    </row>
    <row r="1289" spans="2:4" x14ac:dyDescent="0.5">
      <c r="D1289" t="s">
        <v>5237</v>
      </c>
    </row>
    <row r="1290" spans="2:4" x14ac:dyDescent="0.5">
      <c r="D1290" t="s">
        <v>5238</v>
      </c>
    </row>
    <row r="1291" spans="2:4" x14ac:dyDescent="0.5">
      <c r="C1291" t="s">
        <v>4581</v>
      </c>
    </row>
    <row r="1292" spans="2:4" x14ac:dyDescent="0.5">
      <c r="C1292" t="s">
        <v>4714</v>
      </c>
    </row>
    <row r="1293" spans="2:4" x14ac:dyDescent="0.5">
      <c r="D1293" t="s">
        <v>5239</v>
      </c>
    </row>
    <row r="1294" spans="2:4" x14ac:dyDescent="0.5">
      <c r="D1294" t="s">
        <v>5240</v>
      </c>
    </row>
    <row r="1295" spans="2:4" x14ac:dyDescent="0.5">
      <c r="D1295" t="s">
        <v>5241</v>
      </c>
    </row>
    <row r="1296" spans="2:4" x14ac:dyDescent="0.5">
      <c r="C1296" t="s">
        <v>4581</v>
      </c>
    </row>
    <row r="1298" spans="2:4" x14ac:dyDescent="0.5">
      <c r="C1298" t="s">
        <v>5242</v>
      </c>
    </row>
    <row r="1300" spans="2:4" x14ac:dyDescent="0.5">
      <c r="C1300" t="s">
        <v>5103</v>
      </c>
    </row>
    <row r="1302" spans="2:4" x14ac:dyDescent="0.5">
      <c r="C1302" t="s">
        <v>4735</v>
      </c>
    </row>
    <row r="1303" spans="2:4" x14ac:dyDescent="0.5">
      <c r="B1303" t="s">
        <v>4581</v>
      </c>
    </row>
    <row r="1304" spans="2:4" x14ac:dyDescent="0.5">
      <c r="B1304" t="s">
        <v>5243</v>
      </c>
    </row>
    <row r="1305" spans="2:4" x14ac:dyDescent="0.5">
      <c r="C1305" t="s">
        <v>5229</v>
      </c>
    </row>
    <row r="1307" spans="2:4" x14ac:dyDescent="0.5">
      <c r="C1307" t="s">
        <v>5244</v>
      </c>
    </row>
    <row r="1309" spans="2:4" x14ac:dyDescent="0.5">
      <c r="C1309" t="s">
        <v>4708</v>
      </c>
    </row>
    <row r="1310" spans="2:4" x14ac:dyDescent="0.5">
      <c r="D1310" t="s">
        <v>5245</v>
      </c>
    </row>
    <row r="1311" spans="2:4" x14ac:dyDescent="0.5">
      <c r="D1311" t="s">
        <v>5246</v>
      </c>
    </row>
    <row r="1312" spans="2:4" x14ac:dyDescent="0.5">
      <c r="D1312" t="s">
        <v>5247</v>
      </c>
    </row>
    <row r="1313" spans="3:4" x14ac:dyDescent="0.5">
      <c r="D1313" t="s">
        <v>5248</v>
      </c>
    </row>
    <row r="1314" spans="3:4" x14ac:dyDescent="0.5">
      <c r="D1314" t="s">
        <v>5249</v>
      </c>
    </row>
    <row r="1315" spans="3:4" x14ac:dyDescent="0.5">
      <c r="D1315" t="s">
        <v>5250</v>
      </c>
    </row>
    <row r="1316" spans="3:4" x14ac:dyDescent="0.5">
      <c r="D1316" t="s">
        <v>5251</v>
      </c>
    </row>
    <row r="1317" spans="3:4" x14ac:dyDescent="0.5">
      <c r="D1317" t="s">
        <v>5252</v>
      </c>
    </row>
    <row r="1318" spans="3:4" x14ac:dyDescent="0.5">
      <c r="D1318" t="s">
        <v>5253</v>
      </c>
    </row>
    <row r="1319" spans="3:4" x14ac:dyDescent="0.5">
      <c r="C1319" t="s">
        <v>4581</v>
      </c>
    </row>
    <row r="1320" spans="3:4" x14ac:dyDescent="0.5">
      <c r="C1320" t="s">
        <v>4714</v>
      </c>
    </row>
    <row r="1321" spans="3:4" x14ac:dyDescent="0.5">
      <c r="D1321" t="s">
        <v>5254</v>
      </c>
    </row>
    <row r="1322" spans="3:4" x14ac:dyDescent="0.5">
      <c r="D1322" t="s">
        <v>5255</v>
      </c>
    </row>
    <row r="1323" spans="3:4" x14ac:dyDescent="0.5">
      <c r="D1323" t="s">
        <v>5256</v>
      </c>
    </row>
    <row r="1324" spans="3:4" x14ac:dyDescent="0.5">
      <c r="D1324" t="s">
        <v>5257</v>
      </c>
    </row>
    <row r="1325" spans="3:4" x14ac:dyDescent="0.5">
      <c r="D1325" t="s">
        <v>5258</v>
      </c>
    </row>
    <row r="1326" spans="3:4" x14ac:dyDescent="0.5">
      <c r="C1326" t="s">
        <v>4581</v>
      </c>
    </row>
    <row r="1328" spans="3:4" x14ac:dyDescent="0.5">
      <c r="C1328" t="s">
        <v>4895</v>
      </c>
    </row>
    <row r="1330" spans="2:3" x14ac:dyDescent="0.5">
      <c r="C1330" t="s">
        <v>4727</v>
      </c>
    </row>
    <row r="1331" spans="2:3" x14ac:dyDescent="0.5">
      <c r="C1331" t="s">
        <v>4728</v>
      </c>
    </row>
    <row r="1332" spans="2:3" x14ac:dyDescent="0.5">
      <c r="C1332" t="s">
        <v>5259</v>
      </c>
    </row>
    <row r="1333" spans="2:3" x14ac:dyDescent="0.5">
      <c r="C1333" t="s">
        <v>4730</v>
      </c>
    </row>
    <row r="1335" spans="2:3" x14ac:dyDescent="0.5">
      <c r="C1335" t="s">
        <v>4731</v>
      </c>
    </row>
    <row r="1336" spans="2:3" x14ac:dyDescent="0.5">
      <c r="C1336" t="s">
        <v>5102</v>
      </c>
    </row>
    <row r="1337" spans="2:3" x14ac:dyDescent="0.5">
      <c r="C1337" t="s">
        <v>4733</v>
      </c>
    </row>
    <row r="1338" spans="2:3" x14ac:dyDescent="0.5">
      <c r="C1338" t="s">
        <v>4734</v>
      </c>
    </row>
    <row r="1340" spans="2:3" x14ac:dyDescent="0.5">
      <c r="C1340" t="s">
        <v>5103</v>
      </c>
    </row>
    <row r="1342" spans="2:3" x14ac:dyDescent="0.5">
      <c r="C1342" t="s">
        <v>4735</v>
      </c>
    </row>
    <row r="1343" spans="2:3" x14ac:dyDescent="0.5">
      <c r="B1343" t="s">
        <v>4581</v>
      </c>
    </row>
    <row r="1344" spans="2:3" x14ac:dyDescent="0.5">
      <c r="B1344" t="s">
        <v>5260</v>
      </c>
    </row>
    <row r="1345" spans="3:4" x14ac:dyDescent="0.5">
      <c r="C1345" t="s">
        <v>5261</v>
      </c>
    </row>
    <row r="1347" spans="3:4" x14ac:dyDescent="0.5">
      <c r="C1347" t="s">
        <v>5262</v>
      </c>
    </row>
    <row r="1349" spans="3:4" x14ac:dyDescent="0.5">
      <c r="C1349" t="s">
        <v>4708</v>
      </c>
    </row>
    <row r="1350" spans="3:4" x14ac:dyDescent="0.5">
      <c r="D1350" t="s">
        <v>5263</v>
      </c>
    </row>
    <row r="1351" spans="3:4" x14ac:dyDescent="0.5">
      <c r="D1351" t="s">
        <v>5264</v>
      </c>
    </row>
    <row r="1352" spans="3:4" x14ac:dyDescent="0.5">
      <c r="D1352" t="s">
        <v>5265</v>
      </c>
    </row>
    <row r="1353" spans="3:4" x14ac:dyDescent="0.5">
      <c r="C1353" t="s">
        <v>4581</v>
      </c>
    </row>
    <row r="1354" spans="3:4" x14ac:dyDescent="0.5">
      <c r="C1354" t="s">
        <v>4714</v>
      </c>
    </row>
    <row r="1355" spans="3:4" x14ac:dyDescent="0.5">
      <c r="D1355" t="s">
        <v>5266</v>
      </c>
    </row>
    <row r="1356" spans="3:4" x14ac:dyDescent="0.5">
      <c r="D1356" t="s">
        <v>5267</v>
      </c>
    </row>
    <row r="1357" spans="3:4" x14ac:dyDescent="0.5">
      <c r="C1357" t="s">
        <v>4581</v>
      </c>
    </row>
    <row r="1359" spans="3:4" x14ac:dyDescent="0.5">
      <c r="C1359" t="s">
        <v>5242</v>
      </c>
    </row>
    <row r="1361" spans="2:4" x14ac:dyDescent="0.5">
      <c r="C1361" t="s">
        <v>5268</v>
      </c>
    </row>
    <row r="1362" spans="2:4" x14ac:dyDescent="0.5">
      <c r="C1362" t="s">
        <v>5269</v>
      </c>
    </row>
    <row r="1363" spans="2:4" x14ac:dyDescent="0.5">
      <c r="C1363" t="s">
        <v>4764</v>
      </c>
    </row>
    <row r="1365" spans="2:4" x14ac:dyDescent="0.5">
      <c r="C1365" t="s">
        <v>5103</v>
      </c>
    </row>
    <row r="1367" spans="2:4" x14ac:dyDescent="0.5">
      <c r="C1367" t="s">
        <v>4735</v>
      </c>
    </row>
    <row r="1368" spans="2:4" x14ac:dyDescent="0.5">
      <c r="B1368" t="s">
        <v>4581</v>
      </c>
    </row>
    <row r="1369" spans="2:4" x14ac:dyDescent="0.5">
      <c r="B1369" t="s">
        <v>5270</v>
      </c>
    </row>
    <row r="1370" spans="2:4" x14ac:dyDescent="0.5">
      <c r="C1370" t="s">
        <v>5229</v>
      </c>
    </row>
    <row r="1372" spans="2:4" x14ac:dyDescent="0.5">
      <c r="C1372" t="s">
        <v>5271</v>
      </c>
    </row>
    <row r="1374" spans="2:4" x14ac:dyDescent="0.5">
      <c r="C1374" t="s">
        <v>4708</v>
      </c>
    </row>
    <row r="1375" spans="2:4" x14ac:dyDescent="0.5">
      <c r="D1375" t="s">
        <v>5272</v>
      </c>
    </row>
    <row r="1376" spans="2:4" x14ac:dyDescent="0.5">
      <c r="D1376" t="s">
        <v>5273</v>
      </c>
    </row>
    <row r="1377" spans="3:4" x14ac:dyDescent="0.5">
      <c r="D1377" t="s">
        <v>5274</v>
      </c>
    </row>
    <row r="1378" spans="3:4" x14ac:dyDescent="0.5">
      <c r="C1378" t="s">
        <v>4581</v>
      </c>
    </row>
    <row r="1379" spans="3:4" x14ac:dyDescent="0.5">
      <c r="C1379" t="s">
        <v>4714</v>
      </c>
    </row>
    <row r="1380" spans="3:4" x14ac:dyDescent="0.5">
      <c r="D1380" t="s">
        <v>5275</v>
      </c>
    </row>
    <row r="1381" spans="3:4" x14ac:dyDescent="0.5">
      <c r="D1381" t="s">
        <v>5276</v>
      </c>
    </row>
    <row r="1382" spans="3:4" x14ac:dyDescent="0.5">
      <c r="D1382" t="s">
        <v>5277</v>
      </c>
    </row>
    <row r="1383" spans="3:4" x14ac:dyDescent="0.5">
      <c r="C1383" t="s">
        <v>4581</v>
      </c>
    </row>
    <row r="1385" spans="3:4" x14ac:dyDescent="0.5">
      <c r="C1385" t="s">
        <v>5242</v>
      </c>
    </row>
    <row r="1387" spans="3:4" x14ac:dyDescent="0.5">
      <c r="C1387" t="s">
        <v>5278</v>
      </c>
    </row>
    <row r="1388" spans="3:4" x14ac:dyDescent="0.5">
      <c r="C1388" t="s">
        <v>5279</v>
      </c>
    </row>
    <row r="1389" spans="3:4" x14ac:dyDescent="0.5">
      <c r="C1389" t="s">
        <v>4764</v>
      </c>
    </row>
    <row r="1391" spans="3:4" x14ac:dyDescent="0.5">
      <c r="C1391" t="s">
        <v>5103</v>
      </c>
    </row>
    <row r="1393" spans="2:4" x14ac:dyDescent="0.5">
      <c r="C1393" t="s">
        <v>4735</v>
      </c>
    </row>
    <row r="1394" spans="2:4" x14ac:dyDescent="0.5">
      <c r="B1394" t="s">
        <v>4581</v>
      </c>
    </row>
    <row r="1396" spans="2:4" x14ac:dyDescent="0.5">
      <c r="B1396" t="s">
        <v>5280</v>
      </c>
    </row>
    <row r="1397" spans="2:4" x14ac:dyDescent="0.5">
      <c r="C1397" t="s">
        <v>5281</v>
      </c>
    </row>
    <row r="1398" spans="2:4" x14ac:dyDescent="0.5">
      <c r="C1398" t="s">
        <v>5282</v>
      </c>
    </row>
    <row r="1400" spans="2:4" x14ac:dyDescent="0.5">
      <c r="C1400" t="s">
        <v>5283</v>
      </c>
    </row>
    <row r="1402" spans="2:4" x14ac:dyDescent="0.5">
      <c r="C1402" t="s">
        <v>4708</v>
      </c>
    </row>
    <row r="1403" spans="2:4" x14ac:dyDescent="0.5">
      <c r="D1403" t="s">
        <v>5284</v>
      </c>
    </row>
    <row r="1404" spans="2:4" x14ac:dyDescent="0.5">
      <c r="D1404" t="s">
        <v>5285</v>
      </c>
    </row>
    <row r="1405" spans="2:4" x14ac:dyDescent="0.5">
      <c r="D1405" t="s">
        <v>5286</v>
      </c>
    </row>
    <row r="1406" spans="2:4" x14ac:dyDescent="0.5">
      <c r="D1406" t="s">
        <v>5287</v>
      </c>
    </row>
    <row r="1407" spans="2:4" x14ac:dyDescent="0.5">
      <c r="D1407" t="s">
        <v>5288</v>
      </c>
    </row>
    <row r="1408" spans="2:4" x14ac:dyDescent="0.5">
      <c r="D1408" t="s">
        <v>5289</v>
      </c>
    </row>
    <row r="1409" spans="3:4" x14ac:dyDescent="0.5">
      <c r="D1409" t="s">
        <v>5290</v>
      </c>
    </row>
    <row r="1410" spans="3:4" x14ac:dyDescent="0.5">
      <c r="C1410" t="s">
        <v>4581</v>
      </c>
    </row>
    <row r="1411" spans="3:4" x14ac:dyDescent="0.5">
      <c r="C1411" t="s">
        <v>4714</v>
      </c>
    </row>
    <row r="1412" spans="3:4" x14ac:dyDescent="0.5">
      <c r="D1412" t="s">
        <v>5291</v>
      </c>
    </row>
    <row r="1413" spans="3:4" x14ac:dyDescent="0.5">
      <c r="D1413" t="s">
        <v>5292</v>
      </c>
    </row>
    <row r="1414" spans="3:4" x14ac:dyDescent="0.5">
      <c r="D1414" t="s">
        <v>5293</v>
      </c>
    </row>
    <row r="1415" spans="3:4" x14ac:dyDescent="0.5">
      <c r="D1415" t="s">
        <v>5294</v>
      </c>
    </row>
    <row r="1416" spans="3:4" x14ac:dyDescent="0.5">
      <c r="C1416" t="s">
        <v>4581</v>
      </c>
    </row>
    <row r="1418" spans="3:4" x14ac:dyDescent="0.5">
      <c r="C1418" t="s">
        <v>4895</v>
      </c>
    </row>
    <row r="1420" spans="3:4" x14ac:dyDescent="0.5">
      <c r="C1420" t="s">
        <v>5295</v>
      </c>
    </row>
    <row r="1421" spans="3:4" x14ac:dyDescent="0.5">
      <c r="C1421" t="s">
        <v>5296</v>
      </c>
    </row>
    <row r="1422" spans="3:4" x14ac:dyDescent="0.5">
      <c r="C1422" t="s">
        <v>5297</v>
      </c>
    </row>
    <row r="1424" spans="3:4" x14ac:dyDescent="0.5">
      <c r="C1424" t="s">
        <v>4735</v>
      </c>
    </row>
    <row r="1425" spans="2:4" x14ac:dyDescent="0.5">
      <c r="B1425" t="s">
        <v>4581</v>
      </c>
    </row>
    <row r="1427" spans="2:4" x14ac:dyDescent="0.5">
      <c r="B1427" t="s">
        <v>5298</v>
      </c>
    </row>
    <row r="1428" spans="2:4" x14ac:dyDescent="0.5">
      <c r="C1428" t="s">
        <v>5229</v>
      </c>
    </row>
    <row r="1430" spans="2:4" x14ac:dyDescent="0.5">
      <c r="C1430" t="s">
        <v>5299</v>
      </c>
    </row>
    <row r="1432" spans="2:4" x14ac:dyDescent="0.5">
      <c r="C1432" t="s">
        <v>4708</v>
      </c>
    </row>
    <row r="1433" spans="2:4" x14ac:dyDescent="0.5">
      <c r="D1433" t="s">
        <v>5300</v>
      </c>
    </row>
    <row r="1434" spans="2:4" x14ac:dyDescent="0.5">
      <c r="D1434" t="s">
        <v>5301</v>
      </c>
    </row>
    <row r="1435" spans="2:4" x14ac:dyDescent="0.5">
      <c r="D1435" t="s">
        <v>5302</v>
      </c>
    </row>
    <row r="1436" spans="2:4" x14ac:dyDescent="0.5">
      <c r="D1436" t="s">
        <v>5303</v>
      </c>
    </row>
    <row r="1437" spans="2:4" x14ac:dyDescent="0.5">
      <c r="D1437" t="s">
        <v>5304</v>
      </c>
    </row>
    <row r="1438" spans="2:4" x14ac:dyDescent="0.5">
      <c r="D1438" t="s">
        <v>5305</v>
      </c>
    </row>
    <row r="1439" spans="2:4" x14ac:dyDescent="0.5">
      <c r="D1439" t="s">
        <v>5306</v>
      </c>
    </row>
    <row r="1440" spans="2:4" x14ac:dyDescent="0.5">
      <c r="D1440" t="s">
        <v>5307</v>
      </c>
    </row>
    <row r="1441" spans="1:4" x14ac:dyDescent="0.5">
      <c r="D1441" t="s">
        <v>5308</v>
      </c>
    </row>
    <row r="1442" spans="1:4" x14ac:dyDescent="0.5">
      <c r="C1442" t="s">
        <v>4581</v>
      </c>
    </row>
    <row r="1443" spans="1:4" x14ac:dyDescent="0.5">
      <c r="C1443" t="s">
        <v>4714</v>
      </c>
    </row>
    <row r="1444" spans="1:4" x14ac:dyDescent="0.5">
      <c r="D1444" t="s">
        <v>5309</v>
      </c>
    </row>
    <row r="1445" spans="1:4" x14ac:dyDescent="0.5">
      <c r="D1445" t="s">
        <v>5310</v>
      </c>
    </row>
    <row r="1446" spans="1:4" x14ac:dyDescent="0.5">
      <c r="D1446" t="s">
        <v>5311</v>
      </c>
    </row>
    <row r="1447" spans="1:4" x14ac:dyDescent="0.5">
      <c r="C1447" t="s">
        <v>4581</v>
      </c>
    </row>
    <row r="1449" spans="1:4" x14ac:dyDescent="0.5">
      <c r="C1449" t="s">
        <v>5312</v>
      </c>
    </row>
    <row r="1451" spans="1:4" x14ac:dyDescent="0.5">
      <c r="C1451" t="s">
        <v>5313</v>
      </c>
    </row>
    <row r="1452" spans="1:4" x14ac:dyDescent="0.5">
      <c r="A1452" t="s">
        <v>4588</v>
      </c>
    </row>
    <row r="1453" spans="1:4" x14ac:dyDescent="0.5">
      <c r="A1453" t="s">
        <v>4589</v>
      </c>
    </row>
    <row r="1455" spans="1:4" x14ac:dyDescent="0.5">
      <c r="C1455" t="s">
        <v>4735</v>
      </c>
    </row>
    <row r="1456" spans="1:4" x14ac:dyDescent="0.5">
      <c r="B1456" t="s">
        <v>4581</v>
      </c>
    </row>
    <row r="1458" spans="2:4" x14ac:dyDescent="0.5">
      <c r="B1458" t="s">
        <v>5314</v>
      </c>
    </row>
    <row r="1459" spans="2:4" x14ac:dyDescent="0.5">
      <c r="C1459" t="s">
        <v>5315</v>
      </c>
    </row>
    <row r="1461" spans="2:4" x14ac:dyDescent="0.5">
      <c r="C1461" t="s">
        <v>5316</v>
      </c>
    </row>
    <row r="1463" spans="2:4" x14ac:dyDescent="0.5">
      <c r="C1463" t="s">
        <v>4708</v>
      </c>
    </row>
    <row r="1464" spans="2:4" x14ac:dyDescent="0.5">
      <c r="D1464" t="s">
        <v>5317</v>
      </c>
    </row>
    <row r="1465" spans="2:4" x14ac:dyDescent="0.5">
      <c r="D1465" t="s">
        <v>5318</v>
      </c>
    </row>
    <row r="1466" spans="2:4" x14ac:dyDescent="0.5">
      <c r="D1466" t="s">
        <v>5319</v>
      </c>
    </row>
    <row r="1467" spans="2:4" x14ac:dyDescent="0.5">
      <c r="D1467" t="s">
        <v>5320</v>
      </c>
    </row>
    <row r="1468" spans="2:4" x14ac:dyDescent="0.5">
      <c r="D1468" t="s">
        <v>5321</v>
      </c>
    </row>
    <row r="1469" spans="2:4" x14ac:dyDescent="0.5">
      <c r="D1469" t="s">
        <v>5322</v>
      </c>
    </row>
    <row r="1470" spans="2:4" x14ac:dyDescent="0.5">
      <c r="D1470" t="s">
        <v>5323</v>
      </c>
    </row>
    <row r="1471" spans="2:4" x14ac:dyDescent="0.5">
      <c r="D1471" t="s">
        <v>5324</v>
      </c>
    </row>
    <row r="1472" spans="2:4" x14ac:dyDescent="0.5">
      <c r="C1472" t="s">
        <v>4581</v>
      </c>
    </row>
    <row r="1473" spans="1:4" x14ac:dyDescent="0.5">
      <c r="C1473" t="s">
        <v>4714</v>
      </c>
    </row>
    <row r="1474" spans="1:4" x14ac:dyDescent="0.5">
      <c r="D1474" t="s">
        <v>5325</v>
      </c>
    </row>
    <row r="1475" spans="1:4" x14ac:dyDescent="0.5">
      <c r="D1475" t="s">
        <v>5326</v>
      </c>
    </row>
    <row r="1476" spans="1:4" x14ac:dyDescent="0.5">
      <c r="D1476" t="s">
        <v>5327</v>
      </c>
    </row>
    <row r="1477" spans="1:4" x14ac:dyDescent="0.5">
      <c r="D1477" t="s">
        <v>5328</v>
      </c>
    </row>
    <row r="1478" spans="1:4" x14ac:dyDescent="0.5">
      <c r="D1478" t="s">
        <v>5329</v>
      </c>
    </row>
    <row r="1479" spans="1:4" x14ac:dyDescent="0.5">
      <c r="C1479" t="s">
        <v>4581</v>
      </c>
    </row>
    <row r="1481" spans="1:4" x14ac:dyDescent="0.5">
      <c r="C1481" t="s">
        <v>4895</v>
      </c>
    </row>
    <row r="1483" spans="1:4" x14ac:dyDescent="0.5">
      <c r="C1483" t="s">
        <v>4735</v>
      </c>
    </row>
    <row r="1485" spans="1:4" x14ac:dyDescent="0.5">
      <c r="C1485" t="s">
        <v>5103</v>
      </c>
    </row>
    <row r="1486" spans="1:4" x14ac:dyDescent="0.5">
      <c r="B1486" t="s">
        <v>4581</v>
      </c>
    </row>
    <row r="1487" spans="1:4" x14ac:dyDescent="0.5">
      <c r="A1487" t="s">
        <v>4581</v>
      </c>
    </row>
    <row r="1489" spans="1:4" x14ac:dyDescent="0.5">
      <c r="A1489" t="s">
        <v>4590</v>
      </c>
    </row>
    <row r="1490" spans="1:4" x14ac:dyDescent="0.5">
      <c r="B1490" t="s">
        <v>4698</v>
      </c>
    </row>
    <row r="1491" spans="1:4" x14ac:dyDescent="0.5">
      <c r="C1491" t="s">
        <v>4699</v>
      </c>
    </row>
    <row r="1492" spans="1:4" x14ac:dyDescent="0.5">
      <c r="B1492" t="s">
        <v>4697</v>
      </c>
    </row>
    <row r="1494" spans="1:4" x14ac:dyDescent="0.5">
      <c r="B1494" t="s">
        <v>5330</v>
      </c>
    </row>
    <row r="1495" spans="1:4" x14ac:dyDescent="0.5">
      <c r="C1495" t="s">
        <v>5331</v>
      </c>
    </row>
    <row r="1497" spans="1:4" x14ac:dyDescent="0.5">
      <c r="C1497" t="s">
        <v>5332</v>
      </c>
    </row>
    <row r="1499" spans="1:4" x14ac:dyDescent="0.5">
      <c r="C1499" t="s">
        <v>4708</v>
      </c>
    </row>
    <row r="1500" spans="1:4" x14ac:dyDescent="0.5">
      <c r="D1500" t="s">
        <v>5333</v>
      </c>
    </row>
    <row r="1501" spans="1:4" x14ac:dyDescent="0.5">
      <c r="D1501" t="s">
        <v>5334</v>
      </c>
    </row>
    <row r="1502" spans="1:4" x14ac:dyDescent="0.5">
      <c r="D1502" t="s">
        <v>5335</v>
      </c>
    </row>
    <row r="1503" spans="1:4" x14ac:dyDescent="0.5">
      <c r="D1503" t="s">
        <v>5336</v>
      </c>
    </row>
    <row r="1504" spans="1:4" x14ac:dyDescent="0.5">
      <c r="D1504" t="s">
        <v>5337</v>
      </c>
    </row>
    <row r="1505" spans="4:4" x14ac:dyDescent="0.5">
      <c r="D1505" t="s">
        <v>5338</v>
      </c>
    </row>
    <row r="1506" spans="4:4" x14ac:dyDescent="0.5">
      <c r="D1506" t="s">
        <v>5339</v>
      </c>
    </row>
    <row r="1507" spans="4:4" x14ac:dyDescent="0.5">
      <c r="D1507" t="s">
        <v>5340</v>
      </c>
    </row>
    <row r="1508" spans="4:4" x14ac:dyDescent="0.5">
      <c r="D1508" t="s">
        <v>5341</v>
      </c>
    </row>
    <row r="1509" spans="4:4" x14ac:dyDescent="0.5">
      <c r="D1509" t="s">
        <v>5342</v>
      </c>
    </row>
    <row r="1510" spans="4:4" x14ac:dyDescent="0.5">
      <c r="D1510" t="s">
        <v>5343</v>
      </c>
    </row>
    <row r="1511" spans="4:4" x14ac:dyDescent="0.5">
      <c r="D1511" t="s">
        <v>5344</v>
      </c>
    </row>
    <row r="1512" spans="4:4" x14ac:dyDescent="0.5">
      <c r="D1512" t="s">
        <v>5345</v>
      </c>
    </row>
    <row r="1513" spans="4:4" x14ac:dyDescent="0.5">
      <c r="D1513" t="s">
        <v>5346</v>
      </c>
    </row>
    <row r="1514" spans="4:4" x14ac:dyDescent="0.5">
      <c r="D1514" t="s">
        <v>5347</v>
      </c>
    </row>
    <row r="1515" spans="4:4" x14ac:dyDescent="0.5">
      <c r="D1515" t="s">
        <v>5348</v>
      </c>
    </row>
    <row r="1516" spans="4:4" x14ac:dyDescent="0.5">
      <c r="D1516" t="s">
        <v>5349</v>
      </c>
    </row>
    <row r="1517" spans="4:4" x14ac:dyDescent="0.5">
      <c r="D1517" t="s">
        <v>5350</v>
      </c>
    </row>
    <row r="1518" spans="4:4" x14ac:dyDescent="0.5">
      <c r="D1518" t="s">
        <v>5351</v>
      </c>
    </row>
    <row r="1519" spans="4:4" x14ac:dyDescent="0.5">
      <c r="D1519" t="s">
        <v>5352</v>
      </c>
    </row>
    <row r="1520" spans="4:4" x14ac:dyDescent="0.5">
      <c r="D1520" t="s">
        <v>5353</v>
      </c>
    </row>
    <row r="1521" spans="3:4" x14ac:dyDescent="0.5">
      <c r="D1521" t="s">
        <v>5354</v>
      </c>
    </row>
    <row r="1522" spans="3:4" x14ac:dyDescent="0.5">
      <c r="D1522" t="s">
        <v>5355</v>
      </c>
    </row>
    <row r="1523" spans="3:4" x14ac:dyDescent="0.5">
      <c r="D1523" t="s">
        <v>5356</v>
      </c>
    </row>
    <row r="1524" spans="3:4" x14ac:dyDescent="0.5">
      <c r="D1524" t="s">
        <v>5357</v>
      </c>
    </row>
    <row r="1525" spans="3:4" x14ac:dyDescent="0.5">
      <c r="D1525" t="s">
        <v>5358</v>
      </c>
    </row>
    <row r="1526" spans="3:4" x14ac:dyDescent="0.5">
      <c r="D1526" t="s">
        <v>5359</v>
      </c>
    </row>
    <row r="1527" spans="3:4" x14ac:dyDescent="0.5">
      <c r="C1527" t="s">
        <v>4581</v>
      </c>
    </row>
    <row r="1528" spans="3:4" x14ac:dyDescent="0.5">
      <c r="C1528" t="s">
        <v>4714</v>
      </c>
    </row>
    <row r="1529" spans="3:4" x14ac:dyDescent="0.5">
      <c r="D1529" t="s">
        <v>5360</v>
      </c>
    </row>
    <row r="1530" spans="3:4" x14ac:dyDescent="0.5">
      <c r="D1530" t="s">
        <v>5361</v>
      </c>
    </row>
    <row r="1531" spans="3:4" x14ac:dyDescent="0.5">
      <c r="D1531" t="s">
        <v>5362</v>
      </c>
    </row>
    <row r="1532" spans="3:4" x14ac:dyDescent="0.5">
      <c r="D1532" t="s">
        <v>5363</v>
      </c>
    </row>
    <row r="1533" spans="3:4" x14ac:dyDescent="0.5">
      <c r="D1533" t="s">
        <v>5364</v>
      </c>
    </row>
    <row r="1534" spans="3:4" x14ac:dyDescent="0.5">
      <c r="D1534" t="s">
        <v>5365</v>
      </c>
    </row>
    <row r="1535" spans="3:4" x14ac:dyDescent="0.5">
      <c r="D1535" t="s">
        <v>5366</v>
      </c>
    </row>
    <row r="1536" spans="3:4" x14ac:dyDescent="0.5">
      <c r="C1536" t="s">
        <v>4581</v>
      </c>
    </row>
    <row r="1538" spans="3:3" x14ac:dyDescent="0.5">
      <c r="C1538" t="s">
        <v>4720</v>
      </c>
    </row>
    <row r="1540" spans="3:3" x14ac:dyDescent="0.5">
      <c r="C1540" t="s">
        <v>4827</v>
      </c>
    </row>
    <row r="1541" spans="3:3" x14ac:dyDescent="0.5">
      <c r="C1541" t="s">
        <v>5367</v>
      </c>
    </row>
    <row r="1542" spans="3:3" x14ac:dyDescent="0.5">
      <c r="C1542" t="s">
        <v>5368</v>
      </c>
    </row>
    <row r="1543" spans="3:3" x14ac:dyDescent="0.5">
      <c r="C1543" t="s">
        <v>5297</v>
      </c>
    </row>
    <row r="1545" spans="3:3" x14ac:dyDescent="0.5">
      <c r="C1545" t="s">
        <v>4735</v>
      </c>
    </row>
    <row r="1546" spans="3:3" x14ac:dyDescent="0.5">
      <c r="C1546" t="s">
        <v>4897</v>
      </c>
    </row>
    <row r="1547" spans="3:3" x14ac:dyDescent="0.5">
      <c r="C1547" t="s">
        <v>5184</v>
      </c>
    </row>
    <row r="1548" spans="3:3" x14ac:dyDescent="0.5">
      <c r="C1548" t="s">
        <v>4928</v>
      </c>
    </row>
    <row r="1550" spans="3:3" x14ac:dyDescent="0.5">
      <c r="C1550" t="s">
        <v>5369</v>
      </c>
    </row>
    <row r="1551" spans="3:3" x14ac:dyDescent="0.5">
      <c r="C1551" t="s">
        <v>5171</v>
      </c>
    </row>
    <row r="1552" spans="3:3" x14ac:dyDescent="0.5">
      <c r="C1552" t="s">
        <v>5014</v>
      </c>
    </row>
    <row r="1553" spans="2:5" x14ac:dyDescent="0.5">
      <c r="B1553" t="s">
        <v>4581</v>
      </c>
    </row>
    <row r="1554" spans="2:5" x14ac:dyDescent="0.5">
      <c r="B1554" t="s">
        <v>5370</v>
      </c>
    </row>
    <row r="1555" spans="2:5" x14ac:dyDescent="0.5">
      <c r="C1555" t="s">
        <v>5331</v>
      </c>
    </row>
    <row r="1557" spans="2:5" x14ac:dyDescent="0.5">
      <c r="C1557" t="s">
        <v>5371</v>
      </c>
    </row>
    <row r="1559" spans="2:5" x14ac:dyDescent="0.5">
      <c r="C1559" t="s">
        <v>4698</v>
      </c>
    </row>
    <row r="1560" spans="2:5" x14ac:dyDescent="0.5">
      <c r="C1560" t="s">
        <v>4702</v>
      </c>
    </row>
    <row r="1561" spans="2:5" x14ac:dyDescent="0.5">
      <c r="D1561" t="s">
        <v>4703</v>
      </c>
    </row>
    <row r="1562" spans="2:5" x14ac:dyDescent="0.5">
      <c r="E1562" t="s">
        <v>4973</v>
      </c>
    </row>
    <row r="1563" spans="2:5" x14ac:dyDescent="0.5">
      <c r="E1563" t="s">
        <v>4705</v>
      </c>
    </row>
    <row r="1564" spans="2:5" x14ac:dyDescent="0.5">
      <c r="D1564" t="s">
        <v>4581</v>
      </c>
    </row>
    <row r="1565" spans="2:5" x14ac:dyDescent="0.5">
      <c r="C1565" t="s">
        <v>4581</v>
      </c>
    </row>
    <row r="1567" spans="2:5" x14ac:dyDescent="0.5">
      <c r="C1567" t="s">
        <v>4708</v>
      </c>
    </row>
    <row r="1568" spans="2:5" x14ac:dyDescent="0.5">
      <c r="D1568" t="s">
        <v>5372</v>
      </c>
    </row>
    <row r="1569" spans="3:4" x14ac:dyDescent="0.5">
      <c r="D1569" t="s">
        <v>5373</v>
      </c>
    </row>
    <row r="1570" spans="3:4" x14ac:dyDescent="0.5">
      <c r="D1570" t="s">
        <v>5374</v>
      </c>
    </row>
    <row r="1571" spans="3:4" x14ac:dyDescent="0.5">
      <c r="D1571" t="s">
        <v>5375</v>
      </c>
    </row>
    <row r="1572" spans="3:4" x14ac:dyDescent="0.5">
      <c r="D1572" t="s">
        <v>5376</v>
      </c>
    </row>
    <row r="1573" spans="3:4" x14ac:dyDescent="0.5">
      <c r="D1573" t="s">
        <v>5377</v>
      </c>
    </row>
    <row r="1574" spans="3:4" x14ac:dyDescent="0.5">
      <c r="D1574" t="s">
        <v>5378</v>
      </c>
    </row>
    <row r="1575" spans="3:4" x14ac:dyDescent="0.5">
      <c r="D1575" t="s">
        <v>5379</v>
      </c>
    </row>
    <row r="1576" spans="3:4" x14ac:dyDescent="0.5">
      <c r="D1576" t="s">
        <v>5380</v>
      </c>
    </row>
    <row r="1577" spans="3:4" x14ac:dyDescent="0.5">
      <c r="D1577" t="s">
        <v>5381</v>
      </c>
    </row>
    <row r="1578" spans="3:4" x14ac:dyDescent="0.5">
      <c r="D1578" t="s">
        <v>5382</v>
      </c>
    </row>
    <row r="1579" spans="3:4" x14ac:dyDescent="0.5">
      <c r="C1579" t="s">
        <v>4581</v>
      </c>
    </row>
    <row r="1580" spans="3:4" x14ac:dyDescent="0.5">
      <c r="C1580" t="s">
        <v>4714</v>
      </c>
    </row>
    <row r="1581" spans="3:4" x14ac:dyDescent="0.5">
      <c r="D1581" t="s">
        <v>5383</v>
      </c>
    </row>
    <row r="1582" spans="3:4" x14ac:dyDescent="0.5">
      <c r="D1582" t="s">
        <v>5384</v>
      </c>
    </row>
    <row r="1583" spans="3:4" x14ac:dyDescent="0.5">
      <c r="D1583" t="s">
        <v>5385</v>
      </c>
    </row>
    <row r="1584" spans="3:4" x14ac:dyDescent="0.5">
      <c r="D1584" t="s">
        <v>5386</v>
      </c>
    </row>
    <row r="1585" spans="3:4" x14ac:dyDescent="0.5">
      <c r="D1585" t="s">
        <v>5387</v>
      </c>
    </row>
    <row r="1586" spans="3:4" x14ac:dyDescent="0.5">
      <c r="D1586" t="s">
        <v>5388</v>
      </c>
    </row>
    <row r="1587" spans="3:4" x14ac:dyDescent="0.5">
      <c r="D1587" t="s">
        <v>5389</v>
      </c>
    </row>
    <row r="1588" spans="3:4" x14ac:dyDescent="0.5">
      <c r="C1588" t="s">
        <v>4581</v>
      </c>
    </row>
    <row r="1590" spans="3:4" x14ac:dyDescent="0.5">
      <c r="C1590" t="s">
        <v>4720</v>
      </c>
    </row>
    <row r="1592" spans="3:4" x14ac:dyDescent="0.5">
      <c r="C1592" t="s">
        <v>4827</v>
      </c>
    </row>
    <row r="1593" spans="3:4" x14ac:dyDescent="0.5">
      <c r="C1593" t="s">
        <v>5297</v>
      </c>
    </row>
    <row r="1595" spans="3:4" x14ac:dyDescent="0.5">
      <c r="C1595" t="s">
        <v>4735</v>
      </c>
    </row>
    <row r="1596" spans="3:4" x14ac:dyDescent="0.5">
      <c r="C1596" t="s">
        <v>4897</v>
      </c>
    </row>
    <row r="1597" spans="3:4" x14ac:dyDescent="0.5">
      <c r="C1597" t="s">
        <v>5184</v>
      </c>
    </row>
    <row r="1598" spans="3:4" x14ac:dyDescent="0.5">
      <c r="C1598" t="s">
        <v>4928</v>
      </c>
    </row>
    <row r="1600" spans="3:4" x14ac:dyDescent="0.5">
      <c r="C1600" t="s">
        <v>5369</v>
      </c>
    </row>
    <row r="1601" spans="2:5" x14ac:dyDescent="0.5">
      <c r="C1601" t="s">
        <v>5171</v>
      </c>
    </row>
    <row r="1602" spans="2:5" x14ac:dyDescent="0.5">
      <c r="C1602" t="s">
        <v>5014</v>
      </c>
    </row>
    <row r="1604" spans="2:5" x14ac:dyDescent="0.5">
      <c r="C1604" t="s">
        <v>5390</v>
      </c>
    </row>
    <row r="1605" spans="2:5" x14ac:dyDescent="0.5">
      <c r="B1605" t="s">
        <v>4581</v>
      </c>
    </row>
    <row r="1606" spans="2:5" x14ac:dyDescent="0.5">
      <c r="B1606" t="s">
        <v>5391</v>
      </c>
    </row>
    <row r="1607" spans="2:5" x14ac:dyDescent="0.5">
      <c r="C1607" t="s">
        <v>5331</v>
      </c>
    </row>
    <row r="1609" spans="2:5" x14ac:dyDescent="0.5">
      <c r="C1609" t="s">
        <v>5392</v>
      </c>
    </row>
    <row r="1611" spans="2:5" x14ac:dyDescent="0.5">
      <c r="C1611" t="s">
        <v>4698</v>
      </c>
    </row>
    <row r="1612" spans="2:5" x14ac:dyDescent="0.5">
      <c r="C1612" t="s">
        <v>4702</v>
      </c>
    </row>
    <row r="1613" spans="2:5" x14ac:dyDescent="0.5">
      <c r="D1613" t="s">
        <v>4703</v>
      </c>
    </row>
    <row r="1614" spans="2:5" x14ac:dyDescent="0.5">
      <c r="E1614" t="s">
        <v>4862</v>
      </c>
    </row>
    <row r="1615" spans="2:5" x14ac:dyDescent="0.5">
      <c r="E1615" t="s">
        <v>4705</v>
      </c>
    </row>
    <row r="1616" spans="2:5" x14ac:dyDescent="0.5">
      <c r="D1616" t="s">
        <v>4581</v>
      </c>
    </row>
    <row r="1617" spans="3:4" x14ac:dyDescent="0.5">
      <c r="C1617" t="s">
        <v>4581</v>
      </c>
    </row>
    <row r="1619" spans="3:4" x14ac:dyDescent="0.5">
      <c r="C1619" t="s">
        <v>4708</v>
      </c>
    </row>
    <row r="1620" spans="3:4" x14ac:dyDescent="0.5">
      <c r="D1620" t="s">
        <v>5393</v>
      </c>
    </row>
    <row r="1621" spans="3:4" x14ac:dyDescent="0.5">
      <c r="D1621" t="s">
        <v>5394</v>
      </c>
    </row>
    <row r="1622" spans="3:4" x14ac:dyDescent="0.5">
      <c r="D1622" t="s">
        <v>5395</v>
      </c>
    </row>
    <row r="1623" spans="3:4" x14ac:dyDescent="0.5">
      <c r="D1623" t="s">
        <v>5396</v>
      </c>
    </row>
    <row r="1624" spans="3:4" x14ac:dyDescent="0.5">
      <c r="D1624" t="s">
        <v>5397</v>
      </c>
    </row>
    <row r="1625" spans="3:4" x14ac:dyDescent="0.5">
      <c r="D1625" t="s">
        <v>5398</v>
      </c>
    </row>
    <row r="1626" spans="3:4" x14ac:dyDescent="0.5">
      <c r="C1626" t="s">
        <v>4581</v>
      </c>
    </row>
    <row r="1627" spans="3:4" x14ac:dyDescent="0.5">
      <c r="C1627" t="s">
        <v>4714</v>
      </c>
    </row>
    <row r="1628" spans="3:4" x14ac:dyDescent="0.5">
      <c r="D1628" t="s">
        <v>5399</v>
      </c>
    </row>
    <row r="1629" spans="3:4" x14ac:dyDescent="0.5">
      <c r="D1629" t="s">
        <v>5400</v>
      </c>
    </row>
    <row r="1630" spans="3:4" x14ac:dyDescent="0.5">
      <c r="D1630" t="s">
        <v>5401</v>
      </c>
    </row>
    <row r="1631" spans="3:4" x14ac:dyDescent="0.5">
      <c r="C1631" t="s">
        <v>4581</v>
      </c>
    </row>
    <row r="1633" spans="3:3" x14ac:dyDescent="0.5">
      <c r="C1633" t="s">
        <v>4720</v>
      </c>
    </row>
    <row r="1635" spans="3:3" x14ac:dyDescent="0.5">
      <c r="C1635" t="s">
        <v>5402</v>
      </c>
    </row>
    <row r="1636" spans="3:3" x14ac:dyDescent="0.5">
      <c r="C1636" t="s">
        <v>5403</v>
      </c>
    </row>
    <row r="1637" spans="3:3" x14ac:dyDescent="0.5">
      <c r="C1637" t="s">
        <v>5297</v>
      </c>
    </row>
    <row r="1639" spans="3:3" x14ac:dyDescent="0.5">
      <c r="C1639" t="s">
        <v>4735</v>
      </c>
    </row>
    <row r="1641" spans="3:3" x14ac:dyDescent="0.5">
      <c r="C1641" t="s">
        <v>4897</v>
      </c>
    </row>
    <row r="1642" spans="3:3" x14ac:dyDescent="0.5">
      <c r="C1642" t="s">
        <v>5184</v>
      </c>
    </row>
    <row r="1643" spans="3:3" x14ac:dyDescent="0.5">
      <c r="C1643" t="s">
        <v>4928</v>
      </c>
    </row>
    <row r="1645" spans="3:3" x14ac:dyDescent="0.5">
      <c r="C1645" t="s">
        <v>5369</v>
      </c>
    </row>
    <row r="1646" spans="3:3" x14ac:dyDescent="0.5">
      <c r="C1646" t="s">
        <v>5171</v>
      </c>
    </row>
    <row r="1647" spans="3:3" x14ac:dyDescent="0.5">
      <c r="C1647" t="s">
        <v>5014</v>
      </c>
    </row>
    <row r="1649" spans="2:4" x14ac:dyDescent="0.5">
      <c r="C1649" t="s">
        <v>5390</v>
      </c>
    </row>
    <row r="1650" spans="2:4" x14ac:dyDescent="0.5">
      <c r="B1650" t="s">
        <v>4581</v>
      </c>
    </row>
    <row r="1651" spans="2:4" x14ac:dyDescent="0.5">
      <c r="B1651" t="s">
        <v>5404</v>
      </c>
    </row>
    <row r="1652" spans="2:4" x14ac:dyDescent="0.5">
      <c r="C1652" t="s">
        <v>5331</v>
      </c>
    </row>
    <row r="1654" spans="2:4" x14ac:dyDescent="0.5">
      <c r="C1654" t="s">
        <v>5405</v>
      </c>
    </row>
    <row r="1656" spans="2:4" x14ac:dyDescent="0.5">
      <c r="C1656" t="s">
        <v>4708</v>
      </c>
    </row>
    <row r="1657" spans="2:4" x14ac:dyDescent="0.5">
      <c r="D1657" t="s">
        <v>5406</v>
      </c>
    </row>
    <row r="1658" spans="2:4" x14ac:dyDescent="0.5">
      <c r="D1658" t="s">
        <v>5407</v>
      </c>
    </row>
    <row r="1659" spans="2:4" x14ac:dyDescent="0.5">
      <c r="D1659" t="s">
        <v>5408</v>
      </c>
    </row>
    <row r="1660" spans="2:4" x14ac:dyDescent="0.5">
      <c r="D1660" t="s">
        <v>5409</v>
      </c>
    </row>
    <row r="1661" spans="2:4" x14ac:dyDescent="0.5">
      <c r="D1661" t="s">
        <v>5410</v>
      </c>
    </row>
    <row r="1662" spans="2:4" x14ac:dyDescent="0.5">
      <c r="D1662" t="s">
        <v>5411</v>
      </c>
    </row>
    <row r="1663" spans="2:4" x14ac:dyDescent="0.5">
      <c r="D1663" t="s">
        <v>5412</v>
      </c>
    </row>
    <row r="1664" spans="2:4" x14ac:dyDescent="0.5">
      <c r="D1664" t="s">
        <v>5413</v>
      </c>
    </row>
    <row r="1665" spans="4:4" x14ac:dyDescent="0.5">
      <c r="D1665" t="s">
        <v>5414</v>
      </c>
    </row>
    <row r="1666" spans="4:4" x14ac:dyDescent="0.5">
      <c r="D1666" t="s">
        <v>5415</v>
      </c>
    </row>
    <row r="1667" spans="4:4" x14ac:dyDescent="0.5">
      <c r="D1667" t="s">
        <v>5416</v>
      </c>
    </row>
    <row r="1668" spans="4:4" x14ac:dyDescent="0.5">
      <c r="D1668" t="s">
        <v>5417</v>
      </c>
    </row>
    <row r="1669" spans="4:4" x14ac:dyDescent="0.5">
      <c r="D1669" t="s">
        <v>5418</v>
      </c>
    </row>
    <row r="1670" spans="4:4" x14ac:dyDescent="0.5">
      <c r="D1670" t="s">
        <v>5419</v>
      </c>
    </row>
    <row r="1671" spans="4:4" x14ac:dyDescent="0.5">
      <c r="D1671" t="s">
        <v>5420</v>
      </c>
    </row>
    <row r="1672" spans="4:4" x14ac:dyDescent="0.5">
      <c r="D1672" t="s">
        <v>5421</v>
      </c>
    </row>
    <row r="1673" spans="4:4" x14ac:dyDescent="0.5">
      <c r="D1673" t="s">
        <v>5422</v>
      </c>
    </row>
    <row r="1674" spans="4:4" x14ac:dyDescent="0.5">
      <c r="D1674" t="s">
        <v>5423</v>
      </c>
    </row>
    <row r="1675" spans="4:4" x14ac:dyDescent="0.5">
      <c r="D1675" t="s">
        <v>5424</v>
      </c>
    </row>
    <row r="1676" spans="4:4" x14ac:dyDescent="0.5">
      <c r="D1676" t="s">
        <v>5425</v>
      </c>
    </row>
    <row r="1677" spans="4:4" x14ac:dyDescent="0.5">
      <c r="D1677" t="s">
        <v>5426</v>
      </c>
    </row>
    <row r="1678" spans="4:4" x14ac:dyDescent="0.5">
      <c r="D1678" t="s">
        <v>5427</v>
      </c>
    </row>
    <row r="1679" spans="4:4" x14ac:dyDescent="0.5">
      <c r="D1679" t="s">
        <v>5428</v>
      </c>
    </row>
    <row r="1680" spans="4:4" x14ac:dyDescent="0.5">
      <c r="D1680" t="s">
        <v>5429</v>
      </c>
    </row>
    <row r="1681" spans="3:4" x14ac:dyDescent="0.5">
      <c r="D1681" t="s">
        <v>5430</v>
      </c>
    </row>
    <row r="1682" spans="3:4" x14ac:dyDescent="0.5">
      <c r="C1682" t="s">
        <v>4581</v>
      </c>
    </row>
    <row r="1683" spans="3:4" x14ac:dyDescent="0.5">
      <c r="C1683" t="s">
        <v>4714</v>
      </c>
    </row>
    <row r="1684" spans="3:4" x14ac:dyDescent="0.5">
      <c r="D1684" t="s">
        <v>5431</v>
      </c>
    </row>
    <row r="1685" spans="3:4" x14ac:dyDescent="0.5">
      <c r="D1685" t="s">
        <v>5432</v>
      </c>
    </row>
    <row r="1686" spans="3:4" x14ac:dyDescent="0.5">
      <c r="D1686" t="s">
        <v>5433</v>
      </c>
    </row>
    <row r="1687" spans="3:4" x14ac:dyDescent="0.5">
      <c r="D1687" t="s">
        <v>5434</v>
      </c>
    </row>
    <row r="1688" spans="3:4" x14ac:dyDescent="0.5">
      <c r="D1688" t="s">
        <v>5435</v>
      </c>
    </row>
    <row r="1689" spans="3:4" x14ac:dyDescent="0.5">
      <c r="D1689" t="s">
        <v>5436</v>
      </c>
    </row>
    <row r="1690" spans="3:4" x14ac:dyDescent="0.5">
      <c r="D1690" t="s">
        <v>5437</v>
      </c>
    </row>
    <row r="1691" spans="3:4" x14ac:dyDescent="0.5">
      <c r="D1691" t="s">
        <v>5438</v>
      </c>
    </row>
    <row r="1692" spans="3:4" x14ac:dyDescent="0.5">
      <c r="D1692" t="s">
        <v>5439</v>
      </c>
    </row>
    <row r="1693" spans="3:4" x14ac:dyDescent="0.5">
      <c r="C1693" t="s">
        <v>4581</v>
      </c>
    </row>
    <row r="1695" spans="3:4" x14ac:dyDescent="0.5">
      <c r="C1695" t="s">
        <v>4720</v>
      </c>
    </row>
    <row r="1697" spans="3:3" x14ac:dyDescent="0.5">
      <c r="C1697" t="s">
        <v>4827</v>
      </c>
    </row>
    <row r="1698" spans="3:3" x14ac:dyDescent="0.5">
      <c r="C1698" t="s">
        <v>5440</v>
      </c>
    </row>
    <row r="1699" spans="3:3" x14ac:dyDescent="0.5">
      <c r="C1699" t="s">
        <v>5441</v>
      </c>
    </row>
    <row r="1700" spans="3:3" x14ac:dyDescent="0.5">
      <c r="C1700" t="s">
        <v>5297</v>
      </c>
    </row>
    <row r="1702" spans="3:3" x14ac:dyDescent="0.5">
      <c r="C1702" t="s">
        <v>4735</v>
      </c>
    </row>
    <row r="1704" spans="3:3" x14ac:dyDescent="0.5">
      <c r="C1704" t="s">
        <v>4727</v>
      </c>
    </row>
    <row r="1705" spans="3:3" x14ac:dyDescent="0.5">
      <c r="C1705" t="s">
        <v>4751</v>
      </c>
    </row>
    <row r="1706" spans="3:3" x14ac:dyDescent="0.5">
      <c r="C1706" t="s">
        <v>4729</v>
      </c>
    </row>
    <row r="1707" spans="3:3" x14ac:dyDescent="0.5">
      <c r="C1707" t="s">
        <v>4730</v>
      </c>
    </row>
    <row r="1709" spans="3:3" x14ac:dyDescent="0.5">
      <c r="C1709" t="s">
        <v>4731</v>
      </c>
    </row>
    <row r="1710" spans="3:3" x14ac:dyDescent="0.5">
      <c r="C1710" t="s">
        <v>4732</v>
      </c>
    </row>
    <row r="1711" spans="3:3" x14ac:dyDescent="0.5">
      <c r="C1711" t="s">
        <v>4733</v>
      </c>
    </row>
    <row r="1712" spans="3:3" x14ac:dyDescent="0.5">
      <c r="C1712" t="s">
        <v>4734</v>
      </c>
    </row>
    <row r="1713" spans="2:4" x14ac:dyDescent="0.5">
      <c r="B1713" t="s">
        <v>4581</v>
      </c>
    </row>
    <row r="1714" spans="2:4" x14ac:dyDescent="0.5">
      <c r="B1714" t="s">
        <v>5442</v>
      </c>
    </row>
    <row r="1715" spans="2:4" x14ac:dyDescent="0.5">
      <c r="C1715" t="s">
        <v>5331</v>
      </c>
    </row>
    <row r="1717" spans="2:4" x14ac:dyDescent="0.5">
      <c r="C1717" t="s">
        <v>5443</v>
      </c>
    </row>
    <row r="1719" spans="2:4" x14ac:dyDescent="0.5">
      <c r="C1719" t="s">
        <v>4708</v>
      </c>
    </row>
    <row r="1720" spans="2:4" x14ac:dyDescent="0.5">
      <c r="D1720" t="s">
        <v>5444</v>
      </c>
    </row>
    <row r="1721" spans="2:4" x14ac:dyDescent="0.5">
      <c r="D1721" t="s">
        <v>5445</v>
      </c>
    </row>
    <row r="1722" spans="2:4" x14ac:dyDescent="0.5">
      <c r="D1722" t="s">
        <v>5446</v>
      </c>
    </row>
    <row r="1723" spans="2:4" x14ac:dyDescent="0.5">
      <c r="D1723" t="s">
        <v>5447</v>
      </c>
    </row>
    <row r="1724" spans="2:4" x14ac:dyDescent="0.5">
      <c r="D1724" t="s">
        <v>5448</v>
      </c>
    </row>
    <row r="1725" spans="2:4" x14ac:dyDescent="0.5">
      <c r="D1725" t="s">
        <v>5449</v>
      </c>
    </row>
    <row r="1726" spans="2:4" x14ac:dyDescent="0.5">
      <c r="D1726" t="s">
        <v>5450</v>
      </c>
    </row>
    <row r="1727" spans="2:4" x14ac:dyDescent="0.5">
      <c r="D1727" t="s">
        <v>5451</v>
      </c>
    </row>
    <row r="1728" spans="2:4" x14ac:dyDescent="0.5">
      <c r="D1728" t="s">
        <v>5452</v>
      </c>
    </row>
    <row r="1729" spans="4:4" x14ac:dyDescent="0.5">
      <c r="D1729" t="s">
        <v>5453</v>
      </c>
    </row>
    <row r="1730" spans="4:4" x14ac:dyDescent="0.5">
      <c r="D1730" t="s">
        <v>5454</v>
      </c>
    </row>
    <row r="1731" spans="4:4" x14ac:dyDescent="0.5">
      <c r="D1731" t="s">
        <v>5455</v>
      </c>
    </row>
    <row r="1732" spans="4:4" x14ac:dyDescent="0.5">
      <c r="D1732" t="s">
        <v>5456</v>
      </c>
    </row>
    <row r="1733" spans="4:4" x14ac:dyDescent="0.5">
      <c r="D1733" t="s">
        <v>5457</v>
      </c>
    </row>
    <row r="1734" spans="4:4" x14ac:dyDescent="0.5">
      <c r="D1734" t="s">
        <v>5458</v>
      </c>
    </row>
    <row r="1735" spans="4:4" x14ac:dyDescent="0.5">
      <c r="D1735" t="s">
        <v>5459</v>
      </c>
    </row>
    <row r="1736" spans="4:4" x14ac:dyDescent="0.5">
      <c r="D1736" t="s">
        <v>5460</v>
      </c>
    </row>
    <row r="1737" spans="4:4" x14ac:dyDescent="0.5">
      <c r="D1737" t="s">
        <v>5461</v>
      </c>
    </row>
    <row r="1738" spans="4:4" x14ac:dyDescent="0.5">
      <c r="D1738" t="s">
        <v>5462</v>
      </c>
    </row>
    <row r="1739" spans="4:4" x14ac:dyDescent="0.5">
      <c r="D1739" t="s">
        <v>5463</v>
      </c>
    </row>
    <row r="1740" spans="4:4" x14ac:dyDescent="0.5">
      <c r="D1740" t="s">
        <v>5464</v>
      </c>
    </row>
    <row r="1741" spans="4:4" x14ac:dyDescent="0.5">
      <c r="D1741" t="s">
        <v>5465</v>
      </c>
    </row>
    <row r="1742" spans="4:4" x14ac:dyDescent="0.5">
      <c r="D1742" t="s">
        <v>5466</v>
      </c>
    </row>
    <row r="1743" spans="4:4" x14ac:dyDescent="0.5">
      <c r="D1743" t="s">
        <v>5467</v>
      </c>
    </row>
    <row r="1744" spans="4:4" x14ac:dyDescent="0.5">
      <c r="D1744" t="s">
        <v>5468</v>
      </c>
    </row>
    <row r="1745" spans="3:4" x14ac:dyDescent="0.5">
      <c r="D1745" t="s">
        <v>5469</v>
      </c>
    </row>
    <row r="1746" spans="3:4" x14ac:dyDescent="0.5">
      <c r="D1746" t="s">
        <v>5470</v>
      </c>
    </row>
    <row r="1747" spans="3:4" x14ac:dyDescent="0.5">
      <c r="D1747" t="s">
        <v>5471</v>
      </c>
    </row>
    <row r="1748" spans="3:4" x14ac:dyDescent="0.5">
      <c r="D1748" t="s">
        <v>5472</v>
      </c>
    </row>
    <row r="1749" spans="3:4" x14ac:dyDescent="0.5">
      <c r="D1749" t="s">
        <v>5473</v>
      </c>
    </row>
    <row r="1750" spans="3:4" x14ac:dyDescent="0.5">
      <c r="D1750" t="s">
        <v>5474</v>
      </c>
    </row>
    <row r="1751" spans="3:4" x14ac:dyDescent="0.5">
      <c r="D1751" t="s">
        <v>5475</v>
      </c>
    </row>
    <row r="1752" spans="3:4" x14ac:dyDescent="0.5">
      <c r="D1752" t="s">
        <v>5476</v>
      </c>
    </row>
    <row r="1753" spans="3:4" x14ac:dyDescent="0.5">
      <c r="D1753" t="s">
        <v>5477</v>
      </c>
    </row>
    <row r="1754" spans="3:4" x14ac:dyDescent="0.5">
      <c r="C1754" t="s">
        <v>4581</v>
      </c>
    </row>
    <row r="1755" spans="3:4" x14ac:dyDescent="0.5">
      <c r="C1755" t="s">
        <v>4714</v>
      </c>
    </row>
    <row r="1756" spans="3:4" x14ac:dyDescent="0.5">
      <c r="D1756" t="s">
        <v>5478</v>
      </c>
    </row>
    <row r="1757" spans="3:4" x14ac:dyDescent="0.5">
      <c r="D1757" t="s">
        <v>5479</v>
      </c>
    </row>
    <row r="1758" spans="3:4" x14ac:dyDescent="0.5">
      <c r="D1758" t="s">
        <v>5480</v>
      </c>
    </row>
    <row r="1759" spans="3:4" x14ac:dyDescent="0.5">
      <c r="D1759" t="s">
        <v>5481</v>
      </c>
    </row>
    <row r="1760" spans="3:4" x14ac:dyDescent="0.5">
      <c r="D1760" t="s">
        <v>5482</v>
      </c>
    </row>
    <row r="1761" spans="3:4" x14ac:dyDescent="0.5">
      <c r="D1761" t="s">
        <v>5483</v>
      </c>
    </row>
    <row r="1762" spans="3:4" x14ac:dyDescent="0.5">
      <c r="D1762" t="s">
        <v>5484</v>
      </c>
    </row>
    <row r="1763" spans="3:4" x14ac:dyDescent="0.5">
      <c r="D1763" t="s">
        <v>5485</v>
      </c>
    </row>
    <row r="1764" spans="3:4" x14ac:dyDescent="0.5">
      <c r="D1764" t="s">
        <v>5486</v>
      </c>
    </row>
    <row r="1765" spans="3:4" x14ac:dyDescent="0.5">
      <c r="D1765" t="s">
        <v>5487</v>
      </c>
    </row>
    <row r="1766" spans="3:4" x14ac:dyDescent="0.5">
      <c r="D1766" t="s">
        <v>5488</v>
      </c>
    </row>
    <row r="1767" spans="3:4" x14ac:dyDescent="0.5">
      <c r="D1767" t="s">
        <v>5489</v>
      </c>
    </row>
    <row r="1768" spans="3:4" x14ac:dyDescent="0.5">
      <c r="D1768" t="s">
        <v>5490</v>
      </c>
    </row>
    <row r="1769" spans="3:4" x14ac:dyDescent="0.5">
      <c r="D1769" t="s">
        <v>5491</v>
      </c>
    </row>
    <row r="1770" spans="3:4" x14ac:dyDescent="0.5">
      <c r="C1770" t="s">
        <v>4581</v>
      </c>
    </row>
    <row r="1772" spans="3:4" x14ac:dyDescent="0.5">
      <c r="C1772" t="s">
        <v>4720</v>
      </c>
    </row>
    <row r="1774" spans="3:4" x14ac:dyDescent="0.5">
      <c r="C1774" t="s">
        <v>4827</v>
      </c>
    </row>
    <row r="1776" spans="3:4" x14ac:dyDescent="0.5">
      <c r="C1776" t="s">
        <v>5492</v>
      </c>
    </row>
    <row r="1777" spans="1:3" x14ac:dyDescent="0.5">
      <c r="C1777" t="s">
        <v>5403</v>
      </c>
    </row>
    <row r="1778" spans="1:3" x14ac:dyDescent="0.5">
      <c r="C1778" t="s">
        <v>5297</v>
      </c>
    </row>
    <row r="1780" spans="1:3" x14ac:dyDescent="0.5">
      <c r="C1780" t="s">
        <v>4735</v>
      </c>
    </row>
    <row r="1782" spans="1:3" x14ac:dyDescent="0.5">
      <c r="C1782" t="s">
        <v>4727</v>
      </c>
    </row>
    <row r="1783" spans="1:3" x14ac:dyDescent="0.5">
      <c r="C1783" t="s">
        <v>4751</v>
      </c>
    </row>
    <row r="1784" spans="1:3" x14ac:dyDescent="0.5">
      <c r="C1784" t="s">
        <v>4729</v>
      </c>
    </row>
    <row r="1785" spans="1:3" x14ac:dyDescent="0.5">
      <c r="C1785" t="s">
        <v>4730</v>
      </c>
    </row>
    <row r="1787" spans="1:3" x14ac:dyDescent="0.5">
      <c r="C1787" t="s">
        <v>4731</v>
      </c>
    </row>
    <row r="1788" spans="1:3" x14ac:dyDescent="0.5">
      <c r="C1788" t="s">
        <v>4732</v>
      </c>
    </row>
    <row r="1789" spans="1:3" x14ac:dyDescent="0.5">
      <c r="C1789" t="s">
        <v>4733</v>
      </c>
    </row>
    <row r="1790" spans="1:3" x14ac:dyDescent="0.5">
      <c r="C1790" t="s">
        <v>4734</v>
      </c>
    </row>
    <row r="1791" spans="1:3" x14ac:dyDescent="0.5">
      <c r="B1791" t="s">
        <v>4581</v>
      </c>
    </row>
    <row r="1792" spans="1:3" x14ac:dyDescent="0.5">
      <c r="A1792" t="s">
        <v>4581</v>
      </c>
    </row>
    <row r="1794" spans="1:4" x14ac:dyDescent="0.5">
      <c r="A1794" t="s">
        <v>4591</v>
      </c>
    </row>
    <row r="1795" spans="1:4" x14ac:dyDescent="0.5">
      <c r="B1795" t="s">
        <v>4698</v>
      </c>
    </row>
    <row r="1796" spans="1:4" x14ac:dyDescent="0.5">
      <c r="C1796" t="s">
        <v>4699</v>
      </c>
    </row>
    <row r="1797" spans="1:4" x14ac:dyDescent="0.5">
      <c r="B1797" t="s">
        <v>5493</v>
      </c>
    </row>
    <row r="1799" spans="1:4" x14ac:dyDescent="0.5">
      <c r="B1799" t="s">
        <v>5494</v>
      </c>
    </row>
    <row r="1800" spans="1:4" x14ac:dyDescent="0.5">
      <c r="C1800" t="s">
        <v>5495</v>
      </c>
    </row>
    <row r="1802" spans="1:4" x14ac:dyDescent="0.5">
      <c r="C1802" t="s">
        <v>5496</v>
      </c>
    </row>
    <row r="1804" spans="1:4" x14ac:dyDescent="0.5">
      <c r="C1804" t="s">
        <v>4708</v>
      </c>
    </row>
    <row r="1805" spans="1:4" x14ac:dyDescent="0.5">
      <c r="D1805" t="s">
        <v>5497</v>
      </c>
    </row>
    <row r="1806" spans="1:4" x14ac:dyDescent="0.5">
      <c r="D1806" t="s">
        <v>5498</v>
      </c>
    </row>
    <row r="1807" spans="1:4" x14ac:dyDescent="0.5">
      <c r="D1807" t="s">
        <v>5499</v>
      </c>
    </row>
    <row r="1808" spans="1:4" x14ac:dyDescent="0.5">
      <c r="D1808" t="s">
        <v>5500</v>
      </c>
    </row>
    <row r="1809" spans="2:4" x14ac:dyDescent="0.5">
      <c r="D1809" t="s">
        <v>5501</v>
      </c>
    </row>
    <row r="1810" spans="2:4" x14ac:dyDescent="0.5">
      <c r="C1810" t="s">
        <v>4581</v>
      </c>
    </row>
    <row r="1811" spans="2:4" x14ac:dyDescent="0.5">
      <c r="C1811" t="s">
        <v>4714</v>
      </c>
    </row>
    <row r="1812" spans="2:4" x14ac:dyDescent="0.5">
      <c r="D1812" t="s">
        <v>5502</v>
      </c>
    </row>
    <row r="1813" spans="2:4" x14ac:dyDescent="0.5">
      <c r="D1813" t="s">
        <v>5503</v>
      </c>
    </row>
    <row r="1814" spans="2:4" x14ac:dyDescent="0.5">
      <c r="D1814" t="s">
        <v>5504</v>
      </c>
    </row>
    <row r="1815" spans="2:4" x14ac:dyDescent="0.5">
      <c r="C1815" t="s">
        <v>4581</v>
      </c>
    </row>
    <row r="1816" spans="2:4" x14ac:dyDescent="0.5">
      <c r="C1816" t="s">
        <v>4895</v>
      </c>
    </row>
    <row r="1818" spans="2:4" x14ac:dyDescent="0.5">
      <c r="C1818" t="s">
        <v>4735</v>
      </c>
    </row>
    <row r="1819" spans="2:4" x14ac:dyDescent="0.5">
      <c r="B1819" t="s">
        <v>4581</v>
      </c>
    </row>
    <row r="1820" spans="2:4" x14ac:dyDescent="0.5">
      <c r="B1820" t="s">
        <v>5505</v>
      </c>
      <c r="C1820" t="s">
        <v>5506</v>
      </c>
    </row>
    <row r="1821" spans="2:4" x14ac:dyDescent="0.5">
      <c r="C1821" t="s">
        <v>5495</v>
      </c>
    </row>
    <row r="1823" spans="2:4" x14ac:dyDescent="0.5">
      <c r="C1823" t="s">
        <v>5507</v>
      </c>
    </row>
    <row r="1825" spans="2:4" x14ac:dyDescent="0.5">
      <c r="C1825" t="s">
        <v>4708</v>
      </c>
    </row>
    <row r="1826" spans="2:4" x14ac:dyDescent="0.5">
      <c r="D1826" t="s">
        <v>5508</v>
      </c>
    </row>
    <row r="1827" spans="2:4" x14ac:dyDescent="0.5">
      <c r="D1827" t="s">
        <v>5509</v>
      </c>
    </row>
    <row r="1828" spans="2:4" x14ac:dyDescent="0.5">
      <c r="D1828" t="s">
        <v>5510</v>
      </c>
    </row>
    <row r="1829" spans="2:4" x14ac:dyDescent="0.5">
      <c r="C1829" t="s">
        <v>4581</v>
      </c>
    </row>
    <row r="1830" spans="2:4" x14ac:dyDescent="0.5">
      <c r="C1830" t="s">
        <v>4714</v>
      </c>
    </row>
    <row r="1831" spans="2:4" x14ac:dyDescent="0.5">
      <c r="D1831" t="s">
        <v>5511</v>
      </c>
    </row>
    <row r="1832" spans="2:4" x14ac:dyDescent="0.5">
      <c r="D1832" t="s">
        <v>5512</v>
      </c>
    </row>
    <row r="1833" spans="2:4" x14ac:dyDescent="0.5">
      <c r="C1833" t="s">
        <v>4581</v>
      </c>
    </row>
    <row r="1834" spans="2:4" x14ac:dyDescent="0.5">
      <c r="C1834" t="s">
        <v>4895</v>
      </c>
    </row>
    <row r="1836" spans="2:4" x14ac:dyDescent="0.5">
      <c r="C1836" t="s">
        <v>4735</v>
      </c>
    </row>
    <row r="1837" spans="2:4" x14ac:dyDescent="0.5">
      <c r="B1837" t="s">
        <v>4581</v>
      </c>
    </row>
    <row r="1838" spans="2:4" x14ac:dyDescent="0.5">
      <c r="B1838" t="s">
        <v>5513</v>
      </c>
    </row>
    <row r="1839" spans="2:4" x14ac:dyDescent="0.5">
      <c r="C1839" t="s">
        <v>5495</v>
      </c>
    </row>
    <row r="1841" spans="3:4" x14ac:dyDescent="0.5">
      <c r="C1841" t="s">
        <v>5371</v>
      </c>
    </row>
    <row r="1843" spans="3:4" x14ac:dyDescent="0.5">
      <c r="C1843" t="s">
        <v>4708</v>
      </c>
    </row>
    <row r="1844" spans="3:4" x14ac:dyDescent="0.5">
      <c r="D1844" t="s">
        <v>5514</v>
      </c>
    </row>
    <row r="1845" spans="3:4" x14ac:dyDescent="0.5">
      <c r="D1845" t="s">
        <v>5515</v>
      </c>
    </row>
    <row r="1846" spans="3:4" x14ac:dyDescent="0.5">
      <c r="D1846" t="s">
        <v>5516</v>
      </c>
    </row>
    <row r="1847" spans="3:4" x14ac:dyDescent="0.5">
      <c r="D1847" t="s">
        <v>5517</v>
      </c>
    </row>
    <row r="1848" spans="3:4" x14ac:dyDescent="0.5">
      <c r="D1848" t="s">
        <v>5518</v>
      </c>
    </row>
    <row r="1849" spans="3:4" x14ac:dyDescent="0.5">
      <c r="D1849" t="s">
        <v>5519</v>
      </c>
    </row>
    <row r="1850" spans="3:4" x14ac:dyDescent="0.5">
      <c r="D1850" t="s">
        <v>5520</v>
      </c>
    </row>
    <row r="1851" spans="3:4" x14ac:dyDescent="0.5">
      <c r="D1851" t="s">
        <v>5521</v>
      </c>
    </row>
    <row r="1852" spans="3:4" x14ac:dyDescent="0.5">
      <c r="D1852" t="s">
        <v>5522</v>
      </c>
    </row>
    <row r="1853" spans="3:4" x14ac:dyDescent="0.5">
      <c r="C1853" t="s">
        <v>4581</v>
      </c>
    </row>
    <row r="1854" spans="3:4" x14ac:dyDescent="0.5">
      <c r="C1854" t="s">
        <v>4714</v>
      </c>
    </row>
    <row r="1855" spans="3:4" x14ac:dyDescent="0.5">
      <c r="D1855" t="s">
        <v>5523</v>
      </c>
    </row>
    <row r="1856" spans="3:4" x14ac:dyDescent="0.5">
      <c r="D1856" t="s">
        <v>5524</v>
      </c>
    </row>
    <row r="1857" spans="2:4" x14ac:dyDescent="0.5">
      <c r="D1857" t="s">
        <v>5525</v>
      </c>
    </row>
    <row r="1858" spans="2:4" x14ac:dyDescent="0.5">
      <c r="D1858" t="s">
        <v>5526</v>
      </c>
    </row>
    <row r="1859" spans="2:4" x14ac:dyDescent="0.5">
      <c r="C1859" t="s">
        <v>4581</v>
      </c>
    </row>
    <row r="1861" spans="2:4" x14ac:dyDescent="0.5">
      <c r="C1861" t="s">
        <v>4895</v>
      </c>
    </row>
    <row r="1863" spans="2:4" x14ac:dyDescent="0.5">
      <c r="C1863" t="s">
        <v>4735</v>
      </c>
    </row>
    <row r="1864" spans="2:4" x14ac:dyDescent="0.5">
      <c r="B1864" t="s">
        <v>4581</v>
      </c>
    </row>
    <row r="1865" spans="2:4" x14ac:dyDescent="0.5">
      <c r="B1865" t="s">
        <v>5527</v>
      </c>
    </row>
    <row r="1866" spans="2:4" x14ac:dyDescent="0.5">
      <c r="C1866" t="s">
        <v>5495</v>
      </c>
    </row>
    <row r="1868" spans="2:4" x14ac:dyDescent="0.5">
      <c r="C1868" t="s">
        <v>5528</v>
      </c>
    </row>
    <row r="1870" spans="2:4" x14ac:dyDescent="0.5">
      <c r="C1870" t="s">
        <v>4708</v>
      </c>
    </row>
    <row r="1871" spans="2:4" x14ac:dyDescent="0.5">
      <c r="D1871" t="s">
        <v>5529</v>
      </c>
    </row>
    <row r="1872" spans="2:4" x14ac:dyDescent="0.5">
      <c r="D1872" t="s">
        <v>5530</v>
      </c>
    </row>
    <row r="1873" spans="2:4" x14ac:dyDescent="0.5">
      <c r="D1873" t="s">
        <v>5531</v>
      </c>
    </row>
    <row r="1874" spans="2:4" x14ac:dyDescent="0.5">
      <c r="D1874" t="s">
        <v>5532</v>
      </c>
    </row>
    <row r="1875" spans="2:4" x14ac:dyDescent="0.5">
      <c r="C1875" t="s">
        <v>4581</v>
      </c>
    </row>
    <row r="1876" spans="2:4" x14ac:dyDescent="0.5">
      <c r="C1876" t="s">
        <v>4714</v>
      </c>
    </row>
    <row r="1877" spans="2:4" x14ac:dyDescent="0.5">
      <c r="D1877" t="s">
        <v>5533</v>
      </c>
    </row>
    <row r="1878" spans="2:4" x14ac:dyDescent="0.5">
      <c r="D1878" t="s">
        <v>5534</v>
      </c>
    </row>
    <row r="1879" spans="2:4" x14ac:dyDescent="0.5">
      <c r="D1879" t="s">
        <v>5535</v>
      </c>
    </row>
    <row r="1880" spans="2:4" x14ac:dyDescent="0.5">
      <c r="D1880" t="s">
        <v>5536</v>
      </c>
    </row>
    <row r="1881" spans="2:4" x14ac:dyDescent="0.5">
      <c r="D1881" t="s">
        <v>5537</v>
      </c>
    </row>
    <row r="1882" spans="2:4" x14ac:dyDescent="0.5">
      <c r="C1882" t="s">
        <v>4581</v>
      </c>
    </row>
    <row r="1883" spans="2:4" x14ac:dyDescent="0.5">
      <c r="C1883" t="s">
        <v>4895</v>
      </c>
    </row>
    <row r="1884" spans="2:4" x14ac:dyDescent="0.5">
      <c r="C1884" t="s">
        <v>5538</v>
      </c>
    </row>
    <row r="1886" spans="2:4" x14ac:dyDescent="0.5">
      <c r="C1886" t="s">
        <v>4735</v>
      </c>
    </row>
    <row r="1887" spans="2:4" x14ac:dyDescent="0.5">
      <c r="B1887" t="s">
        <v>4581</v>
      </c>
    </row>
    <row r="1889" spans="2:4" x14ac:dyDescent="0.5">
      <c r="B1889" t="s">
        <v>5539</v>
      </c>
    </row>
    <row r="1890" spans="2:4" x14ac:dyDescent="0.5">
      <c r="C1890" t="s">
        <v>5495</v>
      </c>
    </row>
    <row r="1892" spans="2:4" x14ac:dyDescent="0.5">
      <c r="C1892" t="s">
        <v>5540</v>
      </c>
    </row>
    <row r="1894" spans="2:4" x14ac:dyDescent="0.5">
      <c r="C1894" t="s">
        <v>4708</v>
      </c>
    </row>
    <row r="1895" spans="2:4" x14ac:dyDescent="0.5">
      <c r="D1895" t="s">
        <v>5529</v>
      </c>
    </row>
    <row r="1896" spans="2:4" x14ac:dyDescent="0.5">
      <c r="D1896" t="s">
        <v>5530</v>
      </c>
    </row>
    <row r="1897" spans="2:4" x14ac:dyDescent="0.5">
      <c r="D1897" t="s">
        <v>5531</v>
      </c>
    </row>
    <row r="1898" spans="2:4" x14ac:dyDescent="0.5">
      <c r="D1898" t="s">
        <v>5532</v>
      </c>
    </row>
    <row r="1899" spans="2:4" x14ac:dyDescent="0.5">
      <c r="C1899" t="s">
        <v>4581</v>
      </c>
    </row>
    <row r="1900" spans="2:4" x14ac:dyDescent="0.5">
      <c r="C1900" t="s">
        <v>4714</v>
      </c>
    </row>
    <row r="1901" spans="2:4" x14ac:dyDescent="0.5">
      <c r="D1901" t="s">
        <v>5533</v>
      </c>
    </row>
    <row r="1902" spans="2:4" x14ac:dyDescent="0.5">
      <c r="D1902" t="s">
        <v>5534</v>
      </c>
    </row>
    <row r="1903" spans="2:4" x14ac:dyDescent="0.5">
      <c r="D1903" t="s">
        <v>5535</v>
      </c>
    </row>
    <row r="1904" spans="2:4" x14ac:dyDescent="0.5">
      <c r="D1904" t="s">
        <v>5536</v>
      </c>
    </row>
    <row r="1905" spans="2:4" x14ac:dyDescent="0.5">
      <c r="D1905" t="s">
        <v>5537</v>
      </c>
    </row>
    <row r="1906" spans="2:4" x14ac:dyDescent="0.5">
      <c r="C1906" t="s">
        <v>4581</v>
      </c>
    </row>
    <row r="1907" spans="2:4" x14ac:dyDescent="0.5">
      <c r="C1907" t="s">
        <v>4895</v>
      </c>
    </row>
    <row r="1908" spans="2:4" x14ac:dyDescent="0.5">
      <c r="C1908" t="s">
        <v>5538</v>
      </c>
    </row>
    <row r="1910" spans="2:4" x14ac:dyDescent="0.5">
      <c r="C1910" t="s">
        <v>4735</v>
      </c>
    </row>
    <row r="1911" spans="2:4" x14ac:dyDescent="0.5">
      <c r="B1911" t="s">
        <v>4581</v>
      </c>
    </row>
    <row r="1913" spans="2:4" x14ac:dyDescent="0.5">
      <c r="B1913" t="s">
        <v>5541</v>
      </c>
    </row>
    <row r="1914" spans="2:4" x14ac:dyDescent="0.5">
      <c r="C1914" t="s">
        <v>5495</v>
      </c>
    </row>
    <row r="1916" spans="2:4" x14ac:dyDescent="0.5">
      <c r="C1916" t="s">
        <v>5542</v>
      </c>
    </row>
    <row r="1918" spans="2:4" x14ac:dyDescent="0.5">
      <c r="C1918" t="s">
        <v>4708</v>
      </c>
    </row>
    <row r="1919" spans="2:4" x14ac:dyDescent="0.5">
      <c r="D1919" t="s">
        <v>5543</v>
      </c>
    </row>
    <row r="1920" spans="2:4" x14ac:dyDescent="0.5">
      <c r="C1920" t="s">
        <v>4581</v>
      </c>
    </row>
    <row r="1921" spans="2:4" x14ac:dyDescent="0.5">
      <c r="C1921" t="s">
        <v>4714</v>
      </c>
    </row>
    <row r="1922" spans="2:4" x14ac:dyDescent="0.5">
      <c r="D1922" t="s">
        <v>5544</v>
      </c>
    </row>
    <row r="1923" spans="2:4" x14ac:dyDescent="0.5">
      <c r="C1923" t="s">
        <v>4581</v>
      </c>
    </row>
    <row r="1924" spans="2:4" x14ac:dyDescent="0.5">
      <c r="C1924" t="s">
        <v>4895</v>
      </c>
    </row>
    <row r="1925" spans="2:4" x14ac:dyDescent="0.5">
      <c r="C1925" t="s">
        <v>5538</v>
      </c>
    </row>
    <row r="1927" spans="2:4" x14ac:dyDescent="0.5">
      <c r="C1927" t="s">
        <v>4735</v>
      </c>
    </row>
    <row r="1928" spans="2:4" x14ac:dyDescent="0.5">
      <c r="B1928" t="s">
        <v>4581</v>
      </c>
    </row>
    <row r="1929" spans="2:4" x14ac:dyDescent="0.5">
      <c r="B1929" t="s">
        <v>5545</v>
      </c>
    </row>
    <row r="1930" spans="2:4" x14ac:dyDescent="0.5">
      <c r="C1930" t="s">
        <v>5495</v>
      </c>
    </row>
    <row r="1932" spans="2:4" x14ac:dyDescent="0.5">
      <c r="C1932" t="s">
        <v>5371</v>
      </c>
    </row>
    <row r="1934" spans="2:4" x14ac:dyDescent="0.5">
      <c r="C1934" t="s">
        <v>4708</v>
      </c>
    </row>
    <row r="1935" spans="2:4" x14ac:dyDescent="0.5">
      <c r="D1935" t="s">
        <v>5546</v>
      </c>
    </row>
    <row r="1936" spans="2:4" x14ac:dyDescent="0.5">
      <c r="D1936" t="s">
        <v>5547</v>
      </c>
    </row>
    <row r="1937" spans="2:4" x14ac:dyDescent="0.5">
      <c r="D1937" t="s">
        <v>5548</v>
      </c>
    </row>
    <row r="1938" spans="2:4" x14ac:dyDescent="0.5">
      <c r="D1938" t="s">
        <v>5549</v>
      </c>
    </row>
    <row r="1939" spans="2:4" x14ac:dyDescent="0.5">
      <c r="C1939" t="s">
        <v>4581</v>
      </c>
    </row>
    <row r="1940" spans="2:4" x14ac:dyDescent="0.5">
      <c r="C1940" t="s">
        <v>4714</v>
      </c>
    </row>
    <row r="1941" spans="2:4" x14ac:dyDescent="0.5">
      <c r="D1941" t="s">
        <v>5550</v>
      </c>
    </row>
    <row r="1942" spans="2:4" x14ac:dyDescent="0.5">
      <c r="D1942" t="s">
        <v>5551</v>
      </c>
    </row>
    <row r="1943" spans="2:4" x14ac:dyDescent="0.5">
      <c r="D1943" t="s">
        <v>5552</v>
      </c>
    </row>
    <row r="1944" spans="2:4" x14ac:dyDescent="0.5">
      <c r="D1944" t="s">
        <v>5536</v>
      </c>
    </row>
    <row r="1945" spans="2:4" x14ac:dyDescent="0.5">
      <c r="D1945" t="s">
        <v>5553</v>
      </c>
    </row>
    <row r="1946" spans="2:4" x14ac:dyDescent="0.5">
      <c r="C1946" t="s">
        <v>4581</v>
      </c>
    </row>
    <row r="1947" spans="2:4" x14ac:dyDescent="0.5">
      <c r="C1947" t="s">
        <v>4895</v>
      </c>
    </row>
    <row r="1948" spans="2:4" x14ac:dyDescent="0.5">
      <c r="C1948" t="s">
        <v>5538</v>
      </c>
    </row>
    <row r="1950" spans="2:4" x14ac:dyDescent="0.5">
      <c r="C1950" t="s">
        <v>4735</v>
      </c>
    </row>
    <row r="1951" spans="2:4" x14ac:dyDescent="0.5">
      <c r="B1951" t="s">
        <v>4581</v>
      </c>
    </row>
    <row r="1952" spans="2:4" x14ac:dyDescent="0.5">
      <c r="B1952" t="s">
        <v>5554</v>
      </c>
    </row>
    <row r="1953" spans="3:4" x14ac:dyDescent="0.5">
      <c r="C1953" t="s">
        <v>5495</v>
      </c>
    </row>
    <row r="1955" spans="3:4" x14ac:dyDescent="0.5">
      <c r="C1955" t="s">
        <v>5555</v>
      </c>
    </row>
    <row r="1957" spans="3:4" x14ac:dyDescent="0.5">
      <c r="C1957" t="s">
        <v>4708</v>
      </c>
    </row>
    <row r="1958" spans="3:4" x14ac:dyDescent="0.5">
      <c r="D1958" t="s">
        <v>5546</v>
      </c>
    </row>
    <row r="1959" spans="3:4" x14ac:dyDescent="0.5">
      <c r="D1959" t="s">
        <v>5547</v>
      </c>
    </row>
    <row r="1960" spans="3:4" x14ac:dyDescent="0.5">
      <c r="D1960" t="s">
        <v>5548</v>
      </c>
    </row>
    <row r="1961" spans="3:4" x14ac:dyDescent="0.5">
      <c r="D1961" t="s">
        <v>5549</v>
      </c>
    </row>
    <row r="1962" spans="3:4" x14ac:dyDescent="0.5">
      <c r="C1962" t="s">
        <v>4581</v>
      </c>
    </row>
    <row r="1963" spans="3:4" x14ac:dyDescent="0.5">
      <c r="C1963" t="s">
        <v>4714</v>
      </c>
    </row>
    <row r="1964" spans="3:4" x14ac:dyDescent="0.5">
      <c r="D1964" t="s">
        <v>5550</v>
      </c>
    </row>
    <row r="1965" spans="3:4" x14ac:dyDescent="0.5">
      <c r="D1965" t="s">
        <v>5551</v>
      </c>
    </row>
    <row r="1966" spans="3:4" x14ac:dyDescent="0.5">
      <c r="D1966" t="s">
        <v>5552</v>
      </c>
    </row>
    <row r="1967" spans="3:4" x14ac:dyDescent="0.5">
      <c r="D1967" t="s">
        <v>5536</v>
      </c>
    </row>
    <row r="1968" spans="3:4" x14ac:dyDescent="0.5">
      <c r="D1968" t="s">
        <v>5553</v>
      </c>
    </row>
    <row r="1969" spans="1:3" x14ac:dyDescent="0.5">
      <c r="C1969" t="s">
        <v>4581</v>
      </c>
    </row>
    <row r="1970" spans="1:3" x14ac:dyDescent="0.5">
      <c r="C1970" t="s">
        <v>4895</v>
      </c>
    </row>
    <row r="1971" spans="1:3" x14ac:dyDescent="0.5">
      <c r="C1971" t="s">
        <v>5538</v>
      </c>
    </row>
    <row r="1973" spans="1:3" x14ac:dyDescent="0.5">
      <c r="C1973" t="s">
        <v>4735</v>
      </c>
    </row>
    <row r="1974" spans="1:3" x14ac:dyDescent="0.5">
      <c r="B1974" t="s">
        <v>4581</v>
      </c>
    </row>
    <row r="1975" spans="1:3" x14ac:dyDescent="0.5">
      <c r="A1975" t="s">
        <v>4581</v>
      </c>
    </row>
    <row r="1977" spans="1:3" x14ac:dyDescent="0.5">
      <c r="A1977" t="s">
        <v>4592</v>
      </c>
    </row>
    <row r="1978" spans="1:3" x14ac:dyDescent="0.5">
      <c r="B1978" t="s">
        <v>4698</v>
      </c>
    </row>
    <row r="1979" spans="1:3" x14ac:dyDescent="0.5">
      <c r="C1979" t="s">
        <v>4699</v>
      </c>
    </row>
    <row r="1980" spans="1:3" x14ac:dyDescent="0.5">
      <c r="B1980" t="s">
        <v>5493</v>
      </c>
    </row>
    <row r="1982" spans="1:3" x14ac:dyDescent="0.5">
      <c r="B1982" t="s">
        <v>5556</v>
      </c>
    </row>
    <row r="1983" spans="1:3" x14ac:dyDescent="0.5">
      <c r="C1983" t="s">
        <v>5495</v>
      </c>
    </row>
    <row r="1985" spans="3:4" x14ac:dyDescent="0.5">
      <c r="C1985" t="s">
        <v>5557</v>
      </c>
    </row>
    <row r="1987" spans="3:4" x14ac:dyDescent="0.5">
      <c r="C1987" t="s">
        <v>4708</v>
      </c>
    </row>
    <row r="1988" spans="3:4" x14ac:dyDescent="0.5">
      <c r="D1988" t="s">
        <v>5558</v>
      </c>
    </row>
    <row r="1989" spans="3:4" x14ac:dyDescent="0.5">
      <c r="D1989" t="s">
        <v>5559</v>
      </c>
    </row>
    <row r="1990" spans="3:4" x14ac:dyDescent="0.5">
      <c r="D1990" t="s">
        <v>5560</v>
      </c>
    </row>
    <row r="1991" spans="3:4" x14ac:dyDescent="0.5">
      <c r="D1991" t="s">
        <v>5561</v>
      </c>
    </row>
    <row r="1992" spans="3:4" x14ac:dyDescent="0.5">
      <c r="D1992" t="s">
        <v>5562</v>
      </c>
    </row>
    <row r="1993" spans="3:4" x14ac:dyDescent="0.5">
      <c r="C1993" t="s">
        <v>4581</v>
      </c>
    </row>
    <row r="1994" spans="3:4" x14ac:dyDescent="0.5">
      <c r="C1994" t="s">
        <v>4714</v>
      </c>
    </row>
    <row r="1995" spans="3:4" x14ac:dyDescent="0.5">
      <c r="D1995" t="s">
        <v>5563</v>
      </c>
    </row>
    <row r="1996" spans="3:4" x14ac:dyDescent="0.5">
      <c r="D1996" t="s">
        <v>5564</v>
      </c>
    </row>
    <row r="1997" spans="3:4" x14ac:dyDescent="0.5">
      <c r="C1997" t="s">
        <v>4581</v>
      </c>
    </row>
    <row r="1998" spans="3:4" x14ac:dyDescent="0.5">
      <c r="C1998" t="s">
        <v>5565</v>
      </c>
    </row>
    <row r="2000" spans="3:4" x14ac:dyDescent="0.5">
      <c r="C2000" t="s">
        <v>4735</v>
      </c>
    </row>
    <row r="2001" spans="2:4" x14ac:dyDescent="0.5">
      <c r="B2001" t="s">
        <v>4581</v>
      </c>
    </row>
    <row r="2002" spans="2:4" x14ac:dyDescent="0.5">
      <c r="B2002" t="s">
        <v>5566</v>
      </c>
    </row>
    <row r="2003" spans="2:4" x14ac:dyDescent="0.5">
      <c r="C2003" t="s">
        <v>5495</v>
      </c>
    </row>
    <row r="2005" spans="2:4" x14ac:dyDescent="0.5">
      <c r="C2005" t="s">
        <v>5567</v>
      </c>
    </row>
    <row r="2007" spans="2:4" x14ac:dyDescent="0.5">
      <c r="C2007" t="s">
        <v>4708</v>
      </c>
    </row>
    <row r="2008" spans="2:4" x14ac:dyDescent="0.5">
      <c r="D2008" t="s">
        <v>5568</v>
      </c>
    </row>
    <row r="2009" spans="2:4" x14ac:dyDescent="0.5">
      <c r="D2009" t="s">
        <v>5569</v>
      </c>
    </row>
    <row r="2010" spans="2:4" x14ac:dyDescent="0.5">
      <c r="D2010" t="s">
        <v>5570</v>
      </c>
    </row>
    <row r="2011" spans="2:4" x14ac:dyDescent="0.5">
      <c r="D2011" t="s">
        <v>5571</v>
      </c>
    </row>
    <row r="2012" spans="2:4" x14ac:dyDescent="0.5">
      <c r="D2012" t="s">
        <v>5572</v>
      </c>
    </row>
    <row r="2013" spans="2:4" x14ac:dyDescent="0.5">
      <c r="C2013" t="s">
        <v>4581</v>
      </c>
    </row>
    <row r="2014" spans="2:4" x14ac:dyDescent="0.5">
      <c r="C2014" t="s">
        <v>4714</v>
      </c>
    </row>
    <row r="2015" spans="2:4" x14ac:dyDescent="0.5">
      <c r="D2015" t="s">
        <v>5573</v>
      </c>
    </row>
    <row r="2016" spans="2:4" x14ac:dyDescent="0.5">
      <c r="C2016" t="s">
        <v>4581</v>
      </c>
    </row>
    <row r="2018" spans="2:4" x14ac:dyDescent="0.5">
      <c r="C2018" t="s">
        <v>5574</v>
      </c>
    </row>
    <row r="2020" spans="2:4" x14ac:dyDescent="0.5">
      <c r="C2020" t="s">
        <v>4735</v>
      </c>
    </row>
    <row r="2021" spans="2:4" x14ac:dyDescent="0.5">
      <c r="B2021" t="s">
        <v>4581</v>
      </c>
    </row>
    <row r="2022" spans="2:4" x14ac:dyDescent="0.5">
      <c r="B2022" t="s">
        <v>5575</v>
      </c>
    </row>
    <row r="2023" spans="2:4" x14ac:dyDescent="0.5">
      <c r="C2023" t="s">
        <v>5495</v>
      </c>
    </row>
    <row r="2025" spans="2:4" x14ac:dyDescent="0.5">
      <c r="C2025" t="s">
        <v>5576</v>
      </c>
    </row>
    <row r="2027" spans="2:4" x14ac:dyDescent="0.5">
      <c r="C2027" t="s">
        <v>4708</v>
      </c>
    </row>
    <row r="2028" spans="2:4" x14ac:dyDescent="0.5">
      <c r="D2028" t="s">
        <v>5577</v>
      </c>
    </row>
    <row r="2029" spans="2:4" x14ac:dyDescent="0.5">
      <c r="D2029" t="s">
        <v>5578</v>
      </c>
    </row>
    <row r="2030" spans="2:4" x14ac:dyDescent="0.5">
      <c r="C2030" t="s">
        <v>4581</v>
      </c>
    </row>
    <row r="2031" spans="2:4" x14ac:dyDescent="0.5">
      <c r="C2031" t="s">
        <v>4714</v>
      </c>
    </row>
    <row r="2032" spans="2:4" x14ac:dyDescent="0.5">
      <c r="D2032" t="s">
        <v>5579</v>
      </c>
    </row>
    <row r="2033" spans="1:3" x14ac:dyDescent="0.5">
      <c r="C2033" t="s">
        <v>4581</v>
      </c>
    </row>
    <row r="2035" spans="1:3" x14ac:dyDescent="0.5">
      <c r="C2035" t="s">
        <v>5574</v>
      </c>
    </row>
    <row r="2037" spans="1:3" x14ac:dyDescent="0.5">
      <c r="C2037" t="s">
        <v>4735</v>
      </c>
    </row>
    <row r="2038" spans="1:3" x14ac:dyDescent="0.5">
      <c r="B2038" t="s">
        <v>4581</v>
      </c>
    </row>
    <row r="2039" spans="1:3" x14ac:dyDescent="0.5">
      <c r="A2039" t="s">
        <v>4581</v>
      </c>
    </row>
    <row r="2041" spans="1:3" x14ac:dyDescent="0.5">
      <c r="A2041" t="s">
        <v>4593</v>
      </c>
    </row>
    <row r="2042" spans="1:3" x14ac:dyDescent="0.5">
      <c r="B2042" t="s">
        <v>4698</v>
      </c>
    </row>
    <row r="2043" spans="1:3" x14ac:dyDescent="0.5">
      <c r="C2043" t="s">
        <v>4699</v>
      </c>
    </row>
    <row r="2044" spans="1:3" x14ac:dyDescent="0.5">
      <c r="B2044" t="s">
        <v>5580</v>
      </c>
    </row>
    <row r="2046" spans="1:3" x14ac:dyDescent="0.5">
      <c r="B2046" t="s">
        <v>5581</v>
      </c>
    </row>
    <row r="2047" spans="1:3" x14ac:dyDescent="0.5">
      <c r="C2047" t="s">
        <v>5582</v>
      </c>
    </row>
    <row r="2048" spans="1:3" x14ac:dyDescent="0.5">
      <c r="C2048" t="s">
        <v>5282</v>
      </c>
    </row>
    <row r="2050" spans="3:4" x14ac:dyDescent="0.5">
      <c r="C2050" t="s">
        <v>5583</v>
      </c>
    </row>
    <row r="2052" spans="3:4" x14ac:dyDescent="0.5">
      <c r="C2052" t="s">
        <v>4708</v>
      </c>
    </row>
    <row r="2053" spans="3:4" x14ac:dyDescent="0.5">
      <c r="D2053" t="s">
        <v>5584</v>
      </c>
    </row>
    <row r="2054" spans="3:4" x14ac:dyDescent="0.5">
      <c r="D2054" t="s">
        <v>5585</v>
      </c>
    </row>
    <row r="2055" spans="3:4" x14ac:dyDescent="0.5">
      <c r="C2055" t="s">
        <v>4581</v>
      </c>
    </row>
    <row r="2056" spans="3:4" x14ac:dyDescent="0.5">
      <c r="C2056" t="s">
        <v>4714</v>
      </c>
    </row>
    <row r="2057" spans="3:4" x14ac:dyDescent="0.5">
      <c r="D2057" t="s">
        <v>5586</v>
      </c>
    </row>
    <row r="2058" spans="3:4" x14ac:dyDescent="0.5">
      <c r="D2058" t="s">
        <v>5587</v>
      </c>
    </row>
    <row r="2059" spans="3:4" x14ac:dyDescent="0.5">
      <c r="D2059" t="s">
        <v>5588</v>
      </c>
    </row>
    <row r="2060" spans="3:4" x14ac:dyDescent="0.5">
      <c r="D2060" t="s">
        <v>5589</v>
      </c>
    </row>
    <row r="2061" spans="3:4" x14ac:dyDescent="0.5">
      <c r="C2061" t="s">
        <v>4581</v>
      </c>
    </row>
    <row r="2063" spans="3:4" x14ac:dyDescent="0.5">
      <c r="C2063" t="s">
        <v>5242</v>
      </c>
    </row>
    <row r="2065" spans="2:3" x14ac:dyDescent="0.5">
      <c r="C2065" t="s">
        <v>5590</v>
      </c>
    </row>
    <row r="2066" spans="2:3" x14ac:dyDescent="0.5">
      <c r="C2066" t="s">
        <v>4764</v>
      </c>
    </row>
    <row r="2068" spans="2:3" x14ac:dyDescent="0.5">
      <c r="C2068" t="s">
        <v>5591</v>
      </c>
    </row>
    <row r="2069" spans="2:3" x14ac:dyDescent="0.5">
      <c r="C2069" t="s">
        <v>5538</v>
      </c>
    </row>
    <row r="2071" spans="2:3" x14ac:dyDescent="0.5">
      <c r="C2071" t="s">
        <v>4736</v>
      </c>
    </row>
    <row r="2073" spans="2:3" x14ac:dyDescent="0.5">
      <c r="C2073" t="s">
        <v>4735</v>
      </c>
    </row>
    <row r="2074" spans="2:3" x14ac:dyDescent="0.5">
      <c r="C2074" t="s">
        <v>5592</v>
      </c>
    </row>
    <row r="2075" spans="2:3" x14ac:dyDescent="0.5">
      <c r="B2075" t="s">
        <v>4581</v>
      </c>
    </row>
    <row r="2076" spans="2:3" x14ac:dyDescent="0.5">
      <c r="B2076" t="s">
        <v>5593</v>
      </c>
    </row>
    <row r="2077" spans="2:3" x14ac:dyDescent="0.5">
      <c r="C2077" t="s">
        <v>5582</v>
      </c>
    </row>
    <row r="2078" spans="2:3" x14ac:dyDescent="0.5">
      <c r="C2078" t="s">
        <v>5282</v>
      </c>
    </row>
    <row r="2080" spans="2:3" x14ac:dyDescent="0.5">
      <c r="C2080" t="s">
        <v>5594</v>
      </c>
    </row>
    <row r="2082" spans="1:4" x14ac:dyDescent="0.5">
      <c r="C2082" t="s">
        <v>4708</v>
      </c>
    </row>
    <row r="2083" spans="1:4" x14ac:dyDescent="0.5">
      <c r="A2083" t="s">
        <v>4594</v>
      </c>
    </row>
    <row r="2084" spans="1:4" x14ac:dyDescent="0.5">
      <c r="D2084" t="s">
        <v>5595</v>
      </c>
    </row>
    <row r="2085" spans="1:4" x14ac:dyDescent="0.5">
      <c r="C2085" t="s">
        <v>4581</v>
      </c>
    </row>
    <row r="2086" spans="1:4" x14ac:dyDescent="0.5">
      <c r="C2086" t="s">
        <v>4714</v>
      </c>
    </row>
    <row r="2087" spans="1:4" x14ac:dyDescent="0.5">
      <c r="D2087" t="s">
        <v>5596</v>
      </c>
    </row>
    <row r="2088" spans="1:4" x14ac:dyDescent="0.5">
      <c r="D2088" t="s">
        <v>5597</v>
      </c>
    </row>
    <row r="2089" spans="1:4" x14ac:dyDescent="0.5">
      <c r="C2089" t="s">
        <v>4581</v>
      </c>
    </row>
    <row r="2091" spans="1:4" x14ac:dyDescent="0.5">
      <c r="C2091" t="s">
        <v>4895</v>
      </c>
    </row>
    <row r="2092" spans="1:4" x14ac:dyDescent="0.5">
      <c r="C2092" t="s">
        <v>5538</v>
      </c>
    </row>
    <row r="2094" spans="1:4" x14ac:dyDescent="0.5">
      <c r="C2094" t="s">
        <v>4736</v>
      </c>
    </row>
    <row r="2096" spans="1:4" x14ac:dyDescent="0.5">
      <c r="C2096" t="s">
        <v>4735</v>
      </c>
    </row>
    <row r="2097" spans="2:4" x14ac:dyDescent="0.5">
      <c r="C2097" t="s">
        <v>5592</v>
      </c>
    </row>
    <row r="2098" spans="2:4" x14ac:dyDescent="0.5">
      <c r="B2098" t="s">
        <v>4581</v>
      </c>
    </row>
    <row r="2099" spans="2:4" x14ac:dyDescent="0.5">
      <c r="B2099" t="s">
        <v>5598</v>
      </c>
    </row>
    <row r="2100" spans="2:4" x14ac:dyDescent="0.5">
      <c r="C2100" t="s">
        <v>5599</v>
      </c>
    </row>
    <row r="2101" spans="2:4" x14ac:dyDescent="0.5">
      <c r="C2101" t="s">
        <v>5282</v>
      </c>
    </row>
    <row r="2103" spans="2:4" x14ac:dyDescent="0.5">
      <c r="C2103" t="s">
        <v>5600</v>
      </c>
    </row>
    <row r="2105" spans="2:4" x14ac:dyDescent="0.5">
      <c r="C2105" t="s">
        <v>4708</v>
      </c>
    </row>
    <row r="2106" spans="2:4" x14ac:dyDescent="0.5">
      <c r="D2106" t="s">
        <v>5601</v>
      </c>
    </row>
    <row r="2107" spans="2:4" x14ac:dyDescent="0.5">
      <c r="D2107" t="s">
        <v>5602</v>
      </c>
    </row>
    <row r="2108" spans="2:4" x14ac:dyDescent="0.5">
      <c r="C2108" t="s">
        <v>4581</v>
      </c>
    </row>
    <row r="2109" spans="2:4" x14ac:dyDescent="0.5">
      <c r="C2109" t="s">
        <v>4714</v>
      </c>
    </row>
    <row r="2110" spans="2:4" x14ac:dyDescent="0.5">
      <c r="D2110" t="s">
        <v>5596</v>
      </c>
    </row>
    <row r="2111" spans="2:4" x14ac:dyDescent="0.5">
      <c r="D2111" t="s">
        <v>5597</v>
      </c>
    </row>
    <row r="2112" spans="2:4" x14ac:dyDescent="0.5">
      <c r="C2112" t="s">
        <v>4581</v>
      </c>
    </row>
    <row r="2114" spans="2:3" x14ac:dyDescent="0.5">
      <c r="C2114" t="s">
        <v>4895</v>
      </c>
    </row>
    <row r="2115" spans="2:3" x14ac:dyDescent="0.5">
      <c r="C2115" t="s">
        <v>5538</v>
      </c>
    </row>
    <row r="2117" spans="2:3" x14ac:dyDescent="0.5">
      <c r="C2117" t="s">
        <v>4736</v>
      </c>
    </row>
    <row r="2119" spans="2:3" x14ac:dyDescent="0.5">
      <c r="C2119" t="s">
        <v>4735</v>
      </c>
    </row>
    <row r="2120" spans="2:3" x14ac:dyDescent="0.5">
      <c r="C2120" t="s">
        <v>5592</v>
      </c>
    </row>
    <row r="2121" spans="2:3" x14ac:dyDescent="0.5">
      <c r="B2121" t="s">
        <v>4581</v>
      </c>
    </row>
    <row r="2123" spans="2:3" x14ac:dyDescent="0.5">
      <c r="B2123" t="s">
        <v>5603</v>
      </c>
    </row>
    <row r="2124" spans="2:3" x14ac:dyDescent="0.5">
      <c r="C2124" t="s">
        <v>5582</v>
      </c>
    </row>
    <row r="2125" spans="2:3" x14ac:dyDescent="0.5">
      <c r="C2125" t="s">
        <v>5282</v>
      </c>
    </row>
    <row r="2127" spans="2:3" x14ac:dyDescent="0.5">
      <c r="C2127" t="s">
        <v>5604</v>
      </c>
    </row>
    <row r="2129" spans="3:4" x14ac:dyDescent="0.5">
      <c r="C2129" t="s">
        <v>4708</v>
      </c>
    </row>
    <row r="2130" spans="3:4" x14ac:dyDescent="0.5">
      <c r="D2130" t="s">
        <v>5605</v>
      </c>
    </row>
    <row r="2131" spans="3:4" x14ac:dyDescent="0.5">
      <c r="D2131" t="s">
        <v>5606</v>
      </c>
    </row>
    <row r="2132" spans="3:4" x14ac:dyDescent="0.5">
      <c r="D2132" t="s">
        <v>5607</v>
      </c>
    </row>
    <row r="2133" spans="3:4" x14ac:dyDescent="0.5">
      <c r="C2133" t="s">
        <v>4581</v>
      </c>
    </row>
    <row r="2134" spans="3:4" x14ac:dyDescent="0.5">
      <c r="C2134" t="s">
        <v>4714</v>
      </c>
    </row>
    <row r="2135" spans="3:4" x14ac:dyDescent="0.5">
      <c r="D2135" t="s">
        <v>5608</v>
      </c>
    </row>
    <row r="2136" spans="3:4" x14ac:dyDescent="0.5">
      <c r="D2136" t="s">
        <v>5609</v>
      </c>
    </row>
    <row r="2137" spans="3:4" x14ac:dyDescent="0.5">
      <c r="D2137" t="s">
        <v>5610</v>
      </c>
    </row>
    <row r="2138" spans="3:4" x14ac:dyDescent="0.5">
      <c r="C2138" t="s">
        <v>4581</v>
      </c>
    </row>
    <row r="2140" spans="3:4" x14ac:dyDescent="0.5">
      <c r="C2140" t="s">
        <v>5538</v>
      </c>
    </row>
    <row r="2142" spans="3:4" x14ac:dyDescent="0.5">
      <c r="C2142" t="s">
        <v>4736</v>
      </c>
    </row>
    <row r="2144" spans="3:4" x14ac:dyDescent="0.5">
      <c r="C2144" t="s">
        <v>4735</v>
      </c>
    </row>
    <row r="2145" spans="2:4" x14ac:dyDescent="0.5">
      <c r="C2145" t="s">
        <v>5592</v>
      </c>
    </row>
    <row r="2146" spans="2:4" x14ac:dyDescent="0.5">
      <c r="B2146" t="s">
        <v>4581</v>
      </c>
    </row>
    <row r="2148" spans="2:4" x14ac:dyDescent="0.5">
      <c r="B2148" t="s">
        <v>5611</v>
      </c>
    </row>
    <row r="2149" spans="2:4" x14ac:dyDescent="0.5">
      <c r="C2149" t="s">
        <v>5582</v>
      </c>
    </row>
    <row r="2150" spans="2:4" x14ac:dyDescent="0.5">
      <c r="C2150" t="s">
        <v>5282</v>
      </c>
    </row>
    <row r="2152" spans="2:4" x14ac:dyDescent="0.5">
      <c r="C2152" t="s">
        <v>5612</v>
      </c>
    </row>
    <row r="2154" spans="2:4" x14ac:dyDescent="0.5">
      <c r="C2154" t="s">
        <v>4708</v>
      </c>
    </row>
    <row r="2155" spans="2:4" x14ac:dyDescent="0.5">
      <c r="D2155" t="s">
        <v>5613</v>
      </c>
    </row>
    <row r="2156" spans="2:4" x14ac:dyDescent="0.5">
      <c r="D2156" t="s">
        <v>5614</v>
      </c>
    </row>
    <row r="2157" spans="2:4" x14ac:dyDescent="0.5">
      <c r="D2157" t="s">
        <v>5615</v>
      </c>
    </row>
    <row r="2158" spans="2:4" x14ac:dyDescent="0.5">
      <c r="D2158" t="s">
        <v>5616</v>
      </c>
    </row>
    <row r="2159" spans="2:4" x14ac:dyDescent="0.5">
      <c r="D2159" t="s">
        <v>5617</v>
      </c>
    </row>
    <row r="2160" spans="2:4" x14ac:dyDescent="0.5">
      <c r="D2160" t="s">
        <v>5618</v>
      </c>
    </row>
    <row r="2162" spans="2:4" x14ac:dyDescent="0.5">
      <c r="C2162" t="s">
        <v>4581</v>
      </c>
    </row>
    <row r="2163" spans="2:4" x14ac:dyDescent="0.5">
      <c r="C2163" t="s">
        <v>4714</v>
      </c>
    </row>
    <row r="2164" spans="2:4" x14ac:dyDescent="0.5">
      <c r="D2164" t="s">
        <v>5619</v>
      </c>
    </row>
    <row r="2165" spans="2:4" x14ac:dyDescent="0.5">
      <c r="D2165" t="s">
        <v>5620</v>
      </c>
    </row>
    <row r="2166" spans="2:4" x14ac:dyDescent="0.5">
      <c r="D2166" t="s">
        <v>5610</v>
      </c>
    </row>
    <row r="2167" spans="2:4" x14ac:dyDescent="0.5">
      <c r="C2167" t="s">
        <v>4581</v>
      </c>
    </row>
    <row r="2169" spans="2:4" x14ac:dyDescent="0.5">
      <c r="C2169" t="s">
        <v>5538</v>
      </c>
    </row>
    <row r="2171" spans="2:4" x14ac:dyDescent="0.5">
      <c r="C2171" t="s">
        <v>4736</v>
      </c>
    </row>
    <row r="2173" spans="2:4" x14ac:dyDescent="0.5">
      <c r="C2173" t="s">
        <v>4735</v>
      </c>
    </row>
    <row r="2174" spans="2:4" x14ac:dyDescent="0.5">
      <c r="C2174" t="s">
        <v>5592</v>
      </c>
    </row>
    <row r="2175" spans="2:4" x14ac:dyDescent="0.5">
      <c r="B2175" t="s">
        <v>4581</v>
      </c>
    </row>
    <row r="2177" spans="2:5" x14ac:dyDescent="0.5">
      <c r="B2177" t="s">
        <v>5621</v>
      </c>
    </row>
    <row r="2178" spans="2:5" x14ac:dyDescent="0.5">
      <c r="C2178" t="s">
        <v>5622</v>
      </c>
    </row>
    <row r="2179" spans="2:5" x14ac:dyDescent="0.5">
      <c r="C2179" t="s">
        <v>5282</v>
      </c>
    </row>
    <row r="2181" spans="2:5" x14ac:dyDescent="0.5">
      <c r="C2181" t="s">
        <v>5623</v>
      </c>
    </row>
    <row r="2182" spans="2:5" x14ac:dyDescent="0.5">
      <c r="C2182" t="s">
        <v>4698</v>
      </c>
    </row>
    <row r="2183" spans="2:5" x14ac:dyDescent="0.5">
      <c r="C2183" t="s">
        <v>4702</v>
      </c>
    </row>
    <row r="2184" spans="2:5" x14ac:dyDescent="0.5">
      <c r="D2184" t="s">
        <v>4703</v>
      </c>
    </row>
    <row r="2185" spans="2:5" x14ac:dyDescent="0.5">
      <c r="E2185" t="s">
        <v>4862</v>
      </c>
    </row>
    <row r="2186" spans="2:5" x14ac:dyDescent="0.5">
      <c r="E2186" t="s">
        <v>4705</v>
      </c>
    </row>
    <row r="2187" spans="2:5" x14ac:dyDescent="0.5">
      <c r="D2187" t="s">
        <v>4581</v>
      </c>
    </row>
    <row r="2188" spans="2:5" x14ac:dyDescent="0.5">
      <c r="C2188" t="s">
        <v>4581</v>
      </c>
    </row>
    <row r="2190" spans="2:5" x14ac:dyDescent="0.5">
      <c r="C2190" t="s">
        <v>4708</v>
      </c>
    </row>
    <row r="2191" spans="2:5" x14ac:dyDescent="0.5">
      <c r="D2191" t="s">
        <v>5624</v>
      </c>
    </row>
    <row r="2192" spans="2:5" x14ac:dyDescent="0.5">
      <c r="D2192" t="s">
        <v>5625</v>
      </c>
    </row>
    <row r="2193" spans="3:4" x14ac:dyDescent="0.5">
      <c r="D2193" t="s">
        <v>5626</v>
      </c>
    </row>
    <row r="2194" spans="3:4" x14ac:dyDescent="0.5">
      <c r="D2194" t="s">
        <v>5627</v>
      </c>
    </row>
    <row r="2195" spans="3:4" x14ac:dyDescent="0.5">
      <c r="D2195" t="s">
        <v>5628</v>
      </c>
    </row>
    <row r="2197" spans="3:4" x14ac:dyDescent="0.5">
      <c r="C2197" t="s">
        <v>4581</v>
      </c>
    </row>
    <row r="2198" spans="3:4" x14ac:dyDescent="0.5">
      <c r="C2198" t="s">
        <v>4714</v>
      </c>
    </row>
    <row r="2199" spans="3:4" x14ac:dyDescent="0.5">
      <c r="D2199" t="s">
        <v>5629</v>
      </c>
    </row>
    <row r="2200" spans="3:4" x14ac:dyDescent="0.5">
      <c r="D2200" t="s">
        <v>5630</v>
      </c>
    </row>
    <row r="2201" spans="3:4" x14ac:dyDescent="0.5">
      <c r="D2201" t="s">
        <v>5631</v>
      </c>
    </row>
    <row r="2202" spans="3:4" x14ac:dyDescent="0.5">
      <c r="C2202" t="s">
        <v>4581</v>
      </c>
    </row>
    <row r="2204" spans="3:4" x14ac:dyDescent="0.5">
      <c r="C2204" t="s">
        <v>4895</v>
      </c>
    </row>
    <row r="2205" spans="3:4" x14ac:dyDescent="0.5">
      <c r="C2205" t="s">
        <v>5538</v>
      </c>
    </row>
    <row r="2207" spans="3:4" x14ac:dyDescent="0.5">
      <c r="C2207" t="s">
        <v>4736</v>
      </c>
    </row>
    <row r="2209" spans="1:4" x14ac:dyDescent="0.5">
      <c r="C2209" t="s">
        <v>4735</v>
      </c>
    </row>
    <row r="2210" spans="1:4" x14ac:dyDescent="0.5">
      <c r="C2210" t="s">
        <v>5592</v>
      </c>
    </row>
    <row r="2211" spans="1:4" x14ac:dyDescent="0.5">
      <c r="B2211" t="s">
        <v>4581</v>
      </c>
    </row>
    <row r="2213" spans="1:4" x14ac:dyDescent="0.5">
      <c r="B2213" t="s">
        <v>5632</v>
      </c>
    </row>
    <row r="2214" spans="1:4" x14ac:dyDescent="0.5">
      <c r="C2214" t="s">
        <v>5599</v>
      </c>
    </row>
    <row r="2215" spans="1:4" x14ac:dyDescent="0.5">
      <c r="C2215" t="s">
        <v>5282</v>
      </c>
    </row>
    <row r="2217" spans="1:4" x14ac:dyDescent="0.5">
      <c r="C2217" t="s">
        <v>5633</v>
      </c>
    </row>
    <row r="2219" spans="1:4" x14ac:dyDescent="0.5">
      <c r="C2219" t="s">
        <v>4708</v>
      </c>
    </row>
    <row r="2220" spans="1:4" x14ac:dyDescent="0.5">
      <c r="D2220" t="s">
        <v>5634</v>
      </c>
    </row>
    <row r="2221" spans="1:4" x14ac:dyDescent="0.5">
      <c r="C2221" t="s">
        <v>4665</v>
      </c>
      <c r="D2221" t="s">
        <v>5635</v>
      </c>
    </row>
    <row r="2222" spans="1:4" x14ac:dyDescent="0.5">
      <c r="A2222" t="s">
        <v>4595</v>
      </c>
    </row>
    <row r="2223" spans="1:4" x14ac:dyDescent="0.5">
      <c r="A2223" t="s">
        <v>4596</v>
      </c>
    </row>
    <row r="2224" spans="1:4" x14ac:dyDescent="0.5">
      <c r="A2224" t="s">
        <v>4597</v>
      </c>
    </row>
    <row r="2225" spans="1:4" x14ac:dyDescent="0.5">
      <c r="A2225" t="s">
        <v>4598</v>
      </c>
    </row>
    <row r="2226" spans="1:4" x14ac:dyDescent="0.5">
      <c r="A2226" t="s">
        <v>4599</v>
      </c>
    </row>
    <row r="2227" spans="1:4" x14ac:dyDescent="0.5">
      <c r="A2227" t="s">
        <v>4600</v>
      </c>
    </row>
    <row r="2228" spans="1:4" x14ac:dyDescent="0.5">
      <c r="A2228" t="s">
        <v>4601</v>
      </c>
    </row>
    <row r="2229" spans="1:4" x14ac:dyDescent="0.5">
      <c r="A2229" t="s">
        <v>4602</v>
      </c>
    </row>
    <row r="2230" spans="1:4" x14ac:dyDescent="0.5">
      <c r="A2230" t="s">
        <v>4603</v>
      </c>
    </row>
    <row r="2231" spans="1:4" x14ac:dyDescent="0.5">
      <c r="C2231" t="s">
        <v>4581</v>
      </c>
    </row>
    <row r="2232" spans="1:4" x14ac:dyDescent="0.5">
      <c r="C2232" t="s">
        <v>4714</v>
      </c>
    </row>
    <row r="2233" spans="1:4" x14ac:dyDescent="0.5">
      <c r="C2233" t="s">
        <v>4665</v>
      </c>
      <c r="D2233" t="s">
        <v>5636</v>
      </c>
    </row>
    <row r="2234" spans="1:4" x14ac:dyDescent="0.5">
      <c r="D2234" t="s">
        <v>5637</v>
      </c>
    </row>
    <row r="2235" spans="1:4" x14ac:dyDescent="0.5">
      <c r="A2235" t="s">
        <v>4604</v>
      </c>
    </row>
    <row r="2236" spans="1:4" x14ac:dyDescent="0.5">
      <c r="C2236" t="s">
        <v>4581</v>
      </c>
    </row>
    <row r="2238" spans="1:4" x14ac:dyDescent="0.5">
      <c r="C2238" t="s">
        <v>4895</v>
      </c>
    </row>
    <row r="2239" spans="1:4" x14ac:dyDescent="0.5">
      <c r="C2239" t="s">
        <v>5591</v>
      </c>
    </row>
    <row r="2240" spans="1:4" x14ac:dyDescent="0.5">
      <c r="C2240" t="s">
        <v>5538</v>
      </c>
    </row>
    <row r="2242" spans="1:4" x14ac:dyDescent="0.5">
      <c r="C2242" t="s">
        <v>4736</v>
      </c>
    </row>
    <row r="2244" spans="1:4" x14ac:dyDescent="0.5">
      <c r="C2244" t="s">
        <v>4735</v>
      </c>
    </row>
    <row r="2245" spans="1:4" x14ac:dyDescent="0.5">
      <c r="C2245" t="s">
        <v>5592</v>
      </c>
    </row>
    <row r="2246" spans="1:4" x14ac:dyDescent="0.5">
      <c r="B2246" t="s">
        <v>4581</v>
      </c>
    </row>
    <row r="2248" spans="1:4" x14ac:dyDescent="0.5">
      <c r="B2248" t="s">
        <v>5638</v>
      </c>
    </row>
    <row r="2249" spans="1:4" x14ac:dyDescent="0.5">
      <c r="C2249" t="s">
        <v>5599</v>
      </c>
    </row>
    <row r="2250" spans="1:4" x14ac:dyDescent="0.5">
      <c r="C2250" t="s">
        <v>5282</v>
      </c>
    </row>
    <row r="2252" spans="1:4" x14ac:dyDescent="0.5">
      <c r="C2252" t="s">
        <v>5639</v>
      </c>
    </row>
    <row r="2254" spans="1:4" x14ac:dyDescent="0.5">
      <c r="C2254" t="s">
        <v>4708</v>
      </c>
    </row>
    <row r="2255" spans="1:4" x14ac:dyDescent="0.5">
      <c r="D2255" t="s">
        <v>5640</v>
      </c>
    </row>
    <row r="2256" spans="1:4" x14ac:dyDescent="0.5">
      <c r="A2256" t="s">
        <v>4605</v>
      </c>
    </row>
    <row r="2257" spans="1:4" x14ac:dyDescent="0.5">
      <c r="A2257" t="s">
        <v>4606</v>
      </c>
    </row>
    <row r="2258" spans="1:4" x14ac:dyDescent="0.5">
      <c r="A2258" t="s">
        <v>4607</v>
      </c>
    </row>
    <row r="2259" spans="1:4" x14ac:dyDescent="0.5">
      <c r="A2259" t="s">
        <v>4608</v>
      </c>
    </row>
    <row r="2260" spans="1:4" x14ac:dyDescent="0.5">
      <c r="A2260" t="s">
        <v>4609</v>
      </c>
    </row>
    <row r="2261" spans="1:4" x14ac:dyDescent="0.5">
      <c r="A2261" t="s">
        <v>4610</v>
      </c>
    </row>
    <row r="2262" spans="1:4" x14ac:dyDescent="0.5">
      <c r="A2262" t="s">
        <v>4611</v>
      </c>
    </row>
    <row r="2263" spans="1:4" x14ac:dyDescent="0.5">
      <c r="A2263" t="s">
        <v>4612</v>
      </c>
    </row>
    <row r="2264" spans="1:4" x14ac:dyDescent="0.5">
      <c r="A2264" t="s">
        <v>4613</v>
      </c>
    </row>
    <row r="2265" spans="1:4" x14ac:dyDescent="0.5">
      <c r="A2265" t="s">
        <v>4614</v>
      </c>
    </row>
    <row r="2266" spans="1:4" x14ac:dyDescent="0.5">
      <c r="A2266" t="s">
        <v>4615</v>
      </c>
    </row>
    <row r="2267" spans="1:4" x14ac:dyDescent="0.5">
      <c r="D2267" t="s">
        <v>5641</v>
      </c>
    </row>
    <row r="2268" spans="1:4" x14ac:dyDescent="0.5">
      <c r="C2268" t="s">
        <v>4581</v>
      </c>
    </row>
    <row r="2269" spans="1:4" x14ac:dyDescent="0.5">
      <c r="C2269" t="s">
        <v>4714</v>
      </c>
    </row>
    <row r="2270" spans="1:4" x14ac:dyDescent="0.5">
      <c r="D2270" t="s">
        <v>5642</v>
      </c>
    </row>
    <row r="2271" spans="1:4" x14ac:dyDescent="0.5">
      <c r="D2271" t="s">
        <v>5643</v>
      </c>
    </row>
    <row r="2272" spans="1:4" x14ac:dyDescent="0.5">
      <c r="A2272" t="s">
        <v>4616</v>
      </c>
    </row>
    <row r="2273" spans="2:3" x14ac:dyDescent="0.5">
      <c r="C2273" t="s">
        <v>4581</v>
      </c>
    </row>
    <row r="2275" spans="2:3" x14ac:dyDescent="0.5">
      <c r="C2275" t="s">
        <v>4895</v>
      </c>
    </row>
    <row r="2276" spans="2:3" x14ac:dyDescent="0.5">
      <c r="C2276" t="s">
        <v>5538</v>
      </c>
    </row>
    <row r="2278" spans="2:3" x14ac:dyDescent="0.5">
      <c r="C2278" t="s">
        <v>5644</v>
      </c>
    </row>
    <row r="2279" spans="2:3" x14ac:dyDescent="0.5">
      <c r="C2279" t="s">
        <v>5645</v>
      </c>
    </row>
    <row r="2280" spans="2:3" x14ac:dyDescent="0.5">
      <c r="C2280" t="s">
        <v>4726</v>
      </c>
    </row>
    <row r="2282" spans="2:3" x14ac:dyDescent="0.5">
      <c r="C2282" t="s">
        <v>4736</v>
      </c>
    </row>
    <row r="2284" spans="2:3" x14ac:dyDescent="0.5">
      <c r="C2284" t="s">
        <v>4735</v>
      </c>
    </row>
    <row r="2285" spans="2:3" x14ac:dyDescent="0.5">
      <c r="C2285" t="s">
        <v>5592</v>
      </c>
    </row>
    <row r="2286" spans="2:3" x14ac:dyDescent="0.5">
      <c r="B2286" t="s">
        <v>4581</v>
      </c>
    </row>
    <row r="2287" spans="2:3" x14ac:dyDescent="0.5">
      <c r="B2287" t="s">
        <v>5646</v>
      </c>
    </row>
    <row r="2288" spans="2:3" x14ac:dyDescent="0.5">
      <c r="C2288" t="s">
        <v>5599</v>
      </c>
    </row>
    <row r="2289" spans="1:4" x14ac:dyDescent="0.5">
      <c r="C2289" t="s">
        <v>5282</v>
      </c>
    </row>
    <row r="2291" spans="1:4" x14ac:dyDescent="0.5">
      <c r="C2291" t="s">
        <v>5647</v>
      </c>
    </row>
    <row r="2293" spans="1:4" x14ac:dyDescent="0.5">
      <c r="C2293" t="s">
        <v>4708</v>
      </c>
    </row>
    <row r="2294" spans="1:4" x14ac:dyDescent="0.5">
      <c r="D2294" t="s">
        <v>5648</v>
      </c>
    </row>
    <row r="2295" spans="1:4" x14ac:dyDescent="0.5">
      <c r="D2295" t="s">
        <v>5649</v>
      </c>
    </row>
    <row r="2296" spans="1:4" x14ac:dyDescent="0.5">
      <c r="A2296" t="s">
        <v>4617</v>
      </c>
    </row>
    <row r="2297" spans="1:4" x14ac:dyDescent="0.5">
      <c r="A2297" t="s">
        <v>4618</v>
      </c>
    </row>
    <row r="2298" spans="1:4" x14ac:dyDescent="0.5">
      <c r="A2298" t="s">
        <v>4619</v>
      </c>
    </row>
    <row r="2299" spans="1:4" x14ac:dyDescent="0.5">
      <c r="A2299" t="s">
        <v>4620</v>
      </c>
    </row>
    <row r="2300" spans="1:4" x14ac:dyDescent="0.5">
      <c r="A2300" t="s">
        <v>4621</v>
      </c>
    </row>
    <row r="2301" spans="1:4" x14ac:dyDescent="0.5">
      <c r="A2301" t="s">
        <v>4622</v>
      </c>
    </row>
    <row r="2302" spans="1:4" x14ac:dyDescent="0.5">
      <c r="A2302" t="s">
        <v>4623</v>
      </c>
    </row>
    <row r="2303" spans="1:4" x14ac:dyDescent="0.5">
      <c r="A2303" t="s">
        <v>4624</v>
      </c>
    </row>
    <row r="2304" spans="1:4" x14ac:dyDescent="0.5">
      <c r="A2304" t="s">
        <v>4625</v>
      </c>
    </row>
    <row r="2305" spans="1:4" x14ac:dyDescent="0.5">
      <c r="A2305" t="s">
        <v>4626</v>
      </c>
    </row>
    <row r="2306" spans="1:4" x14ac:dyDescent="0.5">
      <c r="C2306" t="s">
        <v>4581</v>
      </c>
    </row>
    <row r="2307" spans="1:4" x14ac:dyDescent="0.5">
      <c r="C2307" t="s">
        <v>4714</v>
      </c>
    </row>
    <row r="2308" spans="1:4" x14ac:dyDescent="0.5">
      <c r="D2308" t="s">
        <v>5650</v>
      </c>
    </row>
    <row r="2309" spans="1:4" x14ac:dyDescent="0.5">
      <c r="A2309" t="s">
        <v>4627</v>
      </c>
    </row>
    <row r="2310" spans="1:4" x14ac:dyDescent="0.5">
      <c r="C2310" t="s">
        <v>4581</v>
      </c>
    </row>
    <row r="2312" spans="1:4" x14ac:dyDescent="0.5">
      <c r="C2312" t="s">
        <v>4895</v>
      </c>
    </row>
    <row r="2313" spans="1:4" x14ac:dyDescent="0.5">
      <c r="C2313" t="s">
        <v>5538</v>
      </c>
    </row>
    <row r="2315" spans="1:4" x14ac:dyDescent="0.5">
      <c r="C2315" t="s">
        <v>4736</v>
      </c>
    </row>
    <row r="2317" spans="1:4" x14ac:dyDescent="0.5">
      <c r="C2317" t="s">
        <v>4735</v>
      </c>
    </row>
    <row r="2318" spans="1:4" x14ac:dyDescent="0.5">
      <c r="C2318" t="s">
        <v>5592</v>
      </c>
    </row>
    <row r="2319" spans="1:4" x14ac:dyDescent="0.5">
      <c r="B2319" t="s">
        <v>4581</v>
      </c>
    </row>
    <row r="2321" spans="2:4" x14ac:dyDescent="0.5">
      <c r="B2321" t="s">
        <v>5651</v>
      </c>
    </row>
    <row r="2322" spans="2:4" x14ac:dyDescent="0.5">
      <c r="C2322" t="s">
        <v>5652</v>
      </c>
    </row>
    <row r="2323" spans="2:4" x14ac:dyDescent="0.5">
      <c r="C2323" t="s">
        <v>5282</v>
      </c>
    </row>
    <row r="2325" spans="2:4" x14ac:dyDescent="0.5">
      <c r="C2325" t="s">
        <v>4698</v>
      </c>
    </row>
    <row r="2326" spans="2:4" x14ac:dyDescent="0.5">
      <c r="C2326" t="s">
        <v>5084</v>
      </c>
    </row>
    <row r="2327" spans="2:4" x14ac:dyDescent="0.5">
      <c r="C2327" t="s">
        <v>5653</v>
      </c>
    </row>
    <row r="2329" spans="2:4" x14ac:dyDescent="0.5">
      <c r="C2329" t="s">
        <v>5654</v>
      </c>
    </row>
    <row r="2331" spans="2:4" x14ac:dyDescent="0.5">
      <c r="C2331" t="s">
        <v>4708</v>
      </c>
    </row>
    <row r="2332" spans="2:4" x14ac:dyDescent="0.5">
      <c r="D2332" t="s">
        <v>5655</v>
      </c>
    </row>
    <row r="2333" spans="2:4" x14ac:dyDescent="0.5">
      <c r="D2333" t="s">
        <v>5656</v>
      </c>
    </row>
    <row r="2334" spans="2:4" x14ac:dyDescent="0.5">
      <c r="D2334" t="s">
        <v>5657</v>
      </c>
    </row>
    <row r="2335" spans="2:4" x14ac:dyDescent="0.5">
      <c r="D2335" t="s">
        <v>5658</v>
      </c>
    </row>
    <row r="2336" spans="2:4" x14ac:dyDescent="0.5">
      <c r="D2336" t="s">
        <v>5659</v>
      </c>
    </row>
    <row r="2337" spans="2:4" x14ac:dyDescent="0.5">
      <c r="D2337" t="s">
        <v>5660</v>
      </c>
    </row>
    <row r="2338" spans="2:4" x14ac:dyDescent="0.5">
      <c r="C2338" t="s">
        <v>4581</v>
      </c>
    </row>
    <row r="2339" spans="2:4" x14ac:dyDescent="0.5">
      <c r="C2339" t="s">
        <v>4714</v>
      </c>
    </row>
    <row r="2340" spans="2:4" x14ac:dyDescent="0.5">
      <c r="D2340" t="s">
        <v>5661</v>
      </c>
    </row>
    <row r="2341" spans="2:4" x14ac:dyDescent="0.5">
      <c r="C2341" t="s">
        <v>4581</v>
      </c>
    </row>
    <row r="2343" spans="2:4" x14ac:dyDescent="0.5">
      <c r="C2343" t="s">
        <v>4895</v>
      </c>
    </row>
    <row r="2344" spans="2:4" x14ac:dyDescent="0.5">
      <c r="C2344" t="s">
        <v>5538</v>
      </c>
    </row>
    <row r="2346" spans="2:4" x14ac:dyDescent="0.5">
      <c r="C2346" t="s">
        <v>4736</v>
      </c>
    </row>
    <row r="2348" spans="2:4" x14ac:dyDescent="0.5">
      <c r="C2348" t="s">
        <v>4735</v>
      </c>
    </row>
    <row r="2349" spans="2:4" x14ac:dyDescent="0.5">
      <c r="C2349" t="s">
        <v>5592</v>
      </c>
    </row>
    <row r="2350" spans="2:4" x14ac:dyDescent="0.5">
      <c r="B2350" t="s">
        <v>4581</v>
      </c>
    </row>
    <row r="2352" spans="2:4" x14ac:dyDescent="0.5">
      <c r="B2352" t="s">
        <v>5662</v>
      </c>
    </row>
    <row r="2353" spans="3:4" x14ac:dyDescent="0.5">
      <c r="C2353" t="s">
        <v>5663</v>
      </c>
    </row>
    <row r="2354" spans="3:4" x14ac:dyDescent="0.5">
      <c r="C2354" t="s">
        <v>5282</v>
      </c>
    </row>
    <row r="2356" spans="3:4" x14ac:dyDescent="0.5">
      <c r="C2356" t="s">
        <v>5664</v>
      </c>
    </row>
    <row r="2358" spans="3:4" x14ac:dyDescent="0.5">
      <c r="C2358" t="s">
        <v>5653</v>
      </c>
    </row>
    <row r="2360" spans="3:4" x14ac:dyDescent="0.5">
      <c r="C2360" t="s">
        <v>5665</v>
      </c>
    </row>
    <row r="2362" spans="3:4" x14ac:dyDescent="0.5">
      <c r="C2362" t="s">
        <v>4708</v>
      </c>
    </row>
    <row r="2363" spans="3:4" x14ac:dyDescent="0.5">
      <c r="D2363" t="s">
        <v>5666</v>
      </c>
    </row>
    <row r="2364" spans="3:4" x14ac:dyDescent="0.5">
      <c r="D2364" t="s">
        <v>5667</v>
      </c>
    </row>
    <row r="2365" spans="3:4" x14ac:dyDescent="0.5">
      <c r="D2365" t="s">
        <v>5668</v>
      </c>
    </row>
    <row r="2366" spans="3:4" x14ac:dyDescent="0.5">
      <c r="D2366" t="s">
        <v>5669</v>
      </c>
    </row>
    <row r="2367" spans="3:4" x14ac:dyDescent="0.5">
      <c r="C2367" t="s">
        <v>4581</v>
      </c>
    </row>
    <row r="2368" spans="3:4" x14ac:dyDescent="0.5">
      <c r="C2368" t="s">
        <v>4714</v>
      </c>
    </row>
    <row r="2369" spans="2:4" x14ac:dyDescent="0.5">
      <c r="D2369" t="s">
        <v>5670</v>
      </c>
    </row>
    <row r="2370" spans="2:4" x14ac:dyDescent="0.5">
      <c r="C2370" t="s">
        <v>4581</v>
      </c>
    </row>
    <row r="2372" spans="2:4" x14ac:dyDescent="0.5">
      <c r="C2372" t="s">
        <v>5591</v>
      </c>
    </row>
    <row r="2374" spans="2:4" x14ac:dyDescent="0.5">
      <c r="C2374" t="s">
        <v>4895</v>
      </c>
    </row>
    <row r="2375" spans="2:4" x14ac:dyDescent="0.5">
      <c r="C2375" t="s">
        <v>5538</v>
      </c>
    </row>
    <row r="2377" spans="2:4" x14ac:dyDescent="0.5">
      <c r="C2377" t="s">
        <v>4736</v>
      </c>
    </row>
    <row r="2379" spans="2:4" x14ac:dyDescent="0.5">
      <c r="C2379" t="s">
        <v>4735</v>
      </c>
    </row>
    <row r="2380" spans="2:4" x14ac:dyDescent="0.5">
      <c r="C2380" t="s">
        <v>5592</v>
      </c>
    </row>
    <row r="2381" spans="2:4" x14ac:dyDescent="0.5">
      <c r="B2381" t="s">
        <v>4581</v>
      </c>
    </row>
    <row r="2383" spans="2:4" x14ac:dyDescent="0.5">
      <c r="B2383" t="s">
        <v>5671</v>
      </c>
    </row>
    <row r="2384" spans="2:4" x14ac:dyDescent="0.5">
      <c r="C2384" t="s">
        <v>5663</v>
      </c>
    </row>
    <row r="2385" spans="3:4" x14ac:dyDescent="0.5">
      <c r="C2385" t="s">
        <v>5282</v>
      </c>
    </row>
    <row r="2387" spans="3:4" x14ac:dyDescent="0.5">
      <c r="C2387" t="s">
        <v>4698</v>
      </c>
    </row>
    <row r="2388" spans="3:4" x14ac:dyDescent="0.5">
      <c r="C2388" t="s">
        <v>5084</v>
      </c>
    </row>
    <row r="2389" spans="3:4" x14ac:dyDescent="0.5">
      <c r="C2389" t="s">
        <v>5664</v>
      </c>
    </row>
    <row r="2391" spans="3:4" x14ac:dyDescent="0.5">
      <c r="C2391" t="s">
        <v>5653</v>
      </c>
    </row>
    <row r="2393" spans="3:4" x14ac:dyDescent="0.5">
      <c r="C2393" t="s">
        <v>5672</v>
      </c>
    </row>
    <row r="2395" spans="3:4" x14ac:dyDescent="0.5">
      <c r="C2395" t="s">
        <v>4708</v>
      </c>
    </row>
    <row r="2396" spans="3:4" x14ac:dyDescent="0.5">
      <c r="D2396" t="s">
        <v>5673</v>
      </c>
    </row>
    <row r="2397" spans="3:4" x14ac:dyDescent="0.5">
      <c r="C2397" t="s">
        <v>4581</v>
      </c>
    </row>
    <row r="2398" spans="3:4" x14ac:dyDescent="0.5">
      <c r="C2398" t="s">
        <v>4714</v>
      </c>
    </row>
    <row r="2399" spans="3:4" x14ac:dyDescent="0.5">
      <c r="D2399" t="s">
        <v>5674</v>
      </c>
    </row>
    <row r="2401" spans="1:3" x14ac:dyDescent="0.5">
      <c r="C2401" t="s">
        <v>4581</v>
      </c>
    </row>
    <row r="2404" spans="1:3" x14ac:dyDescent="0.5">
      <c r="C2404" t="s">
        <v>5675</v>
      </c>
    </row>
    <row r="2406" spans="1:3" x14ac:dyDescent="0.5">
      <c r="C2406" t="s">
        <v>4895</v>
      </c>
    </row>
    <row r="2407" spans="1:3" x14ac:dyDescent="0.5">
      <c r="C2407" t="s">
        <v>5538</v>
      </c>
    </row>
    <row r="2409" spans="1:3" x14ac:dyDescent="0.5">
      <c r="C2409" t="s">
        <v>4736</v>
      </c>
    </row>
    <row r="2411" spans="1:3" x14ac:dyDescent="0.5">
      <c r="C2411" t="s">
        <v>4735</v>
      </c>
    </row>
    <row r="2412" spans="1:3" x14ac:dyDescent="0.5">
      <c r="C2412" t="s">
        <v>5592</v>
      </c>
    </row>
    <row r="2413" spans="1:3" x14ac:dyDescent="0.5">
      <c r="B2413" t="s">
        <v>4581</v>
      </c>
    </row>
    <row r="2414" spans="1:3" x14ac:dyDescent="0.5">
      <c r="A2414" t="s">
        <v>4581</v>
      </c>
    </row>
    <row r="2416" spans="1:3" x14ac:dyDescent="0.5">
      <c r="A2416" t="s">
        <v>4628</v>
      </c>
    </row>
    <row r="2417" spans="2:4" x14ac:dyDescent="0.5">
      <c r="B2417" t="s">
        <v>4698</v>
      </c>
    </row>
    <row r="2418" spans="2:4" x14ac:dyDescent="0.5">
      <c r="C2418" t="s">
        <v>4699</v>
      </c>
    </row>
    <row r="2419" spans="2:4" x14ac:dyDescent="0.5">
      <c r="B2419" t="s">
        <v>5676</v>
      </c>
    </row>
    <row r="2421" spans="2:4" x14ac:dyDescent="0.5">
      <c r="B2421" t="s">
        <v>5677</v>
      </c>
    </row>
    <row r="2422" spans="2:4" x14ac:dyDescent="0.5">
      <c r="C2422" t="s">
        <v>5678</v>
      </c>
    </row>
    <row r="2424" spans="2:4" x14ac:dyDescent="0.5">
      <c r="C2424" t="s">
        <v>5679</v>
      </c>
    </row>
    <row r="2426" spans="2:4" x14ac:dyDescent="0.5">
      <c r="C2426" t="s">
        <v>4708</v>
      </c>
    </row>
    <row r="2427" spans="2:4" x14ac:dyDescent="0.5">
      <c r="D2427" t="s">
        <v>5680</v>
      </c>
    </row>
    <row r="2428" spans="2:4" x14ac:dyDescent="0.5">
      <c r="D2428" t="s">
        <v>5681</v>
      </c>
    </row>
    <row r="2429" spans="2:4" x14ac:dyDescent="0.5">
      <c r="D2429" t="s">
        <v>5682</v>
      </c>
    </row>
    <row r="2430" spans="2:4" x14ac:dyDescent="0.5">
      <c r="D2430" t="s">
        <v>5683</v>
      </c>
    </row>
    <row r="2431" spans="2:4" x14ac:dyDescent="0.5">
      <c r="C2431" t="s">
        <v>4581</v>
      </c>
    </row>
    <row r="2432" spans="2:4" x14ac:dyDescent="0.5">
      <c r="C2432" t="s">
        <v>4714</v>
      </c>
    </row>
    <row r="2433" spans="2:4" x14ac:dyDescent="0.5">
      <c r="D2433" t="s">
        <v>5684</v>
      </c>
    </row>
    <row r="2434" spans="2:4" x14ac:dyDescent="0.5">
      <c r="D2434" t="s">
        <v>5685</v>
      </c>
    </row>
    <row r="2435" spans="2:4" x14ac:dyDescent="0.5">
      <c r="D2435" t="s">
        <v>5686</v>
      </c>
    </row>
    <row r="2436" spans="2:4" x14ac:dyDescent="0.5">
      <c r="C2436" t="s">
        <v>4581</v>
      </c>
    </row>
    <row r="2437" spans="2:4" x14ac:dyDescent="0.5">
      <c r="C2437" t="s">
        <v>5687</v>
      </c>
    </row>
    <row r="2439" spans="2:4" x14ac:dyDescent="0.5">
      <c r="C2439" t="s">
        <v>5688</v>
      </c>
    </row>
    <row r="2440" spans="2:4" x14ac:dyDescent="0.5">
      <c r="C2440" t="s">
        <v>5689</v>
      </c>
    </row>
    <row r="2441" spans="2:4" x14ac:dyDescent="0.5">
      <c r="C2441" t="s">
        <v>5297</v>
      </c>
    </row>
    <row r="2443" spans="2:4" x14ac:dyDescent="0.5">
      <c r="C2443" t="s">
        <v>5591</v>
      </c>
    </row>
    <row r="2444" spans="2:4" x14ac:dyDescent="0.5">
      <c r="C2444" t="s">
        <v>5538</v>
      </c>
    </row>
    <row r="2446" spans="2:4" x14ac:dyDescent="0.5">
      <c r="C2446" t="s">
        <v>4735</v>
      </c>
    </row>
    <row r="2447" spans="2:4" x14ac:dyDescent="0.5">
      <c r="B2447" t="s">
        <v>4581</v>
      </c>
    </row>
    <row r="2448" spans="2:4" x14ac:dyDescent="0.5">
      <c r="B2448" t="s">
        <v>5690</v>
      </c>
    </row>
    <row r="2449" spans="3:4" x14ac:dyDescent="0.5">
      <c r="C2449" t="s">
        <v>5691</v>
      </c>
    </row>
    <row r="2451" spans="3:4" x14ac:dyDescent="0.5">
      <c r="C2451" t="s">
        <v>5692</v>
      </c>
    </row>
    <row r="2453" spans="3:4" x14ac:dyDescent="0.5">
      <c r="C2453" t="s">
        <v>4708</v>
      </c>
    </row>
    <row r="2454" spans="3:4" x14ac:dyDescent="0.5">
      <c r="D2454" t="s">
        <v>5693</v>
      </c>
    </row>
    <row r="2455" spans="3:4" x14ac:dyDescent="0.5">
      <c r="D2455" t="s">
        <v>5694</v>
      </c>
    </row>
    <row r="2456" spans="3:4" x14ac:dyDescent="0.5">
      <c r="D2456" t="s">
        <v>5695</v>
      </c>
    </row>
    <row r="2457" spans="3:4" x14ac:dyDescent="0.5">
      <c r="D2457" t="s">
        <v>5696</v>
      </c>
    </row>
    <row r="2458" spans="3:4" x14ac:dyDescent="0.5">
      <c r="D2458" t="s">
        <v>5697</v>
      </c>
    </row>
    <row r="2459" spans="3:4" x14ac:dyDescent="0.5">
      <c r="D2459" t="s">
        <v>5698</v>
      </c>
    </row>
    <row r="2460" spans="3:4" x14ac:dyDescent="0.5">
      <c r="D2460" t="s">
        <v>5699</v>
      </c>
    </row>
    <row r="2461" spans="3:4" x14ac:dyDescent="0.5">
      <c r="D2461" t="s">
        <v>5700</v>
      </c>
    </row>
    <row r="2462" spans="3:4" x14ac:dyDescent="0.5">
      <c r="D2462" t="s">
        <v>5701</v>
      </c>
    </row>
    <row r="2463" spans="3:4" x14ac:dyDescent="0.5">
      <c r="D2463" t="s">
        <v>5702</v>
      </c>
    </row>
    <row r="2464" spans="3:4" x14ac:dyDescent="0.5">
      <c r="D2464" t="s">
        <v>5703</v>
      </c>
    </row>
    <row r="2465" spans="3:4" x14ac:dyDescent="0.5">
      <c r="D2465" t="s">
        <v>5704</v>
      </c>
    </row>
    <row r="2466" spans="3:4" x14ac:dyDescent="0.5">
      <c r="D2466" t="s">
        <v>5705</v>
      </c>
    </row>
    <row r="2467" spans="3:4" x14ac:dyDescent="0.5">
      <c r="D2467" t="s">
        <v>5706</v>
      </c>
    </row>
    <row r="2468" spans="3:4" x14ac:dyDescent="0.5">
      <c r="D2468" t="s">
        <v>5707</v>
      </c>
    </row>
    <row r="2469" spans="3:4" x14ac:dyDescent="0.5">
      <c r="C2469" t="s">
        <v>4581</v>
      </c>
    </row>
    <row r="2470" spans="3:4" x14ac:dyDescent="0.5">
      <c r="C2470" t="s">
        <v>4714</v>
      </c>
    </row>
    <row r="2471" spans="3:4" x14ac:dyDescent="0.5">
      <c r="D2471" t="s">
        <v>5708</v>
      </c>
    </row>
    <row r="2472" spans="3:4" x14ac:dyDescent="0.5">
      <c r="D2472" t="s">
        <v>5709</v>
      </c>
    </row>
    <row r="2473" spans="3:4" x14ac:dyDescent="0.5">
      <c r="D2473" t="s">
        <v>5710</v>
      </c>
    </row>
    <row r="2474" spans="3:4" x14ac:dyDescent="0.5">
      <c r="D2474" t="s">
        <v>5711</v>
      </c>
    </row>
    <row r="2475" spans="3:4" x14ac:dyDescent="0.5">
      <c r="D2475" t="s">
        <v>5712</v>
      </c>
    </row>
    <row r="2476" spans="3:4" x14ac:dyDescent="0.5">
      <c r="D2476" t="s">
        <v>5713</v>
      </c>
    </row>
    <row r="2477" spans="3:4" x14ac:dyDescent="0.5">
      <c r="D2477" t="s">
        <v>5714</v>
      </c>
    </row>
    <row r="2478" spans="3:4" x14ac:dyDescent="0.5">
      <c r="D2478" t="s">
        <v>5715</v>
      </c>
    </row>
    <row r="2479" spans="3:4" x14ac:dyDescent="0.5">
      <c r="D2479" t="s">
        <v>5716</v>
      </c>
    </row>
    <row r="2480" spans="3:4" x14ac:dyDescent="0.5">
      <c r="D2480" t="s">
        <v>5717</v>
      </c>
    </row>
    <row r="2481" spans="3:3" x14ac:dyDescent="0.5">
      <c r="C2481" t="s">
        <v>4581</v>
      </c>
    </row>
    <row r="2483" spans="3:3" x14ac:dyDescent="0.5">
      <c r="C2483" t="s">
        <v>5687</v>
      </c>
    </row>
    <row r="2485" spans="3:3" x14ac:dyDescent="0.5">
      <c r="C2485" t="s">
        <v>5688</v>
      </c>
    </row>
    <row r="2486" spans="3:3" x14ac:dyDescent="0.5">
      <c r="C2486" t="s">
        <v>5689</v>
      </c>
    </row>
    <row r="2487" spans="3:3" x14ac:dyDescent="0.5">
      <c r="C2487" t="s">
        <v>5297</v>
      </c>
    </row>
    <row r="2489" spans="3:3" x14ac:dyDescent="0.5">
      <c r="C2489" t="s">
        <v>5591</v>
      </c>
    </row>
    <row r="2490" spans="3:3" x14ac:dyDescent="0.5">
      <c r="C2490" t="s">
        <v>5538</v>
      </c>
    </row>
    <row r="2492" spans="3:3" x14ac:dyDescent="0.5">
      <c r="C2492" t="s">
        <v>4736</v>
      </c>
    </row>
    <row r="2493" spans="3:3" x14ac:dyDescent="0.5">
      <c r="C2493" t="s">
        <v>4737</v>
      </c>
    </row>
    <row r="2495" spans="3:3" x14ac:dyDescent="0.5">
      <c r="C2495" t="s">
        <v>4735</v>
      </c>
    </row>
    <row r="2497" spans="2:4" x14ac:dyDescent="0.5">
      <c r="C2497" t="s">
        <v>5012</v>
      </c>
    </row>
    <row r="2498" spans="2:4" x14ac:dyDescent="0.5">
      <c r="C2498" t="s">
        <v>5718</v>
      </c>
    </row>
    <row r="2499" spans="2:4" x14ac:dyDescent="0.5">
      <c r="C2499" t="s">
        <v>4803</v>
      </c>
    </row>
    <row r="2501" spans="2:4" x14ac:dyDescent="0.5">
      <c r="C2501" t="s">
        <v>5186</v>
      </c>
    </row>
    <row r="2502" spans="2:4" x14ac:dyDescent="0.5">
      <c r="C2502" t="s">
        <v>5719</v>
      </c>
    </row>
    <row r="2503" spans="2:4" x14ac:dyDescent="0.5">
      <c r="C2503" t="s">
        <v>5720</v>
      </c>
    </row>
    <row r="2504" spans="2:4" x14ac:dyDescent="0.5">
      <c r="B2504" t="s">
        <v>4581</v>
      </c>
    </row>
    <row r="2505" spans="2:4" x14ac:dyDescent="0.5">
      <c r="B2505" t="s">
        <v>5721</v>
      </c>
    </row>
    <row r="2506" spans="2:4" x14ac:dyDescent="0.5">
      <c r="C2506" t="s">
        <v>5722</v>
      </c>
    </row>
    <row r="2508" spans="2:4" x14ac:dyDescent="0.5">
      <c r="C2508" t="s">
        <v>5723</v>
      </c>
    </row>
    <row r="2510" spans="2:4" x14ac:dyDescent="0.5">
      <c r="C2510" t="s">
        <v>4708</v>
      </c>
    </row>
    <row r="2511" spans="2:4" x14ac:dyDescent="0.5">
      <c r="D2511" t="s">
        <v>5724</v>
      </c>
    </row>
    <row r="2512" spans="2:4" x14ac:dyDescent="0.5">
      <c r="D2512" t="s">
        <v>5725</v>
      </c>
    </row>
    <row r="2513" spans="3:4" x14ac:dyDescent="0.5">
      <c r="D2513" t="s">
        <v>5726</v>
      </c>
    </row>
    <row r="2514" spans="3:4" x14ac:dyDescent="0.5">
      <c r="D2514" t="s">
        <v>5727</v>
      </c>
    </row>
    <row r="2515" spans="3:4" x14ac:dyDescent="0.5">
      <c r="C2515" t="s">
        <v>4581</v>
      </c>
    </row>
    <row r="2516" spans="3:4" x14ac:dyDescent="0.5">
      <c r="C2516" t="s">
        <v>4714</v>
      </c>
    </row>
    <row r="2517" spans="3:4" x14ac:dyDescent="0.5">
      <c r="D2517" t="s">
        <v>5728</v>
      </c>
    </row>
    <row r="2518" spans="3:4" x14ac:dyDescent="0.5">
      <c r="D2518" t="s">
        <v>5729</v>
      </c>
    </row>
    <row r="2519" spans="3:4" x14ac:dyDescent="0.5">
      <c r="D2519" t="s">
        <v>5730</v>
      </c>
    </row>
    <row r="2520" spans="3:4" x14ac:dyDescent="0.5">
      <c r="C2520" t="s">
        <v>4581</v>
      </c>
    </row>
    <row r="2521" spans="3:4" x14ac:dyDescent="0.5">
      <c r="C2521" t="s">
        <v>5687</v>
      </c>
    </row>
    <row r="2523" spans="3:4" x14ac:dyDescent="0.5">
      <c r="C2523" t="s">
        <v>5688</v>
      </c>
    </row>
    <row r="2524" spans="3:4" x14ac:dyDescent="0.5">
      <c r="C2524" t="s">
        <v>5689</v>
      </c>
    </row>
    <row r="2525" spans="3:4" x14ac:dyDescent="0.5">
      <c r="C2525" t="s">
        <v>5297</v>
      </c>
    </row>
    <row r="2527" spans="3:4" x14ac:dyDescent="0.5">
      <c r="C2527" t="s">
        <v>5591</v>
      </c>
    </row>
    <row r="2528" spans="3:4" x14ac:dyDescent="0.5">
      <c r="C2528" t="s">
        <v>5538</v>
      </c>
    </row>
    <row r="2530" spans="2:4" x14ac:dyDescent="0.5">
      <c r="C2530" t="s">
        <v>4735</v>
      </c>
    </row>
    <row r="2531" spans="2:4" x14ac:dyDescent="0.5">
      <c r="B2531" t="s">
        <v>4581</v>
      </c>
    </row>
    <row r="2532" spans="2:4" x14ac:dyDescent="0.5">
      <c r="B2532" t="s">
        <v>5731</v>
      </c>
    </row>
    <row r="2533" spans="2:4" x14ac:dyDescent="0.5">
      <c r="C2533" t="s">
        <v>5732</v>
      </c>
    </row>
    <row r="2535" spans="2:4" x14ac:dyDescent="0.5">
      <c r="C2535" t="s">
        <v>5733</v>
      </c>
    </row>
    <row r="2537" spans="2:4" x14ac:dyDescent="0.5">
      <c r="C2537" t="s">
        <v>4708</v>
      </c>
    </row>
    <row r="2538" spans="2:4" x14ac:dyDescent="0.5">
      <c r="D2538" t="s">
        <v>5734</v>
      </c>
    </row>
    <row r="2539" spans="2:4" x14ac:dyDescent="0.5">
      <c r="D2539" t="s">
        <v>5735</v>
      </c>
    </row>
    <row r="2540" spans="2:4" x14ac:dyDescent="0.5">
      <c r="D2540" t="s">
        <v>5736</v>
      </c>
    </row>
    <row r="2541" spans="2:4" x14ac:dyDescent="0.5">
      <c r="D2541" t="s">
        <v>5737</v>
      </c>
    </row>
    <row r="2542" spans="2:4" x14ac:dyDescent="0.5">
      <c r="D2542" t="s">
        <v>5738</v>
      </c>
    </row>
    <row r="2543" spans="2:4" x14ac:dyDescent="0.5">
      <c r="D2543" t="s">
        <v>5739</v>
      </c>
    </row>
    <row r="2544" spans="2:4" x14ac:dyDescent="0.5">
      <c r="D2544" t="s">
        <v>5740</v>
      </c>
    </row>
    <row r="2545" spans="3:4" x14ac:dyDescent="0.5">
      <c r="D2545" t="s">
        <v>5741</v>
      </c>
    </row>
    <row r="2546" spans="3:4" x14ac:dyDescent="0.5">
      <c r="D2546" t="s">
        <v>5742</v>
      </c>
    </row>
    <row r="2547" spans="3:4" x14ac:dyDescent="0.5">
      <c r="C2547" t="s">
        <v>4581</v>
      </c>
    </row>
    <row r="2548" spans="3:4" x14ac:dyDescent="0.5">
      <c r="C2548" t="s">
        <v>4714</v>
      </c>
    </row>
    <row r="2549" spans="3:4" x14ac:dyDescent="0.5">
      <c r="D2549" t="s">
        <v>5743</v>
      </c>
    </row>
    <row r="2550" spans="3:4" x14ac:dyDescent="0.5">
      <c r="D2550" t="s">
        <v>5744</v>
      </c>
    </row>
    <row r="2551" spans="3:4" x14ac:dyDescent="0.5">
      <c r="D2551" t="s">
        <v>5745</v>
      </c>
    </row>
    <row r="2552" spans="3:4" x14ac:dyDescent="0.5">
      <c r="C2552" t="s">
        <v>4581</v>
      </c>
    </row>
    <row r="2553" spans="3:4" x14ac:dyDescent="0.5">
      <c r="C2553" t="s">
        <v>5687</v>
      </c>
    </row>
    <row r="2555" spans="3:4" x14ac:dyDescent="0.5">
      <c r="C2555" t="s">
        <v>5688</v>
      </c>
    </row>
    <row r="2556" spans="3:4" x14ac:dyDescent="0.5">
      <c r="C2556" t="s">
        <v>5689</v>
      </c>
    </row>
    <row r="2557" spans="3:4" x14ac:dyDescent="0.5">
      <c r="C2557" t="s">
        <v>5297</v>
      </c>
    </row>
    <row r="2559" spans="3:4" x14ac:dyDescent="0.5">
      <c r="C2559" t="s">
        <v>5591</v>
      </c>
    </row>
    <row r="2560" spans="3:4" x14ac:dyDescent="0.5">
      <c r="C2560" t="s">
        <v>5538</v>
      </c>
    </row>
    <row r="2562" spans="2:5" x14ac:dyDescent="0.5">
      <c r="C2562" t="s">
        <v>4735</v>
      </c>
    </row>
    <row r="2563" spans="2:5" x14ac:dyDescent="0.5">
      <c r="B2563" t="s">
        <v>4581</v>
      </c>
    </row>
    <row r="2564" spans="2:5" x14ac:dyDescent="0.5">
      <c r="B2564" t="s">
        <v>5746</v>
      </c>
    </row>
    <row r="2565" spans="2:5" x14ac:dyDescent="0.5">
      <c r="C2565" t="s">
        <v>5747</v>
      </c>
    </row>
    <row r="2567" spans="2:5" x14ac:dyDescent="0.5">
      <c r="C2567" t="s">
        <v>5748</v>
      </c>
    </row>
    <row r="2569" spans="2:5" x14ac:dyDescent="0.5">
      <c r="C2569" t="s">
        <v>4698</v>
      </c>
    </row>
    <row r="2570" spans="2:5" x14ac:dyDescent="0.5">
      <c r="C2570" t="s">
        <v>4702</v>
      </c>
    </row>
    <row r="2571" spans="2:5" x14ac:dyDescent="0.5">
      <c r="D2571" t="s">
        <v>4703</v>
      </c>
    </row>
    <row r="2572" spans="2:5" x14ac:dyDescent="0.5">
      <c r="E2572" t="s">
        <v>4739</v>
      </c>
    </row>
    <row r="2573" spans="2:5" x14ac:dyDescent="0.5">
      <c r="E2573" t="s">
        <v>4705</v>
      </c>
    </row>
    <row r="2574" spans="2:5" x14ac:dyDescent="0.5">
      <c r="D2574" t="s">
        <v>4581</v>
      </c>
    </row>
    <row r="2575" spans="2:5" x14ac:dyDescent="0.5">
      <c r="C2575" t="s">
        <v>4581</v>
      </c>
    </row>
    <row r="2577" spans="3:4" x14ac:dyDescent="0.5">
      <c r="C2577" t="s">
        <v>4708</v>
      </c>
    </row>
    <row r="2578" spans="3:4" x14ac:dyDescent="0.5">
      <c r="D2578" t="s">
        <v>5749</v>
      </c>
    </row>
    <row r="2579" spans="3:4" x14ac:dyDescent="0.5">
      <c r="D2579" t="s">
        <v>5750</v>
      </c>
    </row>
    <row r="2580" spans="3:4" x14ac:dyDescent="0.5">
      <c r="D2580" t="s">
        <v>5751</v>
      </c>
    </row>
    <row r="2581" spans="3:4" x14ac:dyDescent="0.5">
      <c r="D2581" t="s">
        <v>5752</v>
      </c>
    </row>
    <row r="2582" spans="3:4" x14ac:dyDescent="0.5">
      <c r="C2582" t="s">
        <v>4581</v>
      </c>
    </row>
    <row r="2583" spans="3:4" x14ac:dyDescent="0.5">
      <c r="C2583" t="s">
        <v>4714</v>
      </c>
    </row>
    <row r="2584" spans="3:4" x14ac:dyDescent="0.5">
      <c r="D2584" t="s">
        <v>5753</v>
      </c>
    </row>
    <row r="2585" spans="3:4" x14ac:dyDescent="0.5">
      <c r="D2585" t="s">
        <v>5754</v>
      </c>
    </row>
    <row r="2586" spans="3:4" x14ac:dyDescent="0.5">
      <c r="D2586" t="s">
        <v>5755</v>
      </c>
    </row>
    <row r="2587" spans="3:4" x14ac:dyDescent="0.5">
      <c r="C2587" t="s">
        <v>4581</v>
      </c>
    </row>
    <row r="2588" spans="3:4" x14ac:dyDescent="0.5">
      <c r="C2588" t="s">
        <v>5687</v>
      </c>
    </row>
    <row r="2590" spans="3:4" x14ac:dyDescent="0.5">
      <c r="C2590" t="s">
        <v>5688</v>
      </c>
    </row>
    <row r="2591" spans="3:4" x14ac:dyDescent="0.5">
      <c r="C2591" t="s">
        <v>5689</v>
      </c>
    </row>
    <row r="2592" spans="3:4" x14ac:dyDescent="0.5">
      <c r="C2592" t="s">
        <v>5297</v>
      </c>
    </row>
    <row r="2594" spans="1:3" x14ac:dyDescent="0.5">
      <c r="C2594" t="s">
        <v>5591</v>
      </c>
    </row>
    <row r="2595" spans="1:3" x14ac:dyDescent="0.5">
      <c r="C2595" t="s">
        <v>5538</v>
      </c>
    </row>
    <row r="2597" spans="1:3" x14ac:dyDescent="0.5">
      <c r="C2597" t="s">
        <v>4735</v>
      </c>
    </row>
    <row r="2599" spans="1:3" x14ac:dyDescent="0.5">
      <c r="C2599" t="s">
        <v>5012</v>
      </c>
    </row>
    <row r="2600" spans="1:3" x14ac:dyDescent="0.5">
      <c r="C2600" t="s">
        <v>5718</v>
      </c>
    </row>
    <row r="2601" spans="1:3" x14ac:dyDescent="0.5">
      <c r="C2601" t="s">
        <v>4803</v>
      </c>
    </row>
    <row r="2603" spans="1:3" x14ac:dyDescent="0.5">
      <c r="C2603" t="s">
        <v>5186</v>
      </c>
    </row>
    <row r="2604" spans="1:3" x14ac:dyDescent="0.5">
      <c r="C2604" t="s">
        <v>5719</v>
      </c>
    </row>
    <row r="2605" spans="1:3" x14ac:dyDescent="0.5">
      <c r="C2605" t="s">
        <v>5720</v>
      </c>
    </row>
    <row r="2606" spans="1:3" x14ac:dyDescent="0.5">
      <c r="B2606" t="s">
        <v>4581</v>
      </c>
    </row>
    <row r="2607" spans="1:3" x14ac:dyDescent="0.5">
      <c r="A2607" t="s">
        <v>4581</v>
      </c>
    </row>
    <row r="2609" spans="1:5" x14ac:dyDescent="0.5">
      <c r="A2609" t="s">
        <v>4629</v>
      </c>
    </row>
    <row r="2610" spans="1:5" x14ac:dyDescent="0.5">
      <c r="B2610" t="s">
        <v>4698</v>
      </c>
    </row>
    <row r="2611" spans="1:5" x14ac:dyDescent="0.5">
      <c r="C2611" t="s">
        <v>4699</v>
      </c>
    </row>
    <row r="2612" spans="1:5" x14ac:dyDescent="0.5">
      <c r="B2612" t="s">
        <v>5493</v>
      </c>
    </row>
    <row r="2614" spans="1:5" x14ac:dyDescent="0.5">
      <c r="B2614" t="s">
        <v>5756</v>
      </c>
    </row>
    <row r="2615" spans="1:5" x14ac:dyDescent="0.5">
      <c r="C2615" t="s">
        <v>5261</v>
      </c>
    </row>
    <row r="2617" spans="1:5" x14ac:dyDescent="0.5">
      <c r="C2617" t="s">
        <v>5757</v>
      </c>
    </row>
    <row r="2618" spans="1:5" x14ac:dyDescent="0.5">
      <c r="C2618" t="s">
        <v>4698</v>
      </c>
    </row>
    <row r="2619" spans="1:5" x14ac:dyDescent="0.5">
      <c r="C2619" t="s">
        <v>4702</v>
      </c>
    </row>
    <row r="2620" spans="1:5" x14ac:dyDescent="0.5">
      <c r="D2620" t="s">
        <v>4703</v>
      </c>
    </row>
    <row r="2621" spans="1:5" x14ac:dyDescent="0.5">
      <c r="E2621" t="s">
        <v>4973</v>
      </c>
    </row>
    <row r="2622" spans="1:5" x14ac:dyDescent="0.5">
      <c r="E2622" t="s">
        <v>4705</v>
      </c>
    </row>
    <row r="2623" spans="1:5" x14ac:dyDescent="0.5">
      <c r="D2623" t="s">
        <v>4581</v>
      </c>
    </row>
    <row r="2624" spans="1:5" x14ac:dyDescent="0.5">
      <c r="C2624" t="s">
        <v>4581</v>
      </c>
    </row>
    <row r="2626" spans="3:4" x14ac:dyDescent="0.5">
      <c r="C2626" t="s">
        <v>4708</v>
      </c>
    </row>
    <row r="2627" spans="3:4" x14ac:dyDescent="0.5">
      <c r="D2627" t="s">
        <v>5758</v>
      </c>
    </row>
    <row r="2628" spans="3:4" x14ac:dyDescent="0.5">
      <c r="D2628" t="s">
        <v>5759</v>
      </c>
    </row>
    <row r="2629" spans="3:4" x14ac:dyDescent="0.5">
      <c r="D2629" t="s">
        <v>5760</v>
      </c>
    </row>
    <row r="2630" spans="3:4" x14ac:dyDescent="0.5">
      <c r="D2630" t="s">
        <v>5761</v>
      </c>
    </row>
    <row r="2631" spans="3:4" x14ac:dyDescent="0.5">
      <c r="D2631" t="s">
        <v>5762</v>
      </c>
    </row>
    <row r="2632" spans="3:4" x14ac:dyDescent="0.5">
      <c r="C2632" t="s">
        <v>4581</v>
      </c>
    </row>
    <row r="2633" spans="3:4" x14ac:dyDescent="0.5">
      <c r="C2633" t="s">
        <v>4714</v>
      </c>
    </row>
    <row r="2634" spans="3:4" x14ac:dyDescent="0.5">
      <c r="D2634" t="s">
        <v>5763</v>
      </c>
    </row>
    <row r="2635" spans="3:4" x14ac:dyDescent="0.5">
      <c r="D2635" t="s">
        <v>5764</v>
      </c>
    </row>
    <row r="2636" spans="3:4" x14ac:dyDescent="0.5">
      <c r="D2636" t="s">
        <v>5765</v>
      </c>
    </row>
    <row r="2637" spans="3:4" x14ac:dyDescent="0.5">
      <c r="D2637" t="s">
        <v>5766</v>
      </c>
    </row>
    <row r="2638" spans="3:4" x14ac:dyDescent="0.5">
      <c r="D2638" t="s">
        <v>5767</v>
      </c>
    </row>
    <row r="2639" spans="3:4" x14ac:dyDescent="0.5">
      <c r="C2639" t="s">
        <v>4581</v>
      </c>
    </row>
    <row r="2640" spans="3:4" x14ac:dyDescent="0.5">
      <c r="C2640" t="s">
        <v>4895</v>
      </c>
    </row>
    <row r="2642" spans="3:3" x14ac:dyDescent="0.5">
      <c r="C2642" t="s">
        <v>5768</v>
      </c>
    </row>
    <row r="2643" spans="3:3" x14ac:dyDescent="0.5">
      <c r="C2643" t="s">
        <v>5769</v>
      </c>
    </row>
    <row r="2644" spans="3:3" x14ac:dyDescent="0.5">
      <c r="C2644" t="s">
        <v>4764</v>
      </c>
    </row>
    <row r="2646" spans="3:3" x14ac:dyDescent="0.5">
      <c r="C2646" t="s">
        <v>4727</v>
      </c>
    </row>
    <row r="2647" spans="3:3" x14ac:dyDescent="0.5">
      <c r="C2647" t="s">
        <v>4728</v>
      </c>
    </row>
    <row r="2648" spans="3:3" x14ac:dyDescent="0.5">
      <c r="C2648" t="s">
        <v>5770</v>
      </c>
    </row>
    <row r="2649" spans="3:3" x14ac:dyDescent="0.5">
      <c r="C2649" t="s">
        <v>4730</v>
      </c>
    </row>
    <row r="2651" spans="3:3" x14ac:dyDescent="0.5">
      <c r="C2651" t="s">
        <v>4731</v>
      </c>
    </row>
    <row r="2652" spans="3:3" x14ac:dyDescent="0.5">
      <c r="C2652" t="s">
        <v>5369</v>
      </c>
    </row>
    <row r="2653" spans="3:3" x14ac:dyDescent="0.5">
      <c r="C2653" t="s">
        <v>5771</v>
      </c>
    </row>
    <row r="2654" spans="3:3" x14ac:dyDescent="0.5">
      <c r="C2654" t="s">
        <v>4734</v>
      </c>
    </row>
    <row r="2656" spans="3:3" x14ac:dyDescent="0.5">
      <c r="C2656" t="s">
        <v>4735</v>
      </c>
    </row>
    <row r="2657" spans="2:5" x14ac:dyDescent="0.5">
      <c r="B2657" t="s">
        <v>4581</v>
      </c>
    </row>
    <row r="2658" spans="2:5" x14ac:dyDescent="0.5">
      <c r="B2658" t="s">
        <v>5772</v>
      </c>
    </row>
    <row r="2659" spans="2:5" x14ac:dyDescent="0.5">
      <c r="C2659" t="s">
        <v>5261</v>
      </c>
    </row>
    <row r="2661" spans="2:5" x14ac:dyDescent="0.5">
      <c r="C2661" t="s">
        <v>5773</v>
      </c>
    </row>
    <row r="2662" spans="2:5" x14ac:dyDescent="0.5">
      <c r="C2662" t="s">
        <v>4698</v>
      </c>
    </row>
    <row r="2663" spans="2:5" x14ac:dyDescent="0.5">
      <c r="C2663" t="s">
        <v>4702</v>
      </c>
    </row>
    <row r="2664" spans="2:5" x14ac:dyDescent="0.5">
      <c r="D2664" t="s">
        <v>4703</v>
      </c>
    </row>
    <row r="2665" spans="2:5" x14ac:dyDescent="0.5">
      <c r="E2665" t="s">
        <v>4931</v>
      </c>
    </row>
    <row r="2666" spans="2:5" x14ac:dyDescent="0.5">
      <c r="E2666" t="s">
        <v>4705</v>
      </c>
    </row>
    <row r="2667" spans="2:5" x14ac:dyDescent="0.5">
      <c r="D2667" t="s">
        <v>4581</v>
      </c>
    </row>
    <row r="2668" spans="2:5" x14ac:dyDescent="0.5">
      <c r="C2668" t="s">
        <v>4581</v>
      </c>
    </row>
    <row r="2670" spans="2:5" x14ac:dyDescent="0.5">
      <c r="C2670" t="s">
        <v>4708</v>
      </c>
    </row>
    <row r="2671" spans="2:5" x14ac:dyDescent="0.5">
      <c r="D2671" t="s">
        <v>5774</v>
      </c>
    </row>
    <row r="2672" spans="2:5" x14ac:dyDescent="0.5">
      <c r="D2672" t="s">
        <v>5775</v>
      </c>
    </row>
    <row r="2673" spans="3:4" x14ac:dyDescent="0.5">
      <c r="D2673" t="s">
        <v>5776</v>
      </c>
    </row>
    <row r="2674" spans="3:4" x14ac:dyDescent="0.5">
      <c r="C2674" t="s">
        <v>4581</v>
      </c>
    </row>
    <row r="2675" spans="3:4" x14ac:dyDescent="0.5">
      <c r="C2675" t="s">
        <v>4714</v>
      </c>
    </row>
    <row r="2676" spans="3:4" x14ac:dyDescent="0.5">
      <c r="D2676" t="s">
        <v>5777</v>
      </c>
    </row>
    <row r="2677" spans="3:4" x14ac:dyDescent="0.5">
      <c r="D2677" t="s">
        <v>5778</v>
      </c>
    </row>
    <row r="2678" spans="3:4" x14ac:dyDescent="0.5">
      <c r="D2678" t="s">
        <v>5779</v>
      </c>
    </row>
    <row r="2679" spans="3:4" x14ac:dyDescent="0.5">
      <c r="D2679" t="s">
        <v>5767</v>
      </c>
    </row>
    <row r="2680" spans="3:4" x14ac:dyDescent="0.5">
      <c r="C2680" t="s">
        <v>4581</v>
      </c>
    </row>
    <row r="2681" spans="3:4" x14ac:dyDescent="0.5">
      <c r="C2681" t="s">
        <v>4895</v>
      </c>
    </row>
    <row r="2683" spans="3:4" x14ac:dyDescent="0.5">
      <c r="C2683" t="s">
        <v>5768</v>
      </c>
    </row>
    <row r="2684" spans="3:4" x14ac:dyDescent="0.5">
      <c r="C2684" t="s">
        <v>5769</v>
      </c>
    </row>
    <row r="2685" spans="3:4" x14ac:dyDescent="0.5">
      <c r="C2685" t="s">
        <v>4764</v>
      </c>
    </row>
    <row r="2687" spans="3:4" x14ac:dyDescent="0.5">
      <c r="C2687" t="s">
        <v>4727</v>
      </c>
    </row>
    <row r="2688" spans="3:4" x14ac:dyDescent="0.5">
      <c r="C2688" t="s">
        <v>4728</v>
      </c>
    </row>
    <row r="2689" spans="2:3" x14ac:dyDescent="0.5">
      <c r="C2689" t="s">
        <v>5770</v>
      </c>
    </row>
    <row r="2690" spans="2:3" x14ac:dyDescent="0.5">
      <c r="C2690" t="s">
        <v>4730</v>
      </c>
    </row>
    <row r="2692" spans="2:3" x14ac:dyDescent="0.5">
      <c r="C2692" t="s">
        <v>4731</v>
      </c>
    </row>
    <row r="2693" spans="2:3" x14ac:dyDescent="0.5">
      <c r="C2693" t="s">
        <v>5369</v>
      </c>
    </row>
    <row r="2694" spans="2:3" x14ac:dyDescent="0.5">
      <c r="C2694" t="s">
        <v>5771</v>
      </c>
    </row>
    <row r="2695" spans="2:3" x14ac:dyDescent="0.5">
      <c r="C2695" t="s">
        <v>4734</v>
      </c>
    </row>
    <row r="2697" spans="2:3" x14ac:dyDescent="0.5">
      <c r="C2697" t="s">
        <v>4735</v>
      </c>
    </row>
    <row r="2698" spans="2:3" x14ac:dyDescent="0.5">
      <c r="B2698" t="s">
        <v>4581</v>
      </c>
    </row>
    <row r="2699" spans="2:3" x14ac:dyDescent="0.5">
      <c r="B2699" t="s">
        <v>5780</v>
      </c>
    </row>
    <row r="2700" spans="2:3" x14ac:dyDescent="0.5">
      <c r="C2700" t="s">
        <v>5261</v>
      </c>
    </row>
    <row r="2702" spans="2:3" x14ac:dyDescent="0.5">
      <c r="C2702" t="s">
        <v>5781</v>
      </c>
    </row>
    <row r="2703" spans="2:3" x14ac:dyDescent="0.5">
      <c r="C2703" t="s">
        <v>4698</v>
      </c>
    </row>
    <row r="2704" spans="2:3" x14ac:dyDescent="0.5">
      <c r="C2704" t="s">
        <v>4702</v>
      </c>
    </row>
    <row r="2705" spans="3:5" x14ac:dyDescent="0.5">
      <c r="D2705" t="s">
        <v>4703</v>
      </c>
    </row>
    <row r="2706" spans="3:5" x14ac:dyDescent="0.5">
      <c r="E2706" t="s">
        <v>4931</v>
      </c>
    </row>
    <row r="2707" spans="3:5" x14ac:dyDescent="0.5">
      <c r="E2707" t="s">
        <v>4705</v>
      </c>
    </row>
    <row r="2708" spans="3:5" x14ac:dyDescent="0.5">
      <c r="D2708" t="s">
        <v>4581</v>
      </c>
    </row>
    <row r="2709" spans="3:5" x14ac:dyDescent="0.5">
      <c r="C2709" t="s">
        <v>4581</v>
      </c>
    </row>
    <row r="2711" spans="3:5" x14ac:dyDescent="0.5">
      <c r="C2711" t="s">
        <v>4708</v>
      </c>
    </row>
    <row r="2712" spans="3:5" x14ac:dyDescent="0.5">
      <c r="D2712" t="s">
        <v>5774</v>
      </c>
    </row>
    <row r="2713" spans="3:5" x14ac:dyDescent="0.5">
      <c r="D2713" t="s">
        <v>5775</v>
      </c>
    </row>
    <row r="2714" spans="3:5" x14ac:dyDescent="0.5">
      <c r="D2714" t="s">
        <v>5776</v>
      </c>
    </row>
    <row r="2715" spans="3:5" x14ac:dyDescent="0.5">
      <c r="C2715" t="s">
        <v>4581</v>
      </c>
    </row>
    <row r="2716" spans="3:5" x14ac:dyDescent="0.5">
      <c r="C2716" t="s">
        <v>4714</v>
      </c>
    </row>
    <row r="2717" spans="3:5" x14ac:dyDescent="0.5">
      <c r="D2717" t="s">
        <v>5777</v>
      </c>
    </row>
    <row r="2718" spans="3:5" x14ac:dyDescent="0.5">
      <c r="D2718" t="s">
        <v>5778</v>
      </c>
    </row>
    <row r="2719" spans="3:5" x14ac:dyDescent="0.5">
      <c r="D2719" t="s">
        <v>5779</v>
      </c>
    </row>
    <row r="2720" spans="3:5" x14ac:dyDescent="0.5">
      <c r="D2720" t="s">
        <v>5767</v>
      </c>
    </row>
    <row r="2721" spans="3:3" x14ac:dyDescent="0.5">
      <c r="C2721" t="s">
        <v>4581</v>
      </c>
    </row>
    <row r="2722" spans="3:3" x14ac:dyDescent="0.5">
      <c r="C2722" t="s">
        <v>4895</v>
      </c>
    </row>
    <row r="2724" spans="3:3" x14ac:dyDescent="0.5">
      <c r="C2724" t="s">
        <v>5768</v>
      </c>
    </row>
    <row r="2725" spans="3:3" x14ac:dyDescent="0.5">
      <c r="C2725" t="s">
        <v>5769</v>
      </c>
    </row>
    <row r="2726" spans="3:3" x14ac:dyDescent="0.5">
      <c r="C2726" t="s">
        <v>4764</v>
      </c>
    </row>
    <row r="2728" spans="3:3" x14ac:dyDescent="0.5">
      <c r="C2728" t="s">
        <v>4727</v>
      </c>
    </row>
    <row r="2729" spans="3:3" x14ac:dyDescent="0.5">
      <c r="C2729" t="s">
        <v>4728</v>
      </c>
    </row>
    <row r="2730" spans="3:3" x14ac:dyDescent="0.5">
      <c r="C2730" t="s">
        <v>5770</v>
      </c>
    </row>
    <row r="2731" spans="3:3" x14ac:dyDescent="0.5">
      <c r="C2731" t="s">
        <v>4730</v>
      </c>
    </row>
    <row r="2733" spans="3:3" x14ac:dyDescent="0.5">
      <c r="C2733" t="s">
        <v>4731</v>
      </c>
    </row>
    <row r="2734" spans="3:3" x14ac:dyDescent="0.5">
      <c r="C2734" t="s">
        <v>5369</v>
      </c>
    </row>
    <row r="2735" spans="3:3" x14ac:dyDescent="0.5">
      <c r="C2735" t="s">
        <v>5771</v>
      </c>
    </row>
    <row r="2736" spans="3:3" x14ac:dyDescent="0.5">
      <c r="C2736" t="s">
        <v>4734</v>
      </c>
    </row>
    <row r="2738" spans="2:5" x14ac:dyDescent="0.5">
      <c r="C2738" t="s">
        <v>4735</v>
      </c>
    </row>
    <row r="2739" spans="2:5" x14ac:dyDescent="0.5">
      <c r="B2739" t="s">
        <v>4581</v>
      </c>
    </row>
    <row r="2740" spans="2:5" x14ac:dyDescent="0.5">
      <c r="B2740" t="s">
        <v>5782</v>
      </c>
    </row>
    <row r="2741" spans="2:5" x14ac:dyDescent="0.5">
      <c r="C2741" t="s">
        <v>5261</v>
      </c>
    </row>
    <row r="2743" spans="2:5" x14ac:dyDescent="0.5">
      <c r="C2743" t="s">
        <v>5783</v>
      </c>
    </row>
    <row r="2744" spans="2:5" x14ac:dyDescent="0.5">
      <c r="C2744" t="s">
        <v>4698</v>
      </c>
    </row>
    <row r="2745" spans="2:5" x14ac:dyDescent="0.5">
      <c r="C2745" t="s">
        <v>4702</v>
      </c>
    </row>
    <row r="2746" spans="2:5" x14ac:dyDescent="0.5">
      <c r="D2746" t="s">
        <v>4703</v>
      </c>
    </row>
    <row r="2747" spans="2:5" x14ac:dyDescent="0.5">
      <c r="E2747" t="s">
        <v>4931</v>
      </c>
    </row>
    <row r="2748" spans="2:5" x14ac:dyDescent="0.5">
      <c r="E2748" t="s">
        <v>4705</v>
      </c>
    </row>
    <row r="2749" spans="2:5" x14ac:dyDescent="0.5">
      <c r="D2749" t="s">
        <v>4581</v>
      </c>
    </row>
    <row r="2750" spans="2:5" x14ac:dyDescent="0.5">
      <c r="C2750" t="s">
        <v>4581</v>
      </c>
    </row>
    <row r="2752" spans="2:5" x14ac:dyDescent="0.5">
      <c r="C2752" t="s">
        <v>4708</v>
      </c>
    </row>
    <row r="2753" spans="3:4" x14ac:dyDescent="0.5">
      <c r="D2753" t="s">
        <v>5774</v>
      </c>
    </row>
    <row r="2754" spans="3:4" x14ac:dyDescent="0.5">
      <c r="D2754" t="s">
        <v>5775</v>
      </c>
    </row>
    <row r="2755" spans="3:4" x14ac:dyDescent="0.5">
      <c r="D2755" t="s">
        <v>5776</v>
      </c>
    </row>
    <row r="2756" spans="3:4" x14ac:dyDescent="0.5">
      <c r="C2756" t="s">
        <v>4581</v>
      </c>
    </row>
    <row r="2757" spans="3:4" x14ac:dyDescent="0.5">
      <c r="C2757" t="s">
        <v>4714</v>
      </c>
    </row>
    <row r="2758" spans="3:4" x14ac:dyDescent="0.5">
      <c r="D2758" t="s">
        <v>5777</v>
      </c>
    </row>
    <row r="2759" spans="3:4" x14ac:dyDescent="0.5">
      <c r="D2759" t="s">
        <v>5778</v>
      </c>
    </row>
    <row r="2760" spans="3:4" x14ac:dyDescent="0.5">
      <c r="D2760" t="s">
        <v>5779</v>
      </c>
    </row>
    <row r="2761" spans="3:4" x14ac:dyDescent="0.5">
      <c r="D2761" t="s">
        <v>5767</v>
      </c>
    </row>
    <row r="2762" spans="3:4" x14ac:dyDescent="0.5">
      <c r="C2762" t="s">
        <v>4581</v>
      </c>
    </row>
    <row r="2763" spans="3:4" x14ac:dyDescent="0.5">
      <c r="C2763" t="s">
        <v>4895</v>
      </c>
    </row>
    <row r="2765" spans="3:4" x14ac:dyDescent="0.5">
      <c r="C2765" t="s">
        <v>5768</v>
      </c>
    </row>
    <row r="2766" spans="3:4" x14ac:dyDescent="0.5">
      <c r="C2766" t="s">
        <v>5769</v>
      </c>
    </row>
    <row r="2767" spans="3:4" x14ac:dyDescent="0.5">
      <c r="C2767" t="s">
        <v>4764</v>
      </c>
    </row>
    <row r="2769" spans="1:3" x14ac:dyDescent="0.5">
      <c r="C2769" t="s">
        <v>4727</v>
      </c>
    </row>
    <row r="2770" spans="1:3" x14ac:dyDescent="0.5">
      <c r="C2770" t="s">
        <v>4728</v>
      </c>
    </row>
    <row r="2771" spans="1:3" x14ac:dyDescent="0.5">
      <c r="C2771" t="s">
        <v>5770</v>
      </c>
    </row>
    <row r="2772" spans="1:3" x14ac:dyDescent="0.5">
      <c r="C2772" t="s">
        <v>4730</v>
      </c>
    </row>
    <row r="2774" spans="1:3" x14ac:dyDescent="0.5">
      <c r="C2774" t="s">
        <v>4731</v>
      </c>
    </row>
    <row r="2775" spans="1:3" x14ac:dyDescent="0.5">
      <c r="C2775" t="s">
        <v>5369</v>
      </c>
    </row>
    <row r="2776" spans="1:3" x14ac:dyDescent="0.5">
      <c r="C2776" t="s">
        <v>5771</v>
      </c>
    </row>
    <row r="2777" spans="1:3" x14ac:dyDescent="0.5">
      <c r="C2777" t="s">
        <v>4734</v>
      </c>
    </row>
    <row r="2779" spans="1:3" x14ac:dyDescent="0.5">
      <c r="C2779" t="s">
        <v>4735</v>
      </c>
    </row>
    <row r="2780" spans="1:3" x14ac:dyDescent="0.5">
      <c r="B2780" t="s">
        <v>4581</v>
      </c>
    </row>
    <row r="2781" spans="1:3" x14ac:dyDescent="0.5">
      <c r="A2781" t="s">
        <v>4581</v>
      </c>
    </row>
    <row r="2783" spans="1:3" x14ac:dyDescent="0.5">
      <c r="A2783" t="s">
        <v>4630</v>
      </c>
    </row>
    <row r="2784" spans="1:3" x14ac:dyDescent="0.5">
      <c r="B2784" t="s">
        <v>4698</v>
      </c>
    </row>
    <row r="2785" spans="2:4" x14ac:dyDescent="0.5">
      <c r="C2785" t="s">
        <v>4699</v>
      </c>
    </row>
    <row r="2786" spans="2:4" x14ac:dyDescent="0.5">
      <c r="B2786" t="s">
        <v>5493</v>
      </c>
    </row>
    <row r="2788" spans="2:4" x14ac:dyDescent="0.5">
      <c r="B2788" t="s">
        <v>5784</v>
      </c>
    </row>
    <row r="2789" spans="2:4" x14ac:dyDescent="0.5">
      <c r="C2789" t="s">
        <v>5785</v>
      </c>
    </row>
    <row r="2791" spans="2:4" x14ac:dyDescent="0.5">
      <c r="C2791" t="s">
        <v>5786</v>
      </c>
    </row>
    <row r="2793" spans="2:4" x14ac:dyDescent="0.5">
      <c r="C2793" t="s">
        <v>4708</v>
      </c>
    </row>
    <row r="2794" spans="2:4" x14ac:dyDescent="0.5">
      <c r="D2794" t="s">
        <v>5787</v>
      </c>
    </row>
    <row r="2795" spans="2:4" x14ac:dyDescent="0.5">
      <c r="D2795" t="s">
        <v>5788</v>
      </c>
    </row>
    <row r="2796" spans="2:4" x14ac:dyDescent="0.5">
      <c r="D2796" t="s">
        <v>5789</v>
      </c>
    </row>
    <row r="2797" spans="2:4" x14ac:dyDescent="0.5">
      <c r="D2797" t="s">
        <v>5790</v>
      </c>
    </row>
    <row r="2798" spans="2:4" x14ac:dyDescent="0.5">
      <c r="D2798" t="s">
        <v>5791</v>
      </c>
    </row>
    <row r="2799" spans="2:4" x14ac:dyDescent="0.5">
      <c r="D2799" t="s">
        <v>5792</v>
      </c>
    </row>
    <row r="2800" spans="2:4" x14ac:dyDescent="0.5">
      <c r="D2800" t="s">
        <v>5793</v>
      </c>
    </row>
    <row r="2801" spans="2:4" x14ac:dyDescent="0.5">
      <c r="C2801" t="s">
        <v>4581</v>
      </c>
    </row>
    <row r="2802" spans="2:4" x14ac:dyDescent="0.5">
      <c r="C2802" t="s">
        <v>4714</v>
      </c>
    </row>
    <row r="2803" spans="2:4" x14ac:dyDescent="0.5">
      <c r="D2803" t="s">
        <v>5794</v>
      </c>
    </row>
    <row r="2804" spans="2:4" x14ac:dyDescent="0.5">
      <c r="D2804" t="s">
        <v>5795</v>
      </c>
    </row>
    <row r="2805" spans="2:4" x14ac:dyDescent="0.5">
      <c r="D2805" t="s">
        <v>5796</v>
      </c>
    </row>
    <row r="2806" spans="2:4" x14ac:dyDescent="0.5">
      <c r="D2806" t="s">
        <v>5797</v>
      </c>
    </row>
    <row r="2807" spans="2:4" x14ac:dyDescent="0.5">
      <c r="C2807" t="s">
        <v>4581</v>
      </c>
    </row>
    <row r="2809" spans="2:4" x14ac:dyDescent="0.5">
      <c r="C2809" t="s">
        <v>4895</v>
      </c>
    </row>
    <row r="2811" spans="2:4" x14ac:dyDescent="0.5">
      <c r="C2811" t="s">
        <v>4735</v>
      </c>
    </row>
    <row r="2812" spans="2:4" x14ac:dyDescent="0.5">
      <c r="B2812" t="s">
        <v>4581</v>
      </c>
    </row>
    <row r="2813" spans="2:4" x14ac:dyDescent="0.5">
      <c r="B2813" t="s">
        <v>5798</v>
      </c>
    </row>
    <row r="2814" spans="2:4" x14ac:dyDescent="0.5">
      <c r="C2814" t="s">
        <v>5785</v>
      </c>
    </row>
    <row r="2816" spans="2:4" x14ac:dyDescent="0.5">
      <c r="C2816" t="s">
        <v>5799</v>
      </c>
    </row>
    <row r="2818" spans="3:4" x14ac:dyDescent="0.5">
      <c r="C2818" t="s">
        <v>4708</v>
      </c>
    </row>
    <row r="2819" spans="3:4" x14ac:dyDescent="0.5">
      <c r="D2819" t="s">
        <v>5800</v>
      </c>
    </row>
    <row r="2820" spans="3:4" x14ac:dyDescent="0.5">
      <c r="D2820" t="s">
        <v>5801</v>
      </c>
    </row>
    <row r="2821" spans="3:4" x14ac:dyDescent="0.5">
      <c r="D2821" t="s">
        <v>5802</v>
      </c>
    </row>
    <row r="2822" spans="3:4" x14ac:dyDescent="0.5">
      <c r="D2822" t="s">
        <v>5803</v>
      </c>
    </row>
    <row r="2823" spans="3:4" x14ac:dyDescent="0.5">
      <c r="D2823" t="s">
        <v>5804</v>
      </c>
    </row>
    <row r="2824" spans="3:4" x14ac:dyDescent="0.5">
      <c r="C2824" t="s">
        <v>4581</v>
      </c>
    </row>
    <row r="2825" spans="3:4" x14ac:dyDescent="0.5">
      <c r="C2825" t="s">
        <v>4714</v>
      </c>
    </row>
    <row r="2826" spans="3:4" x14ac:dyDescent="0.5">
      <c r="D2826" t="s">
        <v>5805</v>
      </c>
    </row>
    <row r="2827" spans="3:4" x14ac:dyDescent="0.5">
      <c r="D2827" t="s">
        <v>5806</v>
      </c>
    </row>
    <row r="2828" spans="3:4" x14ac:dyDescent="0.5">
      <c r="D2828" t="s">
        <v>5807</v>
      </c>
    </row>
    <row r="2829" spans="3:4" x14ac:dyDescent="0.5">
      <c r="D2829" t="s">
        <v>5808</v>
      </c>
    </row>
    <row r="2830" spans="3:4" x14ac:dyDescent="0.5">
      <c r="C2830" t="s">
        <v>4581</v>
      </c>
    </row>
    <row r="2832" spans="3:4" x14ac:dyDescent="0.5">
      <c r="C2832" t="s">
        <v>4895</v>
      </c>
    </row>
    <row r="2834" spans="2:4" x14ac:dyDescent="0.5">
      <c r="C2834" t="s">
        <v>4735</v>
      </c>
    </row>
    <row r="2835" spans="2:4" x14ac:dyDescent="0.5">
      <c r="B2835" t="s">
        <v>4581</v>
      </c>
    </row>
    <row r="2836" spans="2:4" x14ac:dyDescent="0.5">
      <c r="B2836" t="s">
        <v>5809</v>
      </c>
    </row>
    <row r="2837" spans="2:4" x14ac:dyDescent="0.5">
      <c r="C2837" t="s">
        <v>5785</v>
      </c>
    </row>
    <row r="2839" spans="2:4" x14ac:dyDescent="0.5">
      <c r="C2839" t="s">
        <v>5810</v>
      </c>
    </row>
    <row r="2841" spans="2:4" x14ac:dyDescent="0.5">
      <c r="C2841" t="s">
        <v>4708</v>
      </c>
    </row>
    <row r="2842" spans="2:4" x14ac:dyDescent="0.5">
      <c r="D2842" t="s">
        <v>5811</v>
      </c>
    </row>
    <row r="2843" spans="2:4" x14ac:dyDescent="0.5">
      <c r="D2843" t="s">
        <v>5812</v>
      </c>
    </row>
    <row r="2844" spans="2:4" x14ac:dyDescent="0.5">
      <c r="D2844" t="s">
        <v>5813</v>
      </c>
    </row>
    <row r="2845" spans="2:4" x14ac:dyDescent="0.5">
      <c r="D2845" t="s">
        <v>5814</v>
      </c>
    </row>
    <row r="2846" spans="2:4" x14ac:dyDescent="0.5">
      <c r="D2846" t="s">
        <v>5815</v>
      </c>
    </row>
    <row r="2847" spans="2:4" x14ac:dyDescent="0.5">
      <c r="D2847" t="s">
        <v>5816</v>
      </c>
    </row>
    <row r="2848" spans="2:4" x14ac:dyDescent="0.5">
      <c r="D2848" t="s">
        <v>5817</v>
      </c>
    </row>
    <row r="2849" spans="3:4" x14ac:dyDescent="0.5">
      <c r="D2849" t="s">
        <v>5818</v>
      </c>
    </row>
    <row r="2850" spans="3:4" x14ac:dyDescent="0.5">
      <c r="C2850" t="s">
        <v>4581</v>
      </c>
    </row>
    <row r="2851" spans="3:4" x14ac:dyDescent="0.5">
      <c r="C2851" t="s">
        <v>4714</v>
      </c>
    </row>
    <row r="2852" spans="3:4" x14ac:dyDescent="0.5">
      <c r="D2852" t="s">
        <v>5819</v>
      </c>
    </row>
    <row r="2853" spans="3:4" x14ac:dyDescent="0.5">
      <c r="D2853" t="s">
        <v>5820</v>
      </c>
    </row>
    <row r="2854" spans="3:4" x14ac:dyDescent="0.5">
      <c r="D2854" t="s">
        <v>5821</v>
      </c>
    </row>
    <row r="2855" spans="3:4" x14ac:dyDescent="0.5">
      <c r="D2855" t="s">
        <v>5822</v>
      </c>
    </row>
    <row r="2856" spans="3:4" x14ac:dyDescent="0.5">
      <c r="C2856" t="s">
        <v>4581</v>
      </c>
    </row>
    <row r="2857" spans="3:4" x14ac:dyDescent="0.5">
      <c r="C2857" t="s">
        <v>4895</v>
      </c>
    </row>
    <row r="2859" spans="3:4" x14ac:dyDescent="0.5">
      <c r="C2859" t="s">
        <v>5823</v>
      </c>
    </row>
    <row r="2860" spans="3:4" x14ac:dyDescent="0.5">
      <c r="C2860" t="s">
        <v>5824</v>
      </c>
    </row>
    <row r="2861" spans="3:4" x14ac:dyDescent="0.5">
      <c r="C2861" t="s">
        <v>5825</v>
      </c>
    </row>
    <row r="2863" spans="3:4" x14ac:dyDescent="0.5">
      <c r="C2863" t="s">
        <v>4735</v>
      </c>
    </row>
    <row r="2864" spans="3:4" x14ac:dyDescent="0.5">
      <c r="C2864" t="s">
        <v>4727</v>
      </c>
    </row>
    <row r="2865" spans="1:3" x14ac:dyDescent="0.5">
      <c r="C2865" t="s">
        <v>5826</v>
      </c>
    </row>
    <row r="2866" spans="1:3" x14ac:dyDescent="0.5">
      <c r="C2866" t="s">
        <v>4898</v>
      </c>
    </row>
    <row r="2867" spans="1:3" x14ac:dyDescent="0.5">
      <c r="C2867" t="s">
        <v>4803</v>
      </c>
    </row>
    <row r="2869" spans="1:3" x14ac:dyDescent="0.5">
      <c r="C2869" t="s">
        <v>4731</v>
      </c>
    </row>
    <row r="2870" spans="1:3" x14ac:dyDescent="0.5">
      <c r="C2870" t="s">
        <v>4732</v>
      </c>
    </row>
    <row r="2871" spans="1:3" x14ac:dyDescent="0.5">
      <c r="C2871" t="s">
        <v>4900</v>
      </c>
    </row>
    <row r="2872" spans="1:3" x14ac:dyDescent="0.5">
      <c r="C2872" t="s">
        <v>4804</v>
      </c>
    </row>
    <row r="2873" spans="1:3" x14ac:dyDescent="0.5">
      <c r="B2873" t="s">
        <v>4581</v>
      </c>
    </row>
    <row r="2874" spans="1:3" x14ac:dyDescent="0.5">
      <c r="B2874" t="s">
        <v>5827</v>
      </c>
    </row>
    <row r="2875" spans="1:3" x14ac:dyDescent="0.5">
      <c r="C2875" t="s">
        <v>5785</v>
      </c>
    </row>
    <row r="2877" spans="1:3" x14ac:dyDescent="0.5">
      <c r="C2877" t="s">
        <v>5828</v>
      </c>
    </row>
    <row r="2879" spans="1:3" x14ac:dyDescent="0.5">
      <c r="A2879" t="s">
        <v>4631</v>
      </c>
    </row>
    <row r="2880" spans="1:3" x14ac:dyDescent="0.5">
      <c r="A2880" t="s">
        <v>4632</v>
      </c>
    </row>
    <row r="2881" spans="1:4" x14ac:dyDescent="0.5">
      <c r="D2881" t="s">
        <v>5829</v>
      </c>
    </row>
    <row r="2882" spans="1:4" x14ac:dyDescent="0.5">
      <c r="D2882" t="s">
        <v>5830</v>
      </c>
    </row>
    <row r="2883" spans="1:4" x14ac:dyDescent="0.5">
      <c r="D2883" t="s">
        <v>5831</v>
      </c>
    </row>
    <row r="2884" spans="1:4" x14ac:dyDescent="0.5">
      <c r="D2884" t="s">
        <v>5832</v>
      </c>
    </row>
    <row r="2885" spans="1:4" x14ac:dyDescent="0.5">
      <c r="D2885" t="s">
        <v>5833</v>
      </c>
    </row>
    <row r="2886" spans="1:4" x14ac:dyDescent="0.5">
      <c r="D2886" t="s">
        <v>5834</v>
      </c>
    </row>
    <row r="2887" spans="1:4" x14ac:dyDescent="0.5">
      <c r="A2887" t="s">
        <v>4586</v>
      </c>
    </row>
    <row r="2888" spans="1:4" x14ac:dyDescent="0.5">
      <c r="A2888" t="s">
        <v>4633</v>
      </c>
    </row>
    <row r="2889" spans="1:4" x14ac:dyDescent="0.5">
      <c r="A2889" t="s">
        <v>4634</v>
      </c>
    </row>
    <row r="2890" spans="1:4" x14ac:dyDescent="0.5">
      <c r="D2890" t="s">
        <v>5835</v>
      </c>
    </row>
    <row r="2891" spans="1:4" x14ac:dyDescent="0.5">
      <c r="D2891" t="s">
        <v>5836</v>
      </c>
    </row>
    <row r="2892" spans="1:4" x14ac:dyDescent="0.5">
      <c r="A2892" t="s">
        <v>4586</v>
      </c>
    </row>
    <row r="2893" spans="1:4" x14ac:dyDescent="0.5">
      <c r="C2893" t="s">
        <v>4895</v>
      </c>
    </row>
    <row r="2895" spans="1:4" x14ac:dyDescent="0.5">
      <c r="C2895" t="s">
        <v>5837</v>
      </c>
    </row>
    <row r="2896" spans="1:4" x14ac:dyDescent="0.5">
      <c r="C2896" t="s">
        <v>5838</v>
      </c>
    </row>
    <row r="2897" spans="1:3" x14ac:dyDescent="0.5">
      <c r="C2897" t="s">
        <v>5825</v>
      </c>
    </row>
    <row r="2899" spans="1:3" x14ac:dyDescent="0.5">
      <c r="C2899" t="s">
        <v>4735</v>
      </c>
    </row>
    <row r="2900" spans="1:3" x14ac:dyDescent="0.5">
      <c r="C2900" t="s">
        <v>4727</v>
      </c>
    </row>
    <row r="2901" spans="1:3" x14ac:dyDescent="0.5">
      <c r="C2901" t="s">
        <v>5826</v>
      </c>
    </row>
    <row r="2902" spans="1:3" x14ac:dyDescent="0.5">
      <c r="C2902" t="s">
        <v>4898</v>
      </c>
    </row>
    <row r="2903" spans="1:3" x14ac:dyDescent="0.5">
      <c r="C2903" t="s">
        <v>4803</v>
      </c>
    </row>
    <row r="2905" spans="1:3" x14ac:dyDescent="0.5">
      <c r="C2905" t="s">
        <v>4731</v>
      </c>
    </row>
    <row r="2906" spans="1:3" x14ac:dyDescent="0.5">
      <c r="C2906" t="s">
        <v>4732</v>
      </c>
    </row>
    <row r="2907" spans="1:3" x14ac:dyDescent="0.5">
      <c r="C2907" t="s">
        <v>4900</v>
      </c>
    </row>
    <row r="2908" spans="1:3" x14ac:dyDescent="0.5">
      <c r="C2908" t="s">
        <v>4804</v>
      </c>
    </row>
    <row r="2909" spans="1:3" x14ac:dyDescent="0.5">
      <c r="B2909" t="s">
        <v>4581</v>
      </c>
    </row>
    <row r="2910" spans="1:3" x14ac:dyDescent="0.5">
      <c r="A2910" t="s">
        <v>4581</v>
      </c>
    </row>
    <row r="2912" spans="1:3" x14ac:dyDescent="0.5">
      <c r="A2912" t="s">
        <v>4635</v>
      </c>
    </row>
    <row r="2913" spans="2:4" x14ac:dyDescent="0.5">
      <c r="B2913" t="s">
        <v>4698</v>
      </c>
    </row>
    <row r="2914" spans="2:4" x14ac:dyDescent="0.5">
      <c r="C2914" t="s">
        <v>4699</v>
      </c>
    </row>
    <row r="2915" spans="2:4" x14ac:dyDescent="0.5">
      <c r="B2915" t="s">
        <v>5493</v>
      </c>
    </row>
    <row r="2917" spans="2:4" x14ac:dyDescent="0.5">
      <c r="B2917" t="s">
        <v>5839</v>
      </c>
    </row>
    <row r="2918" spans="2:4" x14ac:dyDescent="0.5">
      <c r="C2918" t="s">
        <v>5840</v>
      </c>
    </row>
    <row r="2920" spans="2:4" x14ac:dyDescent="0.5">
      <c r="C2920" t="s">
        <v>5841</v>
      </c>
    </row>
    <row r="2922" spans="2:4" x14ac:dyDescent="0.5">
      <c r="C2922" t="s">
        <v>4708</v>
      </c>
    </row>
    <row r="2923" spans="2:4" x14ac:dyDescent="0.5">
      <c r="D2923" t="s">
        <v>5842</v>
      </c>
    </row>
    <row r="2924" spans="2:4" x14ac:dyDescent="0.5">
      <c r="D2924" t="s">
        <v>5843</v>
      </c>
    </row>
    <row r="2925" spans="2:4" x14ac:dyDescent="0.5">
      <c r="D2925" t="s">
        <v>5844</v>
      </c>
    </row>
    <row r="2926" spans="2:4" x14ac:dyDescent="0.5">
      <c r="D2926" t="s">
        <v>5845</v>
      </c>
    </row>
    <row r="2927" spans="2:4" x14ac:dyDescent="0.5">
      <c r="C2927" t="s">
        <v>4581</v>
      </c>
    </row>
    <row r="2928" spans="2:4" x14ac:dyDescent="0.5">
      <c r="C2928" t="s">
        <v>4714</v>
      </c>
    </row>
    <row r="2929" spans="3:4" x14ac:dyDescent="0.5">
      <c r="D2929" t="s">
        <v>5846</v>
      </c>
    </row>
    <row r="2930" spans="3:4" x14ac:dyDescent="0.5">
      <c r="D2930" t="s">
        <v>5847</v>
      </c>
    </row>
    <row r="2931" spans="3:4" x14ac:dyDescent="0.5">
      <c r="D2931" t="s">
        <v>5848</v>
      </c>
    </row>
    <row r="2932" spans="3:4" x14ac:dyDescent="0.5">
      <c r="C2932" t="s">
        <v>4581</v>
      </c>
    </row>
    <row r="2934" spans="3:4" x14ac:dyDescent="0.5">
      <c r="C2934" t="s">
        <v>5849</v>
      </c>
    </row>
    <row r="2936" spans="3:4" x14ac:dyDescent="0.5">
      <c r="C2936" t="s">
        <v>4735</v>
      </c>
    </row>
    <row r="2937" spans="3:4" x14ac:dyDescent="0.5">
      <c r="C2937" t="s">
        <v>4727</v>
      </c>
    </row>
    <row r="2938" spans="3:4" x14ac:dyDescent="0.5">
      <c r="C2938" t="s">
        <v>5826</v>
      </c>
    </row>
    <row r="2939" spans="3:4" x14ac:dyDescent="0.5">
      <c r="C2939" t="s">
        <v>4898</v>
      </c>
    </row>
    <row r="2940" spans="3:4" x14ac:dyDescent="0.5">
      <c r="C2940" t="s">
        <v>4803</v>
      </c>
    </row>
    <row r="2942" spans="3:4" x14ac:dyDescent="0.5">
      <c r="C2942" t="s">
        <v>4731</v>
      </c>
    </row>
    <row r="2943" spans="3:4" x14ac:dyDescent="0.5">
      <c r="C2943" t="s">
        <v>4732</v>
      </c>
    </row>
    <row r="2944" spans="3:4" x14ac:dyDescent="0.5">
      <c r="C2944" t="s">
        <v>4900</v>
      </c>
    </row>
    <row r="2945" spans="2:4" x14ac:dyDescent="0.5">
      <c r="C2945" t="s">
        <v>4804</v>
      </c>
    </row>
    <row r="2947" spans="2:4" x14ac:dyDescent="0.5">
      <c r="B2947" t="s">
        <v>4581</v>
      </c>
    </row>
    <row r="2948" spans="2:4" x14ac:dyDescent="0.5">
      <c r="B2948" t="s">
        <v>5850</v>
      </c>
    </row>
    <row r="2949" spans="2:4" x14ac:dyDescent="0.5">
      <c r="C2949" t="s">
        <v>5851</v>
      </c>
    </row>
    <row r="2951" spans="2:4" x14ac:dyDescent="0.5">
      <c r="C2951" t="s">
        <v>5852</v>
      </c>
    </row>
    <row r="2953" spans="2:4" x14ac:dyDescent="0.5">
      <c r="C2953" t="s">
        <v>4708</v>
      </c>
    </row>
    <row r="2954" spans="2:4" x14ac:dyDescent="0.5">
      <c r="D2954" t="s">
        <v>5853</v>
      </c>
    </row>
    <row r="2955" spans="2:4" x14ac:dyDescent="0.5">
      <c r="D2955" t="s">
        <v>5854</v>
      </c>
    </row>
    <row r="2956" spans="2:4" x14ac:dyDescent="0.5">
      <c r="D2956" t="s">
        <v>5855</v>
      </c>
    </row>
    <row r="2957" spans="2:4" x14ac:dyDescent="0.5">
      <c r="D2957" t="s">
        <v>5856</v>
      </c>
    </row>
    <row r="2958" spans="2:4" x14ac:dyDescent="0.5">
      <c r="C2958" t="s">
        <v>4581</v>
      </c>
    </row>
    <row r="2959" spans="2:4" x14ac:dyDescent="0.5">
      <c r="C2959" t="s">
        <v>4714</v>
      </c>
    </row>
    <row r="2960" spans="2:4" x14ac:dyDescent="0.5">
      <c r="D2960" t="s">
        <v>5857</v>
      </c>
    </row>
    <row r="2961" spans="2:4" x14ac:dyDescent="0.5">
      <c r="D2961" t="s">
        <v>5858</v>
      </c>
    </row>
    <row r="2962" spans="2:4" x14ac:dyDescent="0.5">
      <c r="D2962" t="s">
        <v>5859</v>
      </c>
    </row>
    <row r="2963" spans="2:4" x14ac:dyDescent="0.5">
      <c r="C2963" t="s">
        <v>4581</v>
      </c>
    </row>
    <row r="2965" spans="2:4" x14ac:dyDescent="0.5">
      <c r="C2965" t="s">
        <v>5849</v>
      </c>
    </row>
    <row r="2967" spans="2:4" x14ac:dyDescent="0.5">
      <c r="C2967" t="s">
        <v>5860</v>
      </c>
    </row>
    <row r="2968" spans="2:4" x14ac:dyDescent="0.5">
      <c r="C2968" t="s">
        <v>4764</v>
      </c>
    </row>
    <row r="2970" spans="2:4" x14ac:dyDescent="0.5">
      <c r="C2970" t="s">
        <v>4735</v>
      </c>
    </row>
    <row r="2971" spans="2:4" x14ac:dyDescent="0.5">
      <c r="B2971" t="s">
        <v>4581</v>
      </c>
    </row>
    <row r="2972" spans="2:4" x14ac:dyDescent="0.5">
      <c r="B2972" t="s">
        <v>5861</v>
      </c>
    </row>
    <row r="2973" spans="2:4" x14ac:dyDescent="0.5">
      <c r="C2973" t="s">
        <v>5851</v>
      </c>
    </row>
    <row r="2975" spans="2:4" x14ac:dyDescent="0.5">
      <c r="C2975" t="s">
        <v>5862</v>
      </c>
    </row>
    <row r="2977" spans="3:4" x14ac:dyDescent="0.5">
      <c r="C2977" t="s">
        <v>4708</v>
      </c>
    </row>
    <row r="2978" spans="3:4" x14ac:dyDescent="0.5">
      <c r="D2978" t="s">
        <v>5863</v>
      </c>
    </row>
    <row r="2979" spans="3:4" x14ac:dyDescent="0.5">
      <c r="D2979" t="s">
        <v>5864</v>
      </c>
    </row>
    <row r="2980" spans="3:4" x14ac:dyDescent="0.5">
      <c r="D2980" t="s">
        <v>5865</v>
      </c>
    </row>
    <row r="2981" spans="3:4" x14ac:dyDescent="0.5">
      <c r="D2981" t="s">
        <v>5866</v>
      </c>
    </row>
    <row r="2982" spans="3:4" x14ac:dyDescent="0.5">
      <c r="D2982" t="s">
        <v>5867</v>
      </c>
    </row>
    <row r="2983" spans="3:4" x14ac:dyDescent="0.5">
      <c r="D2983" t="s">
        <v>5868</v>
      </c>
    </row>
    <row r="2984" spans="3:4" x14ac:dyDescent="0.5">
      <c r="C2984" t="s">
        <v>4581</v>
      </c>
    </row>
    <row r="2985" spans="3:4" x14ac:dyDescent="0.5">
      <c r="C2985" t="s">
        <v>4714</v>
      </c>
    </row>
    <row r="2986" spans="3:4" x14ac:dyDescent="0.5">
      <c r="D2986" t="s">
        <v>5869</v>
      </c>
    </row>
    <row r="2987" spans="3:4" x14ac:dyDescent="0.5">
      <c r="D2987" t="s">
        <v>5870</v>
      </c>
    </row>
    <row r="2988" spans="3:4" x14ac:dyDescent="0.5">
      <c r="D2988" t="s">
        <v>5871</v>
      </c>
    </row>
    <row r="2989" spans="3:4" x14ac:dyDescent="0.5">
      <c r="D2989" t="s">
        <v>5872</v>
      </c>
    </row>
    <row r="2991" spans="3:4" x14ac:dyDescent="0.5">
      <c r="C2991" t="s">
        <v>4581</v>
      </c>
    </row>
    <row r="2993" spans="3:3" x14ac:dyDescent="0.5">
      <c r="C2993" t="s">
        <v>4827</v>
      </c>
    </row>
    <row r="2995" spans="3:3" x14ac:dyDescent="0.5">
      <c r="C2995" t="s">
        <v>5873</v>
      </c>
    </row>
    <row r="2996" spans="3:3" x14ac:dyDescent="0.5">
      <c r="C2996" t="s">
        <v>4764</v>
      </c>
    </row>
    <row r="2998" spans="3:3" x14ac:dyDescent="0.5">
      <c r="C2998" t="s">
        <v>4727</v>
      </c>
    </row>
    <row r="2999" spans="3:3" x14ac:dyDescent="0.5">
      <c r="C2999" t="s">
        <v>5826</v>
      </c>
    </row>
    <row r="3000" spans="3:3" x14ac:dyDescent="0.5">
      <c r="C3000" t="s">
        <v>4898</v>
      </c>
    </row>
    <row r="3001" spans="3:3" x14ac:dyDescent="0.5">
      <c r="C3001" t="s">
        <v>4803</v>
      </c>
    </row>
    <row r="3003" spans="3:3" x14ac:dyDescent="0.5">
      <c r="C3003" t="s">
        <v>4731</v>
      </c>
    </row>
    <row r="3004" spans="3:3" x14ac:dyDescent="0.5">
      <c r="C3004" t="s">
        <v>4732</v>
      </c>
    </row>
    <row r="3005" spans="3:3" x14ac:dyDescent="0.5">
      <c r="C3005" t="s">
        <v>4900</v>
      </c>
    </row>
    <row r="3006" spans="3:3" x14ac:dyDescent="0.5">
      <c r="C3006" t="s">
        <v>4804</v>
      </c>
    </row>
    <row r="3008" spans="3:3" x14ac:dyDescent="0.5">
      <c r="C3008" t="s">
        <v>4735</v>
      </c>
    </row>
    <row r="3009" spans="2:4" x14ac:dyDescent="0.5">
      <c r="B3009" t="s">
        <v>4581</v>
      </c>
    </row>
    <row r="3010" spans="2:4" x14ac:dyDescent="0.5">
      <c r="B3010" t="s">
        <v>5874</v>
      </c>
    </row>
    <row r="3011" spans="2:4" x14ac:dyDescent="0.5">
      <c r="C3011" t="s">
        <v>5851</v>
      </c>
    </row>
    <row r="3013" spans="2:4" x14ac:dyDescent="0.5">
      <c r="C3013" t="s">
        <v>5875</v>
      </c>
    </row>
    <row r="3015" spans="2:4" x14ac:dyDescent="0.5">
      <c r="C3015" t="s">
        <v>4708</v>
      </c>
    </row>
    <row r="3016" spans="2:4" x14ac:dyDescent="0.5">
      <c r="D3016" t="s">
        <v>5876</v>
      </c>
    </row>
    <row r="3017" spans="2:4" x14ac:dyDescent="0.5">
      <c r="D3017" t="s">
        <v>5877</v>
      </c>
    </row>
    <row r="3018" spans="2:4" x14ac:dyDescent="0.5">
      <c r="D3018" t="s">
        <v>5878</v>
      </c>
    </row>
    <row r="3019" spans="2:4" x14ac:dyDescent="0.5">
      <c r="C3019" t="s">
        <v>4581</v>
      </c>
    </row>
    <row r="3020" spans="2:4" x14ac:dyDescent="0.5">
      <c r="C3020" t="s">
        <v>4714</v>
      </c>
    </row>
    <row r="3021" spans="2:4" x14ac:dyDescent="0.5">
      <c r="D3021" t="s">
        <v>5879</v>
      </c>
    </row>
    <row r="3022" spans="2:4" x14ac:dyDescent="0.5">
      <c r="D3022" t="s">
        <v>5880</v>
      </c>
    </row>
    <row r="3023" spans="2:4" x14ac:dyDescent="0.5">
      <c r="D3023" t="s">
        <v>5881</v>
      </c>
    </row>
    <row r="3024" spans="2:4" x14ac:dyDescent="0.5">
      <c r="C3024" t="s">
        <v>4581</v>
      </c>
    </row>
    <row r="3026" spans="2:4" x14ac:dyDescent="0.5">
      <c r="C3026" t="s">
        <v>5882</v>
      </c>
    </row>
    <row r="3028" spans="2:4" x14ac:dyDescent="0.5">
      <c r="C3028" t="s">
        <v>5883</v>
      </c>
    </row>
    <row r="3029" spans="2:4" x14ac:dyDescent="0.5">
      <c r="C3029" t="s">
        <v>5884</v>
      </c>
    </row>
    <row r="3030" spans="2:4" x14ac:dyDescent="0.5">
      <c r="C3030" t="s">
        <v>4764</v>
      </c>
    </row>
    <row r="3032" spans="2:4" x14ac:dyDescent="0.5">
      <c r="C3032" t="s">
        <v>4735</v>
      </c>
    </row>
    <row r="3033" spans="2:4" x14ac:dyDescent="0.5">
      <c r="B3033" t="s">
        <v>4581</v>
      </c>
    </row>
    <row r="3034" spans="2:4" x14ac:dyDescent="0.5">
      <c r="B3034" t="s">
        <v>5885</v>
      </c>
    </row>
    <row r="3035" spans="2:4" x14ac:dyDescent="0.5">
      <c r="C3035" t="s">
        <v>5840</v>
      </c>
    </row>
    <row r="3037" spans="2:4" x14ac:dyDescent="0.5">
      <c r="C3037" t="s">
        <v>5886</v>
      </c>
    </row>
    <row r="3039" spans="2:4" x14ac:dyDescent="0.5">
      <c r="C3039" t="s">
        <v>4708</v>
      </c>
    </row>
    <row r="3040" spans="2:4" x14ac:dyDescent="0.5">
      <c r="D3040" t="s">
        <v>5887</v>
      </c>
    </row>
    <row r="3041" spans="3:4" x14ac:dyDescent="0.5">
      <c r="D3041" t="s">
        <v>5888</v>
      </c>
    </row>
    <row r="3042" spans="3:4" x14ac:dyDescent="0.5">
      <c r="D3042" t="s">
        <v>5889</v>
      </c>
    </row>
    <row r="3043" spans="3:4" x14ac:dyDescent="0.5">
      <c r="C3043" t="s">
        <v>4581</v>
      </c>
    </row>
    <row r="3044" spans="3:4" x14ac:dyDescent="0.5">
      <c r="C3044" t="s">
        <v>4714</v>
      </c>
    </row>
    <row r="3045" spans="3:4" x14ac:dyDescent="0.5">
      <c r="D3045" t="s">
        <v>5890</v>
      </c>
    </row>
    <row r="3046" spans="3:4" x14ac:dyDescent="0.5">
      <c r="D3046" t="s">
        <v>5891</v>
      </c>
    </row>
    <row r="3047" spans="3:4" x14ac:dyDescent="0.5">
      <c r="C3047" t="s">
        <v>4581</v>
      </c>
    </row>
    <row r="3049" spans="3:4" x14ac:dyDescent="0.5">
      <c r="C3049" t="s">
        <v>5849</v>
      </c>
    </row>
    <row r="3051" spans="3:4" x14ac:dyDescent="0.5">
      <c r="C3051" t="s">
        <v>5860</v>
      </c>
    </row>
    <row r="3053" spans="3:4" x14ac:dyDescent="0.5">
      <c r="C3053" t="s">
        <v>4735</v>
      </c>
    </row>
    <row r="3054" spans="3:4" x14ac:dyDescent="0.5">
      <c r="C3054" t="s">
        <v>4727</v>
      </c>
    </row>
    <row r="3055" spans="3:4" x14ac:dyDescent="0.5">
      <c r="C3055" t="s">
        <v>5826</v>
      </c>
    </row>
    <row r="3056" spans="3:4" x14ac:dyDescent="0.5">
      <c r="C3056" t="s">
        <v>4898</v>
      </c>
    </row>
    <row r="3057" spans="2:4" x14ac:dyDescent="0.5">
      <c r="C3057" t="s">
        <v>4803</v>
      </c>
    </row>
    <row r="3059" spans="2:4" x14ac:dyDescent="0.5">
      <c r="C3059" t="s">
        <v>4731</v>
      </c>
    </row>
    <row r="3060" spans="2:4" x14ac:dyDescent="0.5">
      <c r="C3060" t="s">
        <v>4732</v>
      </c>
    </row>
    <row r="3061" spans="2:4" x14ac:dyDescent="0.5">
      <c r="C3061" t="s">
        <v>4900</v>
      </c>
    </row>
    <row r="3062" spans="2:4" x14ac:dyDescent="0.5">
      <c r="C3062" t="s">
        <v>4804</v>
      </c>
    </row>
    <row r="3064" spans="2:4" x14ac:dyDescent="0.5">
      <c r="B3064" t="s">
        <v>4581</v>
      </c>
    </row>
    <row r="3065" spans="2:4" x14ac:dyDescent="0.5">
      <c r="B3065" t="s">
        <v>5892</v>
      </c>
    </row>
    <row r="3066" spans="2:4" x14ac:dyDescent="0.5">
      <c r="C3066" t="s">
        <v>5851</v>
      </c>
    </row>
    <row r="3068" spans="2:4" x14ac:dyDescent="0.5">
      <c r="C3068" t="s">
        <v>5893</v>
      </c>
    </row>
    <row r="3070" spans="2:4" x14ac:dyDescent="0.5">
      <c r="C3070" t="s">
        <v>4708</v>
      </c>
    </row>
    <row r="3071" spans="2:4" x14ac:dyDescent="0.5">
      <c r="D3071" t="s">
        <v>5894</v>
      </c>
    </row>
    <row r="3072" spans="2:4" x14ac:dyDescent="0.5">
      <c r="D3072" t="s">
        <v>5895</v>
      </c>
    </row>
    <row r="3073" spans="1:4" x14ac:dyDescent="0.5">
      <c r="C3073" t="s">
        <v>4581</v>
      </c>
    </row>
    <row r="3075" spans="1:4" x14ac:dyDescent="0.5">
      <c r="C3075" t="s">
        <v>4714</v>
      </c>
    </row>
    <row r="3076" spans="1:4" x14ac:dyDescent="0.5">
      <c r="D3076" t="s">
        <v>5896</v>
      </c>
    </row>
    <row r="3077" spans="1:4" x14ac:dyDescent="0.5">
      <c r="D3077" t="s">
        <v>5897</v>
      </c>
    </row>
    <row r="3078" spans="1:4" x14ac:dyDescent="0.5">
      <c r="C3078" t="s">
        <v>4581</v>
      </c>
    </row>
    <row r="3080" spans="1:4" x14ac:dyDescent="0.5">
      <c r="C3080" t="s">
        <v>5849</v>
      </c>
    </row>
    <row r="3082" spans="1:4" x14ac:dyDescent="0.5">
      <c r="C3082" t="s">
        <v>5860</v>
      </c>
    </row>
    <row r="3083" spans="1:4" x14ac:dyDescent="0.5">
      <c r="C3083" t="s">
        <v>4764</v>
      </c>
    </row>
    <row r="3085" spans="1:4" x14ac:dyDescent="0.5">
      <c r="C3085" t="s">
        <v>4735</v>
      </c>
    </row>
    <row r="3086" spans="1:4" x14ac:dyDescent="0.5">
      <c r="B3086" t="s">
        <v>4581</v>
      </c>
    </row>
    <row r="3087" spans="1:4" x14ac:dyDescent="0.5">
      <c r="A3087" t="s">
        <v>4581</v>
      </c>
    </row>
    <row r="3089" spans="1:4" x14ac:dyDescent="0.5">
      <c r="A3089" t="s">
        <v>4636</v>
      </c>
    </row>
    <row r="3090" spans="1:4" x14ac:dyDescent="0.5">
      <c r="B3090" t="s">
        <v>4698</v>
      </c>
    </row>
    <row r="3091" spans="1:4" x14ac:dyDescent="0.5">
      <c r="C3091" t="s">
        <v>4699</v>
      </c>
    </row>
    <row r="3092" spans="1:4" x14ac:dyDescent="0.5">
      <c r="B3092" t="s">
        <v>5493</v>
      </c>
    </row>
    <row r="3094" spans="1:4" x14ac:dyDescent="0.5">
      <c r="B3094" t="s">
        <v>5898</v>
      </c>
    </row>
    <row r="3095" spans="1:4" x14ac:dyDescent="0.5">
      <c r="C3095" t="s">
        <v>5899</v>
      </c>
    </row>
    <row r="3097" spans="1:4" x14ac:dyDescent="0.5">
      <c r="C3097" t="s">
        <v>5900</v>
      </c>
    </row>
    <row r="3099" spans="1:4" x14ac:dyDescent="0.5">
      <c r="C3099" t="s">
        <v>4708</v>
      </c>
    </row>
    <row r="3100" spans="1:4" x14ac:dyDescent="0.5">
      <c r="D3100" t="s">
        <v>5901</v>
      </c>
    </row>
    <row r="3101" spans="1:4" x14ac:dyDescent="0.5">
      <c r="D3101" t="s">
        <v>5902</v>
      </c>
    </row>
    <row r="3102" spans="1:4" x14ac:dyDescent="0.5">
      <c r="D3102" t="s">
        <v>5903</v>
      </c>
    </row>
    <row r="3103" spans="1:4" x14ac:dyDescent="0.5">
      <c r="D3103" t="s">
        <v>5904</v>
      </c>
    </row>
    <row r="3104" spans="1:4" x14ac:dyDescent="0.5">
      <c r="D3104" t="s">
        <v>5905</v>
      </c>
    </row>
    <row r="3105" spans="3:4" x14ac:dyDescent="0.5">
      <c r="C3105" t="s">
        <v>4581</v>
      </c>
    </row>
    <row r="3106" spans="3:4" x14ac:dyDescent="0.5">
      <c r="C3106" t="s">
        <v>4714</v>
      </c>
    </row>
    <row r="3107" spans="3:4" x14ac:dyDescent="0.5">
      <c r="D3107" t="s">
        <v>5906</v>
      </c>
    </row>
    <row r="3108" spans="3:4" x14ac:dyDescent="0.5">
      <c r="D3108" t="s">
        <v>5907</v>
      </c>
    </row>
    <row r="3109" spans="3:4" x14ac:dyDescent="0.5">
      <c r="D3109" t="s">
        <v>5908</v>
      </c>
    </row>
    <row r="3110" spans="3:4" x14ac:dyDescent="0.5">
      <c r="D3110" t="s">
        <v>5909</v>
      </c>
    </row>
    <row r="3111" spans="3:4" x14ac:dyDescent="0.5">
      <c r="C3111" t="s">
        <v>4581</v>
      </c>
    </row>
    <row r="3113" spans="3:4" x14ac:dyDescent="0.5">
      <c r="C3113" t="s">
        <v>5664</v>
      </c>
    </row>
    <row r="3115" spans="3:4" x14ac:dyDescent="0.5">
      <c r="C3115" t="s">
        <v>5910</v>
      </c>
    </row>
    <row r="3117" spans="3:4" x14ac:dyDescent="0.5">
      <c r="C3117" t="s">
        <v>5911</v>
      </c>
    </row>
    <row r="3118" spans="3:4" x14ac:dyDescent="0.5">
      <c r="C3118" t="s">
        <v>4764</v>
      </c>
    </row>
    <row r="3120" spans="3:4" x14ac:dyDescent="0.5">
      <c r="C3120" t="s">
        <v>4736</v>
      </c>
    </row>
    <row r="3122" spans="1:3" x14ac:dyDescent="0.5">
      <c r="C3122" t="s">
        <v>4735</v>
      </c>
    </row>
    <row r="3123" spans="1:3" x14ac:dyDescent="0.5">
      <c r="C3123" t="s">
        <v>5592</v>
      </c>
    </row>
    <row r="3124" spans="1:3" x14ac:dyDescent="0.5">
      <c r="B3124" t="s">
        <v>4581</v>
      </c>
    </row>
    <row r="3125" spans="1:3" x14ac:dyDescent="0.5">
      <c r="A3125" t="s">
        <v>4581</v>
      </c>
    </row>
    <row r="3127" spans="1:3" x14ac:dyDescent="0.5">
      <c r="A3127" t="s">
        <v>4637</v>
      </c>
    </row>
    <row r="3128" spans="1:3" x14ac:dyDescent="0.5">
      <c r="B3128" t="s">
        <v>4698</v>
      </c>
    </row>
    <row r="3129" spans="1:3" x14ac:dyDescent="0.5">
      <c r="C3129" t="s">
        <v>4699</v>
      </c>
    </row>
    <row r="3130" spans="1:3" x14ac:dyDescent="0.5">
      <c r="B3130" t="s">
        <v>5676</v>
      </c>
    </row>
    <row r="3132" spans="1:3" x14ac:dyDescent="0.5">
      <c r="B3132" t="s">
        <v>5912</v>
      </c>
    </row>
    <row r="3133" spans="1:3" x14ac:dyDescent="0.5">
      <c r="C3133" t="s">
        <v>5281</v>
      </c>
    </row>
    <row r="3134" spans="1:3" x14ac:dyDescent="0.5">
      <c r="C3134" t="s">
        <v>5282</v>
      </c>
    </row>
    <row r="3136" spans="1:3" x14ac:dyDescent="0.5">
      <c r="C3136" t="s">
        <v>5913</v>
      </c>
    </row>
    <row r="3138" spans="3:4" x14ac:dyDescent="0.5">
      <c r="C3138" t="s">
        <v>4708</v>
      </c>
    </row>
    <row r="3139" spans="3:4" x14ac:dyDescent="0.5">
      <c r="D3139" t="s">
        <v>5914</v>
      </c>
    </row>
    <row r="3140" spans="3:4" x14ac:dyDescent="0.5">
      <c r="D3140" t="s">
        <v>5915</v>
      </c>
    </row>
    <row r="3141" spans="3:4" x14ac:dyDescent="0.5">
      <c r="D3141" t="s">
        <v>5916</v>
      </c>
    </row>
    <row r="3142" spans="3:4" x14ac:dyDescent="0.5">
      <c r="D3142" t="s">
        <v>5917</v>
      </c>
    </row>
    <row r="3143" spans="3:4" x14ac:dyDescent="0.5">
      <c r="D3143" t="s">
        <v>5918</v>
      </c>
    </row>
    <row r="3144" spans="3:4" x14ac:dyDescent="0.5">
      <c r="D3144" t="s">
        <v>5919</v>
      </c>
    </row>
    <row r="3145" spans="3:4" x14ac:dyDescent="0.5">
      <c r="D3145" t="s">
        <v>5920</v>
      </c>
    </row>
    <row r="3146" spans="3:4" x14ac:dyDescent="0.5">
      <c r="C3146" t="s">
        <v>4581</v>
      </c>
    </row>
    <row r="3147" spans="3:4" x14ac:dyDescent="0.5">
      <c r="C3147" t="s">
        <v>4714</v>
      </c>
    </row>
    <row r="3148" spans="3:4" x14ac:dyDescent="0.5">
      <c r="D3148" t="s">
        <v>5921</v>
      </c>
    </row>
    <row r="3149" spans="3:4" x14ac:dyDescent="0.5">
      <c r="D3149" t="s">
        <v>5922</v>
      </c>
    </row>
    <row r="3150" spans="3:4" x14ac:dyDescent="0.5">
      <c r="D3150" t="s">
        <v>5923</v>
      </c>
    </row>
    <row r="3151" spans="3:4" x14ac:dyDescent="0.5">
      <c r="D3151" t="s">
        <v>5924</v>
      </c>
    </row>
    <row r="3152" spans="3:4" x14ac:dyDescent="0.5">
      <c r="C3152" t="s">
        <v>4581</v>
      </c>
    </row>
    <row r="3154" spans="2:3" x14ac:dyDescent="0.5">
      <c r="C3154" t="s">
        <v>5591</v>
      </c>
    </row>
    <row r="3155" spans="2:3" x14ac:dyDescent="0.5">
      <c r="C3155" t="s">
        <v>5538</v>
      </c>
    </row>
    <row r="3157" spans="2:3" x14ac:dyDescent="0.5">
      <c r="C3157" t="s">
        <v>5925</v>
      </c>
    </row>
    <row r="3158" spans="2:3" x14ac:dyDescent="0.5">
      <c r="C3158" t="s">
        <v>5926</v>
      </c>
    </row>
    <row r="3159" spans="2:3" x14ac:dyDescent="0.5">
      <c r="C3159" t="s">
        <v>4764</v>
      </c>
    </row>
    <row r="3161" spans="2:3" x14ac:dyDescent="0.5">
      <c r="C3161" t="s">
        <v>4735</v>
      </c>
    </row>
    <row r="3162" spans="2:3" x14ac:dyDescent="0.5">
      <c r="B3162" t="s">
        <v>4581</v>
      </c>
    </row>
    <row r="3164" spans="2:3" x14ac:dyDescent="0.5">
      <c r="B3164" t="s">
        <v>5927</v>
      </c>
    </row>
    <row r="3165" spans="2:3" x14ac:dyDescent="0.5">
      <c r="C3165" t="s">
        <v>5281</v>
      </c>
    </row>
    <row r="3166" spans="2:3" x14ac:dyDescent="0.5">
      <c r="C3166" t="s">
        <v>5282</v>
      </c>
    </row>
    <row r="3168" spans="2:3" x14ac:dyDescent="0.5">
      <c r="C3168" t="s">
        <v>5928</v>
      </c>
    </row>
    <row r="3170" spans="3:4" x14ac:dyDescent="0.5">
      <c r="C3170" t="s">
        <v>4708</v>
      </c>
    </row>
    <row r="3171" spans="3:4" x14ac:dyDescent="0.5">
      <c r="D3171" t="s">
        <v>5929</v>
      </c>
    </row>
    <row r="3172" spans="3:4" x14ac:dyDescent="0.5">
      <c r="D3172" t="s">
        <v>5930</v>
      </c>
    </row>
    <row r="3173" spans="3:4" x14ac:dyDescent="0.5">
      <c r="D3173" t="s">
        <v>5931</v>
      </c>
    </row>
    <row r="3174" spans="3:4" x14ac:dyDescent="0.5">
      <c r="D3174" t="s">
        <v>5932</v>
      </c>
    </row>
    <row r="3175" spans="3:4" x14ac:dyDescent="0.5">
      <c r="D3175" t="s">
        <v>5933</v>
      </c>
    </row>
    <row r="3176" spans="3:4" x14ac:dyDescent="0.5">
      <c r="D3176" t="s">
        <v>5934</v>
      </c>
    </row>
    <row r="3177" spans="3:4" x14ac:dyDescent="0.5">
      <c r="D3177" t="s">
        <v>5935</v>
      </c>
    </row>
    <row r="3178" spans="3:4" x14ac:dyDescent="0.5">
      <c r="D3178" t="s">
        <v>5936</v>
      </c>
    </row>
    <row r="3179" spans="3:4" x14ac:dyDescent="0.5">
      <c r="D3179" t="s">
        <v>5937</v>
      </c>
    </row>
    <row r="3180" spans="3:4" x14ac:dyDescent="0.5">
      <c r="D3180" t="s">
        <v>5938</v>
      </c>
    </row>
    <row r="3181" spans="3:4" x14ac:dyDescent="0.5">
      <c r="D3181" t="s">
        <v>5939</v>
      </c>
    </row>
    <row r="3182" spans="3:4" x14ac:dyDescent="0.5">
      <c r="D3182" t="s">
        <v>5940</v>
      </c>
    </row>
    <row r="3183" spans="3:4" x14ac:dyDescent="0.5">
      <c r="D3183" t="s">
        <v>5941</v>
      </c>
    </row>
    <row r="3184" spans="3:4" x14ac:dyDescent="0.5">
      <c r="D3184" t="s">
        <v>5942</v>
      </c>
    </row>
    <row r="3185" spans="3:4" x14ac:dyDescent="0.5">
      <c r="D3185" t="s">
        <v>5943</v>
      </c>
    </row>
    <row r="3186" spans="3:4" x14ac:dyDescent="0.5">
      <c r="D3186" t="s">
        <v>5944</v>
      </c>
    </row>
    <row r="3187" spans="3:4" x14ac:dyDescent="0.5">
      <c r="D3187" t="s">
        <v>5945</v>
      </c>
    </row>
    <row r="3188" spans="3:4" x14ac:dyDescent="0.5">
      <c r="D3188" t="s">
        <v>5946</v>
      </c>
    </row>
    <row r="3189" spans="3:4" x14ac:dyDescent="0.5">
      <c r="C3189" t="s">
        <v>4581</v>
      </c>
    </row>
    <row r="3190" spans="3:4" x14ac:dyDescent="0.5">
      <c r="C3190" t="s">
        <v>4714</v>
      </c>
    </row>
    <row r="3191" spans="3:4" x14ac:dyDescent="0.5">
      <c r="D3191" t="s">
        <v>5947</v>
      </c>
    </row>
    <row r="3192" spans="3:4" x14ac:dyDescent="0.5">
      <c r="D3192" t="s">
        <v>5948</v>
      </c>
    </row>
    <row r="3193" spans="3:4" x14ac:dyDescent="0.5">
      <c r="D3193" t="s">
        <v>5949</v>
      </c>
    </row>
    <row r="3194" spans="3:4" x14ac:dyDescent="0.5">
      <c r="D3194" t="s">
        <v>5950</v>
      </c>
    </row>
    <row r="3195" spans="3:4" x14ac:dyDescent="0.5">
      <c r="C3195" t="s">
        <v>4581</v>
      </c>
    </row>
    <row r="3197" spans="3:4" x14ac:dyDescent="0.5">
      <c r="C3197" t="s">
        <v>4720</v>
      </c>
    </row>
    <row r="3198" spans="3:4" x14ac:dyDescent="0.5">
      <c r="C3198" t="s">
        <v>5538</v>
      </c>
    </row>
    <row r="3200" spans="3:4" x14ac:dyDescent="0.5">
      <c r="C3200" t="s">
        <v>5951</v>
      </c>
    </row>
    <row r="3201" spans="2:4" x14ac:dyDescent="0.5">
      <c r="C3201" t="s">
        <v>5952</v>
      </c>
    </row>
    <row r="3202" spans="2:4" x14ac:dyDescent="0.5">
      <c r="C3202" t="s">
        <v>5953</v>
      </c>
    </row>
    <row r="3204" spans="2:4" x14ac:dyDescent="0.5">
      <c r="C3204" t="s">
        <v>4735</v>
      </c>
    </row>
    <row r="3205" spans="2:4" x14ac:dyDescent="0.5">
      <c r="B3205" t="s">
        <v>4581</v>
      </c>
    </row>
    <row r="3207" spans="2:4" x14ac:dyDescent="0.5">
      <c r="B3207" t="s">
        <v>5954</v>
      </c>
    </row>
    <row r="3208" spans="2:4" x14ac:dyDescent="0.5">
      <c r="C3208" t="s">
        <v>5281</v>
      </c>
    </row>
    <row r="3209" spans="2:4" x14ac:dyDescent="0.5">
      <c r="C3209" t="s">
        <v>5282</v>
      </c>
    </row>
    <row r="3211" spans="2:4" x14ac:dyDescent="0.5">
      <c r="C3211" t="s">
        <v>5955</v>
      </c>
    </row>
    <row r="3213" spans="2:4" x14ac:dyDescent="0.5">
      <c r="C3213" t="s">
        <v>4708</v>
      </c>
    </row>
    <row r="3214" spans="2:4" x14ac:dyDescent="0.5">
      <c r="D3214" t="s">
        <v>5956</v>
      </c>
    </row>
    <row r="3215" spans="2:4" x14ac:dyDescent="0.5">
      <c r="D3215" t="s">
        <v>5957</v>
      </c>
    </row>
    <row r="3216" spans="2:4" x14ac:dyDescent="0.5">
      <c r="D3216" t="s">
        <v>5958</v>
      </c>
    </row>
    <row r="3217" spans="3:4" x14ac:dyDescent="0.5">
      <c r="D3217" t="s">
        <v>5959</v>
      </c>
    </row>
    <row r="3218" spans="3:4" x14ac:dyDescent="0.5">
      <c r="D3218" t="s">
        <v>5960</v>
      </c>
    </row>
    <row r="3219" spans="3:4" x14ac:dyDescent="0.5">
      <c r="C3219" t="s">
        <v>4581</v>
      </c>
    </row>
    <row r="3220" spans="3:4" x14ac:dyDescent="0.5">
      <c r="C3220" t="s">
        <v>4714</v>
      </c>
    </row>
    <row r="3221" spans="3:4" x14ac:dyDescent="0.5">
      <c r="D3221" t="s">
        <v>5956</v>
      </c>
    </row>
    <row r="3222" spans="3:4" x14ac:dyDescent="0.5">
      <c r="D3222" t="s">
        <v>5961</v>
      </c>
    </row>
    <row r="3223" spans="3:4" x14ac:dyDescent="0.5">
      <c r="C3223" t="s">
        <v>4581</v>
      </c>
    </row>
    <row r="3225" spans="3:4" x14ac:dyDescent="0.5">
      <c r="C3225" t="s">
        <v>4720</v>
      </c>
    </row>
    <row r="3226" spans="3:4" x14ac:dyDescent="0.5">
      <c r="C3226" t="s">
        <v>5538</v>
      </c>
    </row>
    <row r="3228" spans="3:4" x14ac:dyDescent="0.5">
      <c r="C3228" t="s">
        <v>5962</v>
      </c>
    </row>
    <row r="3229" spans="3:4" x14ac:dyDescent="0.5">
      <c r="C3229" t="s">
        <v>5963</v>
      </c>
    </row>
    <row r="3230" spans="3:4" x14ac:dyDescent="0.5">
      <c r="C3230" t="s">
        <v>5964</v>
      </c>
    </row>
    <row r="3232" spans="3:4" x14ac:dyDescent="0.5">
      <c r="C3232" t="s">
        <v>4735</v>
      </c>
    </row>
    <row r="3233" spans="2:4" x14ac:dyDescent="0.5">
      <c r="B3233" t="s">
        <v>4581</v>
      </c>
    </row>
    <row r="3235" spans="2:4" x14ac:dyDescent="0.5">
      <c r="B3235" t="s">
        <v>5965</v>
      </c>
    </row>
    <row r="3236" spans="2:4" x14ac:dyDescent="0.5">
      <c r="C3236" t="s">
        <v>5966</v>
      </c>
    </row>
    <row r="3237" spans="2:4" x14ac:dyDescent="0.5">
      <c r="C3237" t="s">
        <v>5282</v>
      </c>
    </row>
    <row r="3239" spans="2:4" x14ac:dyDescent="0.5">
      <c r="C3239" t="s">
        <v>5967</v>
      </c>
    </row>
    <row r="3241" spans="2:4" x14ac:dyDescent="0.5">
      <c r="C3241" t="s">
        <v>4708</v>
      </c>
    </row>
    <row r="3242" spans="2:4" x14ac:dyDescent="0.5">
      <c r="D3242" t="s">
        <v>5968</v>
      </c>
    </row>
    <row r="3243" spans="2:4" x14ac:dyDescent="0.5">
      <c r="D3243" t="s">
        <v>5969</v>
      </c>
    </row>
    <row r="3244" spans="2:4" x14ac:dyDescent="0.5">
      <c r="D3244" t="s">
        <v>5970</v>
      </c>
    </row>
    <row r="3245" spans="2:4" x14ac:dyDescent="0.5">
      <c r="D3245" t="s">
        <v>5971</v>
      </c>
    </row>
    <row r="3246" spans="2:4" x14ac:dyDescent="0.5">
      <c r="D3246" t="s">
        <v>5972</v>
      </c>
    </row>
    <row r="3247" spans="2:4" x14ac:dyDescent="0.5">
      <c r="D3247" t="s">
        <v>5973</v>
      </c>
    </row>
    <row r="3248" spans="2:4" x14ac:dyDescent="0.5">
      <c r="D3248" t="s">
        <v>5974</v>
      </c>
    </row>
    <row r="3249" spans="3:4" x14ac:dyDescent="0.5">
      <c r="D3249" t="s">
        <v>5975</v>
      </c>
    </row>
    <row r="3250" spans="3:4" x14ac:dyDescent="0.5">
      <c r="D3250" t="s">
        <v>5976</v>
      </c>
    </row>
    <row r="3251" spans="3:4" x14ac:dyDescent="0.5">
      <c r="D3251" t="s">
        <v>5977</v>
      </c>
    </row>
    <row r="3252" spans="3:4" x14ac:dyDescent="0.5">
      <c r="D3252" t="s">
        <v>5978</v>
      </c>
    </row>
    <row r="3253" spans="3:4" x14ac:dyDescent="0.5">
      <c r="D3253" t="s">
        <v>5979</v>
      </c>
    </row>
    <row r="3254" spans="3:4" x14ac:dyDescent="0.5">
      <c r="C3254" t="s">
        <v>4581</v>
      </c>
    </row>
    <row r="3256" spans="3:4" x14ac:dyDescent="0.5">
      <c r="C3256" t="s">
        <v>4714</v>
      </c>
    </row>
    <row r="3257" spans="3:4" x14ac:dyDescent="0.5">
      <c r="D3257" t="s">
        <v>5980</v>
      </c>
    </row>
    <row r="3258" spans="3:4" x14ac:dyDescent="0.5">
      <c r="D3258" t="s">
        <v>5981</v>
      </c>
    </row>
    <row r="3259" spans="3:4" x14ac:dyDescent="0.5">
      <c r="D3259" t="s">
        <v>5982</v>
      </c>
    </row>
    <row r="3260" spans="3:4" x14ac:dyDescent="0.5">
      <c r="D3260" t="s">
        <v>5983</v>
      </c>
    </row>
    <row r="3261" spans="3:4" x14ac:dyDescent="0.5">
      <c r="D3261" t="s">
        <v>5984</v>
      </c>
    </row>
    <row r="3262" spans="3:4" x14ac:dyDescent="0.5">
      <c r="D3262" t="s">
        <v>5985</v>
      </c>
    </row>
    <row r="3263" spans="3:4" x14ac:dyDescent="0.5">
      <c r="D3263" t="s">
        <v>5986</v>
      </c>
    </row>
    <row r="3264" spans="3:4" x14ac:dyDescent="0.5">
      <c r="D3264" t="s">
        <v>5987</v>
      </c>
    </row>
    <row r="3265" spans="1:4" x14ac:dyDescent="0.5">
      <c r="D3265" t="s">
        <v>5988</v>
      </c>
    </row>
    <row r="3266" spans="1:4" x14ac:dyDescent="0.5">
      <c r="C3266" t="s">
        <v>4581</v>
      </c>
    </row>
    <row r="3268" spans="1:4" x14ac:dyDescent="0.5">
      <c r="C3268" t="s">
        <v>5591</v>
      </c>
    </row>
    <row r="3269" spans="1:4" x14ac:dyDescent="0.5">
      <c r="C3269" t="s">
        <v>5538</v>
      </c>
    </row>
    <row r="3271" spans="1:4" x14ac:dyDescent="0.5">
      <c r="C3271" t="s">
        <v>5989</v>
      </c>
    </row>
    <row r="3272" spans="1:4" x14ac:dyDescent="0.5">
      <c r="C3272" t="s">
        <v>5990</v>
      </c>
    </row>
    <row r="3273" spans="1:4" x14ac:dyDescent="0.5">
      <c r="C3273" t="s">
        <v>5297</v>
      </c>
    </row>
    <row r="3275" spans="1:4" x14ac:dyDescent="0.5">
      <c r="C3275" t="s">
        <v>4735</v>
      </c>
    </row>
    <row r="3276" spans="1:4" x14ac:dyDescent="0.5">
      <c r="B3276" t="s">
        <v>4581</v>
      </c>
    </row>
    <row r="3278" spans="1:4" x14ac:dyDescent="0.5">
      <c r="B3278" t="s">
        <v>5991</v>
      </c>
    </row>
    <row r="3279" spans="1:4" x14ac:dyDescent="0.5">
      <c r="A3279" t="s">
        <v>4638</v>
      </c>
    </row>
    <row r="3280" spans="1:4" x14ac:dyDescent="0.5">
      <c r="A3280" t="s">
        <v>4639</v>
      </c>
    </row>
    <row r="3282" spans="1:1" x14ac:dyDescent="0.5">
      <c r="A3282" t="s">
        <v>4640</v>
      </c>
    </row>
    <row r="3284" spans="1:1" x14ac:dyDescent="0.5">
      <c r="A3284" t="s">
        <v>4641</v>
      </c>
    </row>
    <row r="3285" spans="1:1" x14ac:dyDescent="0.5">
      <c r="A3285" t="s">
        <v>4642</v>
      </c>
    </row>
    <row r="3286" spans="1:1" x14ac:dyDescent="0.5">
      <c r="A3286" t="s">
        <v>4643</v>
      </c>
    </row>
    <row r="3287" spans="1:1" x14ac:dyDescent="0.5">
      <c r="A3287" t="s">
        <v>4644</v>
      </c>
    </row>
    <row r="3288" spans="1:1" x14ac:dyDescent="0.5">
      <c r="A3288" t="s">
        <v>4645</v>
      </c>
    </row>
    <row r="3289" spans="1:1" x14ac:dyDescent="0.5">
      <c r="A3289" t="s">
        <v>4646</v>
      </c>
    </row>
    <row r="3290" spans="1:1" x14ac:dyDescent="0.5">
      <c r="A3290" t="s">
        <v>4647</v>
      </c>
    </row>
    <row r="3291" spans="1:1" x14ac:dyDescent="0.5">
      <c r="A3291" t="s">
        <v>4648</v>
      </c>
    </row>
    <row r="3292" spans="1:1" x14ac:dyDescent="0.5">
      <c r="A3292" t="s">
        <v>4649</v>
      </c>
    </row>
    <row r="3293" spans="1:1" x14ac:dyDescent="0.5">
      <c r="A3293" t="s">
        <v>4586</v>
      </c>
    </row>
    <row r="3295" spans="1:1" x14ac:dyDescent="0.5">
      <c r="A3295" t="s">
        <v>4633</v>
      </c>
    </row>
    <row r="3296" spans="1:1" x14ac:dyDescent="0.5">
      <c r="A3296" t="s">
        <v>4650</v>
      </c>
    </row>
    <row r="3297" spans="1:1" x14ac:dyDescent="0.5">
      <c r="A3297" t="s">
        <v>4651</v>
      </c>
    </row>
    <row r="3298" spans="1:1" x14ac:dyDescent="0.5">
      <c r="A3298" t="s">
        <v>4652</v>
      </c>
    </row>
    <row r="3299" spans="1:1" x14ac:dyDescent="0.5">
      <c r="A3299" t="s">
        <v>4653</v>
      </c>
    </row>
    <row r="3300" spans="1:1" x14ac:dyDescent="0.5">
      <c r="A3300" t="s">
        <v>4654</v>
      </c>
    </row>
    <row r="3301" spans="1:1" x14ac:dyDescent="0.5">
      <c r="A3301" t="s">
        <v>4655</v>
      </c>
    </row>
    <row r="3302" spans="1:1" x14ac:dyDescent="0.5">
      <c r="A3302" t="s">
        <v>4656</v>
      </c>
    </row>
    <row r="3303" spans="1:1" x14ac:dyDescent="0.5">
      <c r="A3303" t="s">
        <v>4586</v>
      </c>
    </row>
    <row r="3304" spans="1:1" x14ac:dyDescent="0.5">
      <c r="A3304" t="s">
        <v>4657</v>
      </c>
    </row>
    <row r="3305" spans="1:1" x14ac:dyDescent="0.5">
      <c r="A3305" t="s">
        <v>4658</v>
      </c>
    </row>
    <row r="3306" spans="1:1" x14ac:dyDescent="0.5">
      <c r="A3306" t="s">
        <v>4659</v>
      </c>
    </row>
    <row r="3308" spans="1:1" x14ac:dyDescent="0.5">
      <c r="A3308" t="s">
        <v>4660</v>
      </c>
    </row>
    <row r="3309" spans="1:1" x14ac:dyDescent="0.5">
      <c r="A3309" t="s">
        <v>4661</v>
      </c>
    </row>
    <row r="3310" spans="1:1" x14ac:dyDescent="0.5">
      <c r="A3310" t="s">
        <v>4662</v>
      </c>
    </row>
    <row r="3312" spans="1:1" x14ac:dyDescent="0.5">
      <c r="A3312" t="s">
        <v>4663</v>
      </c>
    </row>
    <row r="3313" spans="1:1" x14ac:dyDescent="0.5">
      <c r="A3313" t="s">
        <v>4664</v>
      </c>
    </row>
    <row r="3314" spans="1:1" x14ac:dyDescent="0.5">
      <c r="A3314" t="s">
        <v>4665</v>
      </c>
    </row>
    <row r="3315" spans="1:1" x14ac:dyDescent="0.5">
      <c r="A3315" t="s">
        <v>4666</v>
      </c>
    </row>
    <row r="3316" spans="1:1" x14ac:dyDescent="0.5">
      <c r="A3316" t="s">
        <v>4638</v>
      </c>
    </row>
    <row r="3317" spans="1:1" x14ac:dyDescent="0.5">
      <c r="A3317" t="s">
        <v>4639</v>
      </c>
    </row>
    <row r="3319" spans="1:1" x14ac:dyDescent="0.5">
      <c r="A3319" t="s">
        <v>4667</v>
      </c>
    </row>
    <row r="3321" spans="1:1" x14ac:dyDescent="0.5">
      <c r="A3321" t="s">
        <v>4641</v>
      </c>
    </row>
    <row r="3322" spans="1:1" x14ac:dyDescent="0.5">
      <c r="A3322" t="s">
        <v>4668</v>
      </c>
    </row>
    <row r="3323" spans="1:1" x14ac:dyDescent="0.5">
      <c r="A3323" t="s">
        <v>4669</v>
      </c>
    </row>
    <row r="3324" spans="1:1" x14ac:dyDescent="0.5">
      <c r="A3324" t="s">
        <v>4670</v>
      </c>
    </row>
    <row r="3325" spans="1:1" x14ac:dyDescent="0.5">
      <c r="A3325" t="s">
        <v>4671</v>
      </c>
    </row>
    <row r="3326" spans="1:1" x14ac:dyDescent="0.5">
      <c r="A3326" t="s">
        <v>4672</v>
      </c>
    </row>
    <row r="3327" spans="1:1" x14ac:dyDescent="0.5">
      <c r="A3327" t="s">
        <v>4673</v>
      </c>
    </row>
    <row r="3328" spans="1:1" x14ac:dyDescent="0.5">
      <c r="A3328" t="s">
        <v>4586</v>
      </c>
    </row>
    <row r="3330" spans="1:1" x14ac:dyDescent="0.5">
      <c r="A3330" t="s">
        <v>4633</v>
      </c>
    </row>
    <row r="3331" spans="1:1" x14ac:dyDescent="0.5">
      <c r="A3331" t="s">
        <v>4674</v>
      </c>
    </row>
    <row r="3332" spans="1:1" x14ac:dyDescent="0.5">
      <c r="A3332" t="s">
        <v>4675</v>
      </c>
    </row>
    <row r="3333" spans="1:1" x14ac:dyDescent="0.5">
      <c r="A3333" t="s">
        <v>4676</v>
      </c>
    </row>
    <row r="3334" spans="1:1" x14ac:dyDescent="0.5">
      <c r="A3334" t="s">
        <v>4677</v>
      </c>
    </row>
    <row r="3335" spans="1:1" x14ac:dyDescent="0.5">
      <c r="A3335" t="s">
        <v>4678</v>
      </c>
    </row>
    <row r="3336" spans="1:1" x14ac:dyDescent="0.5">
      <c r="A3336" t="s">
        <v>4586</v>
      </c>
    </row>
    <row r="3337" spans="1:1" x14ac:dyDescent="0.5">
      <c r="A3337" t="s">
        <v>4657</v>
      </c>
    </row>
    <row r="3338" spans="1:1" x14ac:dyDescent="0.5">
      <c r="A3338" t="s">
        <v>4658</v>
      </c>
    </row>
    <row r="3339" spans="1:1" x14ac:dyDescent="0.5">
      <c r="A3339" t="s">
        <v>4659</v>
      </c>
    </row>
    <row r="3341" spans="1:1" x14ac:dyDescent="0.5">
      <c r="A3341" t="s">
        <v>4679</v>
      </c>
    </row>
    <row r="3342" spans="1:1" x14ac:dyDescent="0.5">
      <c r="A3342" t="s">
        <v>4661</v>
      </c>
    </row>
    <row r="3343" spans="1:1" x14ac:dyDescent="0.5">
      <c r="A3343" t="s">
        <v>4662</v>
      </c>
    </row>
    <row r="3345" spans="1:4" x14ac:dyDescent="0.5">
      <c r="A3345" t="s">
        <v>4663</v>
      </c>
    </row>
    <row r="3346" spans="1:4" x14ac:dyDescent="0.5">
      <c r="A3346" t="s">
        <v>4664</v>
      </c>
    </row>
    <row r="3348" spans="1:4" x14ac:dyDescent="0.5">
      <c r="B3348" t="s">
        <v>5992</v>
      </c>
    </row>
    <row r="3349" spans="1:4" x14ac:dyDescent="0.5">
      <c r="A3349" t="s">
        <v>4638</v>
      </c>
    </row>
    <row r="3350" spans="1:4" x14ac:dyDescent="0.5">
      <c r="C3350" t="s">
        <v>5282</v>
      </c>
    </row>
    <row r="3352" spans="1:4" x14ac:dyDescent="0.5">
      <c r="A3352" t="s">
        <v>4680</v>
      </c>
    </row>
    <row r="3353" spans="1:4" x14ac:dyDescent="0.5">
      <c r="A3353" t="s">
        <v>4681</v>
      </c>
    </row>
    <row r="3354" spans="1:4" x14ac:dyDescent="0.5">
      <c r="A3354" t="s">
        <v>4631</v>
      </c>
    </row>
    <row r="3355" spans="1:4" x14ac:dyDescent="0.5">
      <c r="A3355" t="s">
        <v>4682</v>
      </c>
    </row>
    <row r="3356" spans="1:4" x14ac:dyDescent="0.5">
      <c r="D3356" t="s">
        <v>5993</v>
      </c>
    </row>
    <row r="3357" spans="1:4" x14ac:dyDescent="0.5">
      <c r="D3357" t="s">
        <v>5994</v>
      </c>
    </row>
    <row r="3358" spans="1:4" x14ac:dyDescent="0.5">
      <c r="D3358" t="s">
        <v>5995</v>
      </c>
    </row>
    <row r="3359" spans="1:4" x14ac:dyDescent="0.5">
      <c r="D3359" t="s">
        <v>5996</v>
      </c>
    </row>
    <row r="3360" spans="1:4" x14ac:dyDescent="0.5">
      <c r="D3360" t="s">
        <v>5997</v>
      </c>
    </row>
    <row r="3361" spans="1:3" x14ac:dyDescent="0.5">
      <c r="A3361" t="s">
        <v>4586</v>
      </c>
    </row>
    <row r="3362" spans="1:3" x14ac:dyDescent="0.5">
      <c r="A3362" t="s">
        <v>4633</v>
      </c>
    </row>
    <row r="3363" spans="1:3" x14ac:dyDescent="0.5">
      <c r="A3363" t="s">
        <v>4683</v>
      </c>
    </row>
    <row r="3364" spans="1:3" x14ac:dyDescent="0.5">
      <c r="A3364" t="s">
        <v>4586</v>
      </c>
    </row>
    <row r="3366" spans="1:3" x14ac:dyDescent="0.5">
      <c r="C3366" t="s">
        <v>4720</v>
      </c>
    </row>
    <row r="3368" spans="1:3" x14ac:dyDescent="0.5">
      <c r="A3368" t="s">
        <v>4684</v>
      </c>
    </row>
    <row r="3369" spans="1:3" x14ac:dyDescent="0.5">
      <c r="A3369" t="s">
        <v>4685</v>
      </c>
    </row>
    <row r="3370" spans="1:3" x14ac:dyDescent="0.5">
      <c r="A3370" t="s">
        <v>4686</v>
      </c>
    </row>
    <row r="3372" spans="1:3" x14ac:dyDescent="0.5">
      <c r="C3372" t="s">
        <v>4735</v>
      </c>
    </row>
    <row r="3373" spans="1:3" x14ac:dyDescent="0.5">
      <c r="A3373" t="s">
        <v>4664</v>
      </c>
    </row>
    <row r="3374" spans="1:3" x14ac:dyDescent="0.5">
      <c r="A3374" t="s">
        <v>4581</v>
      </c>
    </row>
    <row r="3376" spans="1:3" x14ac:dyDescent="0.5">
      <c r="A3376" t="s">
        <v>4687</v>
      </c>
    </row>
    <row r="3377" spans="2:4" x14ac:dyDescent="0.5">
      <c r="B3377" t="s">
        <v>4698</v>
      </c>
    </row>
    <row r="3378" spans="2:4" x14ac:dyDescent="0.5">
      <c r="C3378" t="s">
        <v>4699</v>
      </c>
    </row>
    <row r="3379" spans="2:4" x14ac:dyDescent="0.5">
      <c r="B3379" t="s">
        <v>5676</v>
      </c>
    </row>
    <row r="3381" spans="2:4" x14ac:dyDescent="0.5">
      <c r="B3381" t="s">
        <v>5998</v>
      </c>
    </row>
    <row r="3382" spans="2:4" x14ac:dyDescent="0.5">
      <c r="C3382" t="s">
        <v>5999</v>
      </c>
    </row>
    <row r="3383" spans="2:4" x14ac:dyDescent="0.5">
      <c r="C3383" t="s">
        <v>5282</v>
      </c>
    </row>
    <row r="3385" spans="2:4" x14ac:dyDescent="0.5">
      <c r="C3385" t="s">
        <v>6000</v>
      </c>
    </row>
    <row r="3387" spans="2:4" x14ac:dyDescent="0.5">
      <c r="C3387" t="s">
        <v>4708</v>
      </c>
    </row>
    <row r="3388" spans="2:4" x14ac:dyDescent="0.5">
      <c r="D3388" t="s">
        <v>6001</v>
      </c>
    </row>
    <row r="3389" spans="2:4" x14ac:dyDescent="0.5">
      <c r="C3389" t="s">
        <v>4581</v>
      </c>
    </row>
    <row r="3390" spans="2:4" x14ac:dyDescent="0.5">
      <c r="C3390" t="s">
        <v>4714</v>
      </c>
    </row>
    <row r="3391" spans="2:4" x14ac:dyDescent="0.5">
      <c r="D3391" t="s">
        <v>6002</v>
      </c>
    </row>
    <row r="3392" spans="2:4" x14ac:dyDescent="0.5">
      <c r="D3392" t="s">
        <v>6003</v>
      </c>
    </row>
    <row r="3393" spans="2:4" x14ac:dyDescent="0.5">
      <c r="D3393" t="s">
        <v>6004</v>
      </c>
    </row>
    <row r="3394" spans="2:4" x14ac:dyDescent="0.5">
      <c r="D3394" t="s">
        <v>6005</v>
      </c>
    </row>
    <row r="3395" spans="2:4" x14ac:dyDescent="0.5">
      <c r="C3395" t="s">
        <v>4581</v>
      </c>
    </row>
    <row r="3397" spans="2:4" x14ac:dyDescent="0.5">
      <c r="C3397" t="s">
        <v>5538</v>
      </c>
    </row>
    <row r="3398" spans="2:4" x14ac:dyDescent="0.5">
      <c r="C3398" t="s">
        <v>4720</v>
      </c>
    </row>
    <row r="3400" spans="2:4" x14ac:dyDescent="0.5">
      <c r="C3400" t="s">
        <v>4735</v>
      </c>
    </row>
    <row r="3401" spans="2:4" x14ac:dyDescent="0.5">
      <c r="B3401" t="s">
        <v>4581</v>
      </c>
    </row>
    <row r="3403" spans="2:4" x14ac:dyDescent="0.5">
      <c r="B3403" t="s">
        <v>6006</v>
      </c>
    </row>
    <row r="3404" spans="2:4" x14ac:dyDescent="0.5">
      <c r="C3404" t="s">
        <v>5999</v>
      </c>
    </row>
    <row r="3405" spans="2:4" x14ac:dyDescent="0.5">
      <c r="C3405" t="s">
        <v>5282</v>
      </c>
    </row>
    <row r="3407" spans="2:4" x14ac:dyDescent="0.5">
      <c r="C3407" t="s">
        <v>6007</v>
      </c>
    </row>
    <row r="3409" spans="3:4" x14ac:dyDescent="0.5">
      <c r="C3409" t="s">
        <v>4708</v>
      </c>
    </row>
    <row r="3410" spans="3:4" x14ac:dyDescent="0.5">
      <c r="D3410" t="s">
        <v>6008</v>
      </c>
    </row>
    <row r="3411" spans="3:4" x14ac:dyDescent="0.5">
      <c r="D3411" t="s">
        <v>6009</v>
      </c>
    </row>
    <row r="3412" spans="3:4" x14ac:dyDescent="0.5">
      <c r="D3412" t="s">
        <v>6010</v>
      </c>
    </row>
    <row r="3413" spans="3:4" x14ac:dyDescent="0.5">
      <c r="D3413" t="s">
        <v>6011</v>
      </c>
    </row>
    <row r="3414" spans="3:4" x14ac:dyDescent="0.5">
      <c r="D3414" t="s">
        <v>6012</v>
      </c>
    </row>
    <row r="3415" spans="3:4" x14ac:dyDescent="0.5">
      <c r="C3415" t="s">
        <v>4581</v>
      </c>
    </row>
    <row r="3416" spans="3:4" x14ac:dyDescent="0.5">
      <c r="C3416" t="s">
        <v>4714</v>
      </c>
    </row>
    <row r="3417" spans="3:4" x14ac:dyDescent="0.5">
      <c r="D3417" t="s">
        <v>6013</v>
      </c>
    </row>
    <row r="3418" spans="3:4" x14ac:dyDescent="0.5">
      <c r="D3418" t="s">
        <v>6014</v>
      </c>
    </row>
    <row r="3419" spans="3:4" x14ac:dyDescent="0.5">
      <c r="D3419" t="s">
        <v>6015</v>
      </c>
    </row>
    <row r="3420" spans="3:4" x14ac:dyDescent="0.5">
      <c r="D3420" t="s">
        <v>6016</v>
      </c>
    </row>
    <row r="3421" spans="3:4" x14ac:dyDescent="0.5">
      <c r="C3421" t="s">
        <v>4581</v>
      </c>
    </row>
    <row r="3423" spans="3:4" x14ac:dyDescent="0.5">
      <c r="C3423" t="s">
        <v>5538</v>
      </c>
    </row>
    <row r="3424" spans="3:4" x14ac:dyDescent="0.5">
      <c r="C3424" t="s">
        <v>4720</v>
      </c>
    </row>
    <row r="3426" spans="2:4" x14ac:dyDescent="0.5">
      <c r="C3426" t="s">
        <v>4735</v>
      </c>
    </row>
    <row r="3427" spans="2:4" x14ac:dyDescent="0.5">
      <c r="B3427" t="s">
        <v>4581</v>
      </c>
    </row>
    <row r="3429" spans="2:4" x14ac:dyDescent="0.5">
      <c r="B3429" t="s">
        <v>6017</v>
      </c>
    </row>
    <row r="3430" spans="2:4" x14ac:dyDescent="0.5">
      <c r="C3430" t="s">
        <v>5999</v>
      </c>
    </row>
    <row r="3431" spans="2:4" x14ac:dyDescent="0.5">
      <c r="C3431" t="s">
        <v>5282</v>
      </c>
    </row>
    <row r="3433" spans="2:4" x14ac:dyDescent="0.5">
      <c r="C3433" t="s">
        <v>6018</v>
      </c>
    </row>
    <row r="3435" spans="2:4" x14ac:dyDescent="0.5">
      <c r="C3435" t="s">
        <v>4708</v>
      </c>
    </row>
    <row r="3436" spans="2:4" x14ac:dyDescent="0.5">
      <c r="D3436" t="s">
        <v>6019</v>
      </c>
    </row>
    <row r="3437" spans="2:4" x14ac:dyDescent="0.5">
      <c r="D3437" t="s">
        <v>6020</v>
      </c>
    </row>
    <row r="3438" spans="2:4" x14ac:dyDescent="0.5">
      <c r="D3438" t="s">
        <v>6021</v>
      </c>
    </row>
    <row r="3439" spans="2:4" x14ac:dyDescent="0.5">
      <c r="D3439" t="s">
        <v>6022</v>
      </c>
    </row>
    <row r="3440" spans="2:4" x14ac:dyDescent="0.5">
      <c r="D3440" t="s">
        <v>6023</v>
      </c>
    </row>
    <row r="3441" spans="2:4" x14ac:dyDescent="0.5">
      <c r="D3441" t="s">
        <v>6024</v>
      </c>
    </row>
    <row r="3442" spans="2:4" x14ac:dyDescent="0.5">
      <c r="D3442" t="s">
        <v>6025</v>
      </c>
    </row>
    <row r="3443" spans="2:4" x14ac:dyDescent="0.5">
      <c r="C3443" t="s">
        <v>4581</v>
      </c>
    </row>
    <row r="3444" spans="2:4" x14ac:dyDescent="0.5">
      <c r="C3444" t="s">
        <v>4714</v>
      </c>
    </row>
    <row r="3445" spans="2:4" x14ac:dyDescent="0.5">
      <c r="D3445" t="s">
        <v>6026</v>
      </c>
    </row>
    <row r="3446" spans="2:4" x14ac:dyDescent="0.5">
      <c r="D3446" t="s">
        <v>6027</v>
      </c>
    </row>
    <row r="3447" spans="2:4" x14ac:dyDescent="0.5">
      <c r="D3447" t="s">
        <v>6028</v>
      </c>
    </row>
    <row r="3448" spans="2:4" x14ac:dyDescent="0.5">
      <c r="D3448" t="s">
        <v>6029</v>
      </c>
    </row>
    <row r="3449" spans="2:4" x14ac:dyDescent="0.5">
      <c r="C3449" t="s">
        <v>4581</v>
      </c>
    </row>
    <row r="3451" spans="2:4" x14ac:dyDescent="0.5">
      <c r="C3451" t="s">
        <v>5538</v>
      </c>
    </row>
    <row r="3452" spans="2:4" x14ac:dyDescent="0.5">
      <c r="C3452" t="s">
        <v>4720</v>
      </c>
    </row>
    <row r="3454" spans="2:4" x14ac:dyDescent="0.5">
      <c r="C3454" t="s">
        <v>4735</v>
      </c>
    </row>
    <row r="3455" spans="2:4" x14ac:dyDescent="0.5">
      <c r="B3455" t="s">
        <v>4581</v>
      </c>
    </row>
    <row r="3457" spans="2:4" x14ac:dyDescent="0.5">
      <c r="B3457" t="s">
        <v>6030</v>
      </c>
    </row>
    <row r="3458" spans="2:4" x14ac:dyDescent="0.5">
      <c r="C3458" t="s">
        <v>5999</v>
      </c>
    </row>
    <row r="3459" spans="2:4" x14ac:dyDescent="0.5">
      <c r="C3459" t="s">
        <v>5282</v>
      </c>
    </row>
    <row r="3461" spans="2:4" x14ac:dyDescent="0.5">
      <c r="C3461" t="s">
        <v>6031</v>
      </c>
    </row>
    <row r="3463" spans="2:4" x14ac:dyDescent="0.5">
      <c r="C3463" t="s">
        <v>4708</v>
      </c>
    </row>
    <row r="3464" spans="2:4" x14ac:dyDescent="0.5">
      <c r="D3464" t="s">
        <v>6032</v>
      </c>
    </row>
    <row r="3465" spans="2:4" x14ac:dyDescent="0.5">
      <c r="C3465" t="s">
        <v>4581</v>
      </c>
    </row>
    <row r="3466" spans="2:4" x14ac:dyDescent="0.5">
      <c r="C3466" t="s">
        <v>4714</v>
      </c>
    </row>
    <row r="3467" spans="2:4" x14ac:dyDescent="0.5">
      <c r="D3467" t="s">
        <v>6033</v>
      </c>
    </row>
    <row r="3468" spans="2:4" x14ac:dyDescent="0.5">
      <c r="C3468" t="s">
        <v>4581</v>
      </c>
    </row>
    <row r="3470" spans="2:4" x14ac:dyDescent="0.5">
      <c r="C3470" t="s">
        <v>5538</v>
      </c>
    </row>
    <row r="3471" spans="2:4" x14ac:dyDescent="0.5">
      <c r="C3471" t="s">
        <v>4720</v>
      </c>
    </row>
    <row r="3473" spans="1:3" x14ac:dyDescent="0.5">
      <c r="C3473" t="s">
        <v>4736</v>
      </c>
    </row>
    <row r="3474" spans="1:3" x14ac:dyDescent="0.5">
      <c r="B3474" t="s">
        <v>4581</v>
      </c>
    </row>
    <row r="3475" spans="1:3" x14ac:dyDescent="0.5">
      <c r="A3475" t="s">
        <v>4581</v>
      </c>
    </row>
    <row r="3477" spans="1:3" x14ac:dyDescent="0.5">
      <c r="A3477" t="s">
        <v>4688</v>
      </c>
    </row>
    <row r="3478" spans="1:3" x14ac:dyDescent="0.5">
      <c r="B3478" t="s">
        <v>4698</v>
      </c>
    </row>
    <row r="3479" spans="1:3" x14ac:dyDescent="0.5">
      <c r="C3479" t="s">
        <v>4699</v>
      </c>
    </row>
    <row r="3480" spans="1:3" x14ac:dyDescent="0.5">
      <c r="B3480" t="s">
        <v>5676</v>
      </c>
    </row>
    <row r="3482" spans="1:3" x14ac:dyDescent="0.5">
      <c r="B3482" t="s">
        <v>6034</v>
      </c>
    </row>
    <row r="3483" spans="1:3" x14ac:dyDescent="0.5">
      <c r="C3483" t="s">
        <v>6035</v>
      </c>
    </row>
    <row r="3484" spans="1:3" x14ac:dyDescent="0.5">
      <c r="C3484" t="s">
        <v>5282</v>
      </c>
    </row>
    <row r="3486" spans="1:3" x14ac:dyDescent="0.5">
      <c r="C3486" t="s">
        <v>6036</v>
      </c>
    </row>
    <row r="3488" spans="1:3" x14ac:dyDescent="0.5">
      <c r="C3488" t="s">
        <v>4708</v>
      </c>
    </row>
    <row r="3489" spans="2:4" x14ac:dyDescent="0.5">
      <c r="D3489" t="s">
        <v>6037</v>
      </c>
    </row>
    <row r="3490" spans="2:4" x14ac:dyDescent="0.5">
      <c r="C3490" t="s">
        <v>4581</v>
      </c>
    </row>
    <row r="3491" spans="2:4" x14ac:dyDescent="0.5">
      <c r="C3491" t="s">
        <v>4714</v>
      </c>
    </row>
    <row r="3492" spans="2:4" x14ac:dyDescent="0.5">
      <c r="D3492" t="s">
        <v>6038</v>
      </c>
    </row>
    <row r="3493" spans="2:4" x14ac:dyDescent="0.5">
      <c r="C3493" t="s">
        <v>4581</v>
      </c>
    </row>
    <row r="3494" spans="2:4" x14ac:dyDescent="0.5">
      <c r="B3494" t="s">
        <v>4581</v>
      </c>
    </row>
    <row r="3496" spans="2:4" x14ac:dyDescent="0.5">
      <c r="B3496" t="s">
        <v>6039</v>
      </c>
    </row>
    <row r="3497" spans="2:4" x14ac:dyDescent="0.5">
      <c r="C3497" t="s">
        <v>6035</v>
      </c>
    </row>
    <row r="3498" spans="2:4" x14ac:dyDescent="0.5">
      <c r="C3498" t="s">
        <v>5282</v>
      </c>
    </row>
    <row r="3500" spans="2:4" x14ac:dyDescent="0.5">
      <c r="C3500" t="s">
        <v>6040</v>
      </c>
    </row>
    <row r="3502" spans="2:4" x14ac:dyDescent="0.5">
      <c r="C3502" t="s">
        <v>4708</v>
      </c>
    </row>
    <row r="3503" spans="2:4" x14ac:dyDescent="0.5">
      <c r="D3503" t="s">
        <v>6041</v>
      </c>
    </row>
    <row r="3504" spans="2:4" x14ac:dyDescent="0.5">
      <c r="C3504" t="s">
        <v>4581</v>
      </c>
    </row>
    <row r="3505" spans="2:4" x14ac:dyDescent="0.5">
      <c r="C3505" t="s">
        <v>4714</v>
      </c>
    </row>
    <row r="3506" spans="2:4" x14ac:dyDescent="0.5">
      <c r="D3506" t="s">
        <v>6042</v>
      </c>
    </row>
    <row r="3507" spans="2:4" x14ac:dyDescent="0.5">
      <c r="C3507" t="s">
        <v>4581</v>
      </c>
    </row>
    <row r="3508" spans="2:4" x14ac:dyDescent="0.5">
      <c r="B3508" t="s">
        <v>4581</v>
      </c>
    </row>
    <row r="3510" spans="2:4" x14ac:dyDescent="0.5">
      <c r="B3510" t="s">
        <v>6043</v>
      </c>
    </row>
    <row r="3511" spans="2:4" x14ac:dyDescent="0.5">
      <c r="C3511" t="s">
        <v>6035</v>
      </c>
    </row>
    <row r="3512" spans="2:4" x14ac:dyDescent="0.5">
      <c r="C3512" t="s">
        <v>5282</v>
      </c>
    </row>
    <row r="3514" spans="2:4" x14ac:dyDescent="0.5">
      <c r="C3514" t="s">
        <v>6044</v>
      </c>
    </row>
    <row r="3516" spans="2:4" x14ac:dyDescent="0.5">
      <c r="C3516" t="s">
        <v>4708</v>
      </c>
    </row>
    <row r="3517" spans="2:4" x14ac:dyDescent="0.5">
      <c r="D3517" t="s">
        <v>6045</v>
      </c>
    </row>
    <row r="3518" spans="2:4" x14ac:dyDescent="0.5">
      <c r="C3518" t="s">
        <v>4581</v>
      </c>
    </row>
    <row r="3519" spans="2:4" x14ac:dyDescent="0.5">
      <c r="C3519" t="s">
        <v>4714</v>
      </c>
    </row>
    <row r="3520" spans="2:4" x14ac:dyDescent="0.5">
      <c r="D3520" t="s">
        <v>6046</v>
      </c>
    </row>
    <row r="3521" spans="1:3" x14ac:dyDescent="0.5">
      <c r="C3521" t="s">
        <v>4581</v>
      </c>
    </row>
    <row r="3522" spans="1:3" x14ac:dyDescent="0.5">
      <c r="B3522" t="s">
        <v>4581</v>
      </c>
    </row>
    <row r="3523" spans="1:3" x14ac:dyDescent="0.5">
      <c r="A3523" t="s">
        <v>4581</v>
      </c>
    </row>
    <row r="3525" spans="1:3" x14ac:dyDescent="0.5">
      <c r="A3525" t="s">
        <v>4689</v>
      </c>
    </row>
    <row r="3526" spans="1:3" x14ac:dyDescent="0.5">
      <c r="B3526" t="s">
        <v>4698</v>
      </c>
    </row>
    <row r="3527" spans="1:3" x14ac:dyDescent="0.5">
      <c r="C3527" t="s">
        <v>4699</v>
      </c>
    </row>
    <row r="3528" spans="1:3" x14ac:dyDescent="0.5">
      <c r="B3528" t="s">
        <v>5676</v>
      </c>
    </row>
    <row r="3530" spans="1:3" x14ac:dyDescent="0.5">
      <c r="B3530" t="s">
        <v>6047</v>
      </c>
    </row>
    <row r="3531" spans="1:3" x14ac:dyDescent="0.5">
      <c r="C3531" t="s">
        <v>6035</v>
      </c>
    </row>
    <row r="3532" spans="1:3" x14ac:dyDescent="0.5">
      <c r="C3532" t="s">
        <v>5282</v>
      </c>
    </row>
    <row r="3534" spans="1:3" x14ac:dyDescent="0.5">
      <c r="C3534" t="s">
        <v>6048</v>
      </c>
    </row>
    <row r="3536" spans="1:3" x14ac:dyDescent="0.5">
      <c r="C3536" t="s">
        <v>4708</v>
      </c>
    </row>
    <row r="3537" spans="3:4" x14ac:dyDescent="0.5">
      <c r="D3537" t="s">
        <v>6049</v>
      </c>
    </row>
    <row r="3538" spans="3:4" x14ac:dyDescent="0.5">
      <c r="D3538" t="s">
        <v>6050</v>
      </c>
    </row>
    <row r="3539" spans="3:4" x14ac:dyDescent="0.5">
      <c r="D3539" t="s">
        <v>6051</v>
      </c>
    </row>
    <row r="3540" spans="3:4" x14ac:dyDescent="0.5">
      <c r="D3540" t="s">
        <v>6052</v>
      </c>
    </row>
    <row r="3541" spans="3:4" x14ac:dyDescent="0.5">
      <c r="D3541" t="s">
        <v>6053</v>
      </c>
    </row>
    <row r="3542" spans="3:4" x14ac:dyDescent="0.5">
      <c r="D3542" t="s">
        <v>6054</v>
      </c>
    </row>
    <row r="3543" spans="3:4" x14ac:dyDescent="0.5">
      <c r="D3543" t="s">
        <v>6055</v>
      </c>
    </row>
    <row r="3544" spans="3:4" x14ac:dyDescent="0.5">
      <c r="C3544" t="s">
        <v>4581</v>
      </c>
    </row>
    <row r="3545" spans="3:4" x14ac:dyDescent="0.5">
      <c r="C3545" t="s">
        <v>4714</v>
      </c>
    </row>
    <row r="3546" spans="3:4" x14ac:dyDescent="0.5">
      <c r="D3546" t="s">
        <v>6056</v>
      </c>
    </row>
    <row r="3547" spans="3:4" x14ac:dyDescent="0.5">
      <c r="D3547" t="s">
        <v>6057</v>
      </c>
    </row>
    <row r="3548" spans="3:4" x14ac:dyDescent="0.5">
      <c r="D3548" t="s">
        <v>6058</v>
      </c>
    </row>
    <row r="3549" spans="3:4" x14ac:dyDescent="0.5">
      <c r="C3549" t="s">
        <v>4581</v>
      </c>
    </row>
    <row r="3551" spans="3:4" x14ac:dyDescent="0.5">
      <c r="C3551" t="s">
        <v>5538</v>
      </c>
    </row>
    <row r="3553" spans="2:5" x14ac:dyDescent="0.5">
      <c r="C3553" t="s">
        <v>4735</v>
      </c>
    </row>
    <row r="3554" spans="2:5" x14ac:dyDescent="0.5">
      <c r="B3554" t="s">
        <v>4581</v>
      </c>
    </row>
    <row r="3555" spans="2:5" x14ac:dyDescent="0.5">
      <c r="B3555" t="s">
        <v>6059</v>
      </c>
    </row>
    <row r="3556" spans="2:5" x14ac:dyDescent="0.5">
      <c r="C3556" t="s">
        <v>6035</v>
      </c>
    </row>
    <row r="3557" spans="2:5" x14ac:dyDescent="0.5">
      <c r="C3557" t="s">
        <v>5282</v>
      </c>
    </row>
    <row r="3559" spans="2:5" x14ac:dyDescent="0.5">
      <c r="C3559" t="s">
        <v>6060</v>
      </c>
    </row>
    <row r="3561" spans="2:5" x14ac:dyDescent="0.5">
      <c r="C3561" t="s">
        <v>4708</v>
      </c>
    </row>
    <row r="3562" spans="2:5" x14ac:dyDescent="0.5">
      <c r="D3562" t="s">
        <v>6061</v>
      </c>
    </row>
    <row r="3563" spans="2:5" x14ac:dyDescent="0.5">
      <c r="D3563" t="s">
        <v>6062</v>
      </c>
    </row>
    <row r="3564" spans="2:5" x14ac:dyDescent="0.5">
      <c r="D3564" t="s">
        <v>6063</v>
      </c>
    </row>
    <row r="3565" spans="2:5" x14ac:dyDescent="0.5">
      <c r="D3565" t="s">
        <v>6064</v>
      </c>
    </row>
    <row r="3566" spans="2:5" x14ac:dyDescent="0.5">
      <c r="D3566" t="s">
        <v>6065</v>
      </c>
    </row>
    <row r="3567" spans="2:5" x14ac:dyDescent="0.5">
      <c r="D3567" t="s">
        <v>6066</v>
      </c>
    </row>
    <row r="3568" spans="2:5" x14ac:dyDescent="0.5">
      <c r="D3568" t="s">
        <v>6067</v>
      </c>
      <c r="E3568" t="s">
        <v>6068</v>
      </c>
    </row>
    <row r="3569" spans="2:4" x14ac:dyDescent="0.5">
      <c r="D3569" t="s">
        <v>6069</v>
      </c>
    </row>
    <row r="3570" spans="2:4" x14ac:dyDescent="0.5">
      <c r="D3570" t="s">
        <v>6070</v>
      </c>
    </row>
    <row r="3571" spans="2:4" x14ac:dyDescent="0.5">
      <c r="D3571" t="s">
        <v>6071</v>
      </c>
    </row>
    <row r="3572" spans="2:4" x14ac:dyDescent="0.5">
      <c r="D3572" t="s">
        <v>6072</v>
      </c>
    </row>
    <row r="3573" spans="2:4" x14ac:dyDescent="0.5">
      <c r="C3573" t="s">
        <v>4581</v>
      </c>
    </row>
    <row r="3574" spans="2:4" x14ac:dyDescent="0.5">
      <c r="C3574" t="s">
        <v>4714</v>
      </c>
    </row>
    <row r="3575" spans="2:4" x14ac:dyDescent="0.5">
      <c r="D3575" t="s">
        <v>6073</v>
      </c>
    </row>
    <row r="3576" spans="2:4" x14ac:dyDescent="0.5">
      <c r="D3576" t="s">
        <v>6074</v>
      </c>
    </row>
    <row r="3577" spans="2:4" x14ac:dyDescent="0.5">
      <c r="D3577" t="s">
        <v>6075</v>
      </c>
    </row>
    <row r="3578" spans="2:4" x14ac:dyDescent="0.5">
      <c r="D3578" t="s">
        <v>6076</v>
      </c>
    </row>
    <row r="3579" spans="2:4" x14ac:dyDescent="0.5">
      <c r="D3579" t="s">
        <v>6077</v>
      </c>
    </row>
    <row r="3580" spans="2:4" x14ac:dyDescent="0.5">
      <c r="D3580" t="s">
        <v>6078</v>
      </c>
    </row>
    <row r="3581" spans="2:4" x14ac:dyDescent="0.5">
      <c r="D3581" t="s">
        <v>6079</v>
      </c>
    </row>
    <row r="3582" spans="2:4" x14ac:dyDescent="0.5">
      <c r="D3582" t="s">
        <v>6080</v>
      </c>
    </row>
    <row r="3583" spans="2:4" x14ac:dyDescent="0.5">
      <c r="C3583" t="s">
        <v>4581</v>
      </c>
    </row>
    <row r="3584" spans="2:4" x14ac:dyDescent="0.5">
      <c r="B3584" t="s">
        <v>4581</v>
      </c>
    </row>
    <row r="3585" spans="2:4" x14ac:dyDescent="0.5">
      <c r="B3585" t="s">
        <v>6081</v>
      </c>
    </row>
    <row r="3586" spans="2:4" x14ac:dyDescent="0.5">
      <c r="C3586" t="s">
        <v>6082</v>
      </c>
    </row>
    <row r="3588" spans="2:4" x14ac:dyDescent="0.5">
      <c r="C3588" t="s">
        <v>6035</v>
      </c>
    </row>
    <row r="3589" spans="2:4" x14ac:dyDescent="0.5">
      <c r="C3589" t="s">
        <v>5282</v>
      </c>
    </row>
    <row r="3591" spans="2:4" x14ac:dyDescent="0.5">
      <c r="C3591" t="s">
        <v>4708</v>
      </c>
    </row>
    <row r="3592" spans="2:4" x14ac:dyDescent="0.5">
      <c r="D3592" t="s">
        <v>6083</v>
      </c>
    </row>
    <row r="3593" spans="2:4" x14ac:dyDescent="0.5">
      <c r="D3593" t="s">
        <v>6084</v>
      </c>
    </row>
    <row r="3594" spans="2:4" x14ac:dyDescent="0.5">
      <c r="D3594" t="s">
        <v>6085</v>
      </c>
    </row>
    <row r="3595" spans="2:4" x14ac:dyDescent="0.5">
      <c r="D3595" t="s">
        <v>6086</v>
      </c>
    </row>
    <row r="3596" spans="2:4" x14ac:dyDescent="0.5">
      <c r="D3596" t="s">
        <v>6087</v>
      </c>
    </row>
    <row r="3597" spans="2:4" x14ac:dyDescent="0.5">
      <c r="D3597" t="s">
        <v>6088</v>
      </c>
    </row>
    <row r="3598" spans="2:4" x14ac:dyDescent="0.5">
      <c r="D3598" t="s">
        <v>6089</v>
      </c>
    </row>
    <row r="3599" spans="2:4" x14ac:dyDescent="0.5">
      <c r="D3599" t="s">
        <v>6090</v>
      </c>
    </row>
    <row r="3600" spans="2:4" x14ac:dyDescent="0.5">
      <c r="D3600" t="s">
        <v>6091</v>
      </c>
    </row>
    <row r="3601" spans="1:4" x14ac:dyDescent="0.5">
      <c r="D3601" t="s">
        <v>6092</v>
      </c>
    </row>
    <row r="3602" spans="1:4" x14ac:dyDescent="0.5">
      <c r="D3602" t="s">
        <v>6093</v>
      </c>
    </row>
    <row r="3603" spans="1:4" x14ac:dyDescent="0.5">
      <c r="C3603" t="s">
        <v>4581</v>
      </c>
    </row>
    <row r="3605" spans="1:4" x14ac:dyDescent="0.5">
      <c r="C3605" t="s">
        <v>4714</v>
      </c>
    </row>
    <row r="3606" spans="1:4" x14ac:dyDescent="0.5">
      <c r="D3606" t="s">
        <v>6094</v>
      </c>
    </row>
    <row r="3607" spans="1:4" x14ac:dyDescent="0.5">
      <c r="D3607" t="s">
        <v>6095</v>
      </c>
    </row>
    <row r="3608" spans="1:4" x14ac:dyDescent="0.5">
      <c r="D3608" t="s">
        <v>6096</v>
      </c>
    </row>
    <row r="3609" spans="1:4" x14ac:dyDescent="0.5">
      <c r="D3609" t="s">
        <v>6097</v>
      </c>
    </row>
    <row r="3610" spans="1:4" x14ac:dyDescent="0.5">
      <c r="D3610" t="s">
        <v>6098</v>
      </c>
    </row>
    <row r="3611" spans="1:4" x14ac:dyDescent="0.5">
      <c r="C3611" t="s">
        <v>4581</v>
      </c>
    </row>
    <row r="3612" spans="1:4" x14ac:dyDescent="0.5">
      <c r="B3612" t="s">
        <v>4581</v>
      </c>
    </row>
    <row r="3613" spans="1:4" x14ac:dyDescent="0.5">
      <c r="A3613" t="s">
        <v>4581</v>
      </c>
    </row>
    <row r="3615" spans="1:4" x14ac:dyDescent="0.5">
      <c r="A3615" t="s">
        <v>4690</v>
      </c>
    </row>
    <row r="3616" spans="1:4" x14ac:dyDescent="0.5">
      <c r="B3616" t="s">
        <v>4698</v>
      </c>
    </row>
    <row r="3617" spans="2:4" x14ac:dyDescent="0.5">
      <c r="C3617" t="s">
        <v>4699</v>
      </c>
    </row>
    <row r="3618" spans="2:4" x14ac:dyDescent="0.5">
      <c r="B3618" t="s">
        <v>6099</v>
      </c>
    </row>
    <row r="3619" spans="2:4" x14ac:dyDescent="0.5">
      <c r="B3619" t="s">
        <v>4698</v>
      </c>
    </row>
    <row r="3620" spans="2:4" x14ac:dyDescent="0.5">
      <c r="C3620" t="s">
        <v>6100</v>
      </c>
    </row>
    <row r="3622" spans="2:4" x14ac:dyDescent="0.5">
      <c r="B3622" t="s">
        <v>6101</v>
      </c>
    </row>
    <row r="3623" spans="2:4" x14ac:dyDescent="0.5">
      <c r="C3623" t="s">
        <v>6102</v>
      </c>
    </row>
    <row r="3624" spans="2:4" x14ac:dyDescent="0.5">
      <c r="C3624" t="s">
        <v>6103</v>
      </c>
    </row>
    <row r="3626" spans="2:4" x14ac:dyDescent="0.5">
      <c r="C3626" t="s">
        <v>5653</v>
      </c>
    </row>
    <row r="3628" spans="2:4" x14ac:dyDescent="0.5">
      <c r="C3628" t="s">
        <v>5083</v>
      </c>
    </row>
    <row r="3630" spans="2:4" x14ac:dyDescent="0.5">
      <c r="C3630" t="s">
        <v>4708</v>
      </c>
    </row>
    <row r="3631" spans="2:4" x14ac:dyDescent="0.5">
      <c r="D3631" t="s">
        <v>6104</v>
      </c>
    </row>
    <row r="3632" spans="2:4" x14ac:dyDescent="0.5">
      <c r="D3632" t="s">
        <v>6105</v>
      </c>
    </row>
    <row r="3633" spans="3:4" x14ac:dyDescent="0.5">
      <c r="D3633" t="s">
        <v>6106</v>
      </c>
    </row>
    <row r="3634" spans="3:4" x14ac:dyDescent="0.5">
      <c r="D3634" t="s">
        <v>6107</v>
      </c>
    </row>
    <row r="3635" spans="3:4" x14ac:dyDescent="0.5">
      <c r="C3635" t="s">
        <v>4581</v>
      </c>
    </row>
    <row r="3636" spans="3:4" x14ac:dyDescent="0.5">
      <c r="C3636" t="s">
        <v>4714</v>
      </c>
    </row>
    <row r="3637" spans="3:4" x14ac:dyDescent="0.5">
      <c r="D3637" t="s">
        <v>6108</v>
      </c>
    </row>
    <row r="3638" spans="3:4" x14ac:dyDescent="0.5">
      <c r="D3638" t="s">
        <v>6109</v>
      </c>
    </row>
    <row r="3639" spans="3:4" x14ac:dyDescent="0.5">
      <c r="D3639" t="s">
        <v>6110</v>
      </c>
    </row>
    <row r="3640" spans="3:4" x14ac:dyDescent="0.5">
      <c r="D3640" t="s">
        <v>6111</v>
      </c>
    </row>
    <row r="3641" spans="3:4" x14ac:dyDescent="0.5">
      <c r="C3641" t="s">
        <v>4581</v>
      </c>
    </row>
    <row r="3643" spans="3:4" x14ac:dyDescent="0.5">
      <c r="C3643" t="s">
        <v>6112</v>
      </c>
    </row>
    <row r="3644" spans="3:4" x14ac:dyDescent="0.5">
      <c r="C3644" t="s">
        <v>5538</v>
      </c>
    </row>
    <row r="3646" spans="3:4" x14ac:dyDescent="0.5">
      <c r="C3646" t="s">
        <v>4727</v>
      </c>
    </row>
    <row r="3647" spans="3:4" x14ac:dyDescent="0.5">
      <c r="C3647" t="s">
        <v>4728</v>
      </c>
    </row>
    <row r="3648" spans="3:4" x14ac:dyDescent="0.5">
      <c r="C3648" t="s">
        <v>4729</v>
      </c>
    </row>
    <row r="3649" spans="1:3" x14ac:dyDescent="0.5">
      <c r="C3649" t="s">
        <v>4730</v>
      </c>
    </row>
    <row r="3651" spans="1:3" x14ac:dyDescent="0.5">
      <c r="C3651" t="s">
        <v>4731</v>
      </c>
    </row>
    <row r="3652" spans="1:3" x14ac:dyDescent="0.5">
      <c r="C3652" t="s">
        <v>6113</v>
      </c>
    </row>
    <row r="3653" spans="1:3" x14ac:dyDescent="0.5">
      <c r="C3653" t="s">
        <v>5198</v>
      </c>
    </row>
    <row r="3654" spans="1:3" x14ac:dyDescent="0.5">
      <c r="C3654" t="s">
        <v>4734</v>
      </c>
    </row>
    <row r="3656" spans="1:3" x14ac:dyDescent="0.5">
      <c r="C3656" t="s">
        <v>4736</v>
      </c>
    </row>
    <row r="3658" spans="1:3" x14ac:dyDescent="0.5">
      <c r="C3658" t="s">
        <v>4735</v>
      </c>
    </row>
    <row r="3659" spans="1:3" x14ac:dyDescent="0.5">
      <c r="B3659" t="s">
        <v>4581</v>
      </c>
    </row>
    <row r="3660" spans="1:3" x14ac:dyDescent="0.5">
      <c r="A3660" t="s">
        <v>4581</v>
      </c>
    </row>
    <row r="3662" spans="1:3" x14ac:dyDescent="0.5">
      <c r="A3662" t="s">
        <v>4691</v>
      </c>
    </row>
    <row r="3663" spans="1:3" x14ac:dyDescent="0.5">
      <c r="B3663" t="s">
        <v>4698</v>
      </c>
    </row>
    <row r="3664" spans="1:3" x14ac:dyDescent="0.5">
      <c r="C3664" t="s">
        <v>4699</v>
      </c>
    </row>
    <row r="3665" spans="2:4" x14ac:dyDescent="0.5">
      <c r="B3665" t="s">
        <v>5493</v>
      </c>
    </row>
    <row r="3666" spans="2:4" x14ac:dyDescent="0.5">
      <c r="B3666" t="s">
        <v>4698</v>
      </c>
    </row>
    <row r="3667" spans="2:4" x14ac:dyDescent="0.5">
      <c r="C3667" t="s">
        <v>5084</v>
      </c>
    </row>
    <row r="3669" spans="2:4" x14ac:dyDescent="0.5">
      <c r="B3669" t="s">
        <v>6114</v>
      </c>
    </row>
    <row r="3670" spans="2:4" x14ac:dyDescent="0.5">
      <c r="C3670" t="s">
        <v>5229</v>
      </c>
    </row>
    <row r="3672" spans="2:4" x14ac:dyDescent="0.5">
      <c r="C3672" t="s">
        <v>6115</v>
      </c>
    </row>
    <row r="3674" spans="2:4" x14ac:dyDescent="0.5">
      <c r="C3674" t="s">
        <v>4708</v>
      </c>
    </row>
    <row r="3675" spans="2:4" x14ac:dyDescent="0.5">
      <c r="D3675" t="s">
        <v>6116</v>
      </c>
    </row>
    <row r="3676" spans="2:4" x14ac:dyDescent="0.5">
      <c r="D3676" t="s">
        <v>6117</v>
      </c>
    </row>
    <row r="3677" spans="2:4" x14ac:dyDescent="0.5">
      <c r="D3677" t="s">
        <v>6118</v>
      </c>
    </row>
    <row r="3678" spans="2:4" x14ac:dyDescent="0.5">
      <c r="D3678" t="s">
        <v>6119</v>
      </c>
    </row>
    <row r="3679" spans="2:4" x14ac:dyDescent="0.5">
      <c r="D3679" t="s">
        <v>6120</v>
      </c>
    </row>
    <row r="3680" spans="2:4" x14ac:dyDescent="0.5">
      <c r="D3680" t="s">
        <v>6121</v>
      </c>
    </row>
    <row r="3681" spans="2:4" x14ac:dyDescent="0.5">
      <c r="D3681" t="s">
        <v>6122</v>
      </c>
    </row>
    <row r="3682" spans="2:4" x14ac:dyDescent="0.5">
      <c r="D3682" t="s">
        <v>6123</v>
      </c>
    </row>
    <row r="3683" spans="2:4" x14ac:dyDescent="0.5">
      <c r="C3683" t="s">
        <v>4581</v>
      </c>
    </row>
    <row r="3684" spans="2:4" x14ac:dyDescent="0.5">
      <c r="C3684" t="s">
        <v>4714</v>
      </c>
    </row>
    <row r="3685" spans="2:4" x14ac:dyDescent="0.5">
      <c r="D3685" t="s">
        <v>6124</v>
      </c>
    </row>
    <row r="3686" spans="2:4" x14ac:dyDescent="0.5">
      <c r="D3686" t="s">
        <v>6125</v>
      </c>
    </row>
    <row r="3687" spans="2:4" x14ac:dyDescent="0.5">
      <c r="C3687" t="s">
        <v>4581</v>
      </c>
    </row>
    <row r="3689" spans="2:4" x14ac:dyDescent="0.5">
      <c r="C3689" t="s">
        <v>4895</v>
      </c>
    </row>
    <row r="3691" spans="2:4" x14ac:dyDescent="0.5">
      <c r="C3691" t="s">
        <v>4735</v>
      </c>
    </row>
    <row r="3692" spans="2:4" x14ac:dyDescent="0.5">
      <c r="B3692" t="s">
        <v>4581</v>
      </c>
    </row>
    <row r="3693" spans="2:4" x14ac:dyDescent="0.5">
      <c r="B3693" t="s">
        <v>6126</v>
      </c>
    </row>
    <row r="3694" spans="2:4" x14ac:dyDescent="0.5">
      <c r="C3694" t="s">
        <v>5229</v>
      </c>
    </row>
    <row r="3696" spans="2:4" x14ac:dyDescent="0.5">
      <c r="C3696" t="s">
        <v>6127</v>
      </c>
    </row>
    <row r="3698" spans="3:4" x14ac:dyDescent="0.5">
      <c r="C3698" t="s">
        <v>4708</v>
      </c>
    </row>
    <row r="3699" spans="3:4" x14ac:dyDescent="0.5">
      <c r="D3699" t="s">
        <v>6116</v>
      </c>
    </row>
    <row r="3700" spans="3:4" x14ac:dyDescent="0.5">
      <c r="D3700" t="s">
        <v>6117</v>
      </c>
    </row>
    <row r="3701" spans="3:4" x14ac:dyDescent="0.5">
      <c r="D3701" t="s">
        <v>6118</v>
      </c>
    </row>
    <row r="3702" spans="3:4" x14ac:dyDescent="0.5">
      <c r="D3702" t="s">
        <v>6119</v>
      </c>
    </row>
    <row r="3703" spans="3:4" x14ac:dyDescent="0.5">
      <c r="D3703" t="s">
        <v>6120</v>
      </c>
    </row>
    <row r="3704" spans="3:4" x14ac:dyDescent="0.5">
      <c r="D3704" t="s">
        <v>6121</v>
      </c>
    </row>
    <row r="3705" spans="3:4" x14ac:dyDescent="0.5">
      <c r="D3705" t="s">
        <v>6128</v>
      </c>
    </row>
    <row r="3706" spans="3:4" x14ac:dyDescent="0.5">
      <c r="D3706" t="s">
        <v>6123</v>
      </c>
    </row>
    <row r="3707" spans="3:4" x14ac:dyDescent="0.5">
      <c r="C3707" t="s">
        <v>4581</v>
      </c>
    </row>
    <row r="3708" spans="3:4" x14ac:dyDescent="0.5">
      <c r="C3708" t="s">
        <v>4714</v>
      </c>
    </row>
    <row r="3709" spans="3:4" x14ac:dyDescent="0.5">
      <c r="D3709" t="s">
        <v>6124</v>
      </c>
    </row>
    <row r="3710" spans="3:4" x14ac:dyDescent="0.5">
      <c r="D3710" t="s">
        <v>6125</v>
      </c>
    </row>
    <row r="3711" spans="3:4" x14ac:dyDescent="0.5">
      <c r="C3711" t="s">
        <v>4581</v>
      </c>
    </row>
    <row r="3713" spans="1:3" x14ac:dyDescent="0.5">
      <c r="C3713" t="s">
        <v>4895</v>
      </c>
    </row>
    <row r="3715" spans="1:3" x14ac:dyDescent="0.5">
      <c r="C3715" t="s">
        <v>4735</v>
      </c>
    </row>
    <row r="3716" spans="1:3" x14ac:dyDescent="0.5">
      <c r="B3716" t="s">
        <v>4581</v>
      </c>
    </row>
    <row r="3717" spans="1:3" x14ac:dyDescent="0.5">
      <c r="A3717" t="s">
        <v>4581</v>
      </c>
    </row>
    <row r="3719" spans="1:3" x14ac:dyDescent="0.5">
      <c r="A3719" t="s">
        <v>4692</v>
      </c>
    </row>
    <row r="3720" spans="1:3" x14ac:dyDescent="0.5">
      <c r="B3720" t="s">
        <v>4698</v>
      </c>
    </row>
    <row r="3721" spans="1:3" x14ac:dyDescent="0.5">
      <c r="C3721" t="s">
        <v>4699</v>
      </c>
    </row>
    <row r="3722" spans="1:3" x14ac:dyDescent="0.5">
      <c r="B3722" t="s">
        <v>6129</v>
      </c>
    </row>
    <row r="3724" spans="1:3" x14ac:dyDescent="0.5">
      <c r="B3724" t="s">
        <v>6130</v>
      </c>
    </row>
    <row r="3725" spans="1:3" x14ac:dyDescent="0.5">
      <c r="C3725" t="s">
        <v>6129</v>
      </c>
    </row>
    <row r="3726" spans="1:3" x14ac:dyDescent="0.5">
      <c r="C3726" t="s">
        <v>5282</v>
      </c>
    </row>
    <row r="3728" spans="1:3" x14ac:dyDescent="0.5">
      <c r="C3728" t="s">
        <v>6131</v>
      </c>
    </row>
    <row r="3730" spans="3:4" x14ac:dyDescent="0.5">
      <c r="C3730" t="s">
        <v>4708</v>
      </c>
    </row>
    <row r="3731" spans="3:4" x14ac:dyDescent="0.5">
      <c r="D3731" t="s">
        <v>6132</v>
      </c>
    </row>
    <row r="3732" spans="3:4" x14ac:dyDescent="0.5">
      <c r="D3732" t="s">
        <v>6133</v>
      </c>
    </row>
    <row r="3733" spans="3:4" x14ac:dyDescent="0.5">
      <c r="D3733" t="s">
        <v>6134</v>
      </c>
    </row>
    <row r="3734" spans="3:4" x14ac:dyDescent="0.5">
      <c r="D3734" t="s">
        <v>6135</v>
      </c>
    </row>
    <row r="3735" spans="3:4" x14ac:dyDescent="0.5">
      <c r="D3735" t="s">
        <v>6136</v>
      </c>
    </row>
    <row r="3736" spans="3:4" x14ac:dyDescent="0.5">
      <c r="D3736" t="s">
        <v>6137</v>
      </c>
    </row>
    <row r="3737" spans="3:4" x14ac:dyDescent="0.5">
      <c r="D3737" t="s">
        <v>6138</v>
      </c>
    </row>
    <row r="3738" spans="3:4" x14ac:dyDescent="0.5">
      <c r="D3738" t="s">
        <v>6139</v>
      </c>
    </row>
    <row r="3739" spans="3:4" x14ac:dyDescent="0.5">
      <c r="D3739" t="s">
        <v>6140</v>
      </c>
    </row>
    <row r="3740" spans="3:4" x14ac:dyDescent="0.5">
      <c r="D3740" t="s">
        <v>6141</v>
      </c>
    </row>
    <row r="3741" spans="3:4" x14ac:dyDescent="0.5">
      <c r="D3741" t="s">
        <v>6142</v>
      </c>
    </row>
    <row r="3742" spans="3:4" x14ac:dyDescent="0.5">
      <c r="D3742" t="s">
        <v>6143</v>
      </c>
    </row>
    <row r="3743" spans="3:4" x14ac:dyDescent="0.5">
      <c r="D3743" t="s">
        <v>6144</v>
      </c>
    </row>
    <row r="3744" spans="3:4" x14ac:dyDescent="0.5">
      <c r="D3744" t="s">
        <v>6145</v>
      </c>
    </row>
    <row r="3745" spans="3:4" x14ac:dyDescent="0.5">
      <c r="D3745" t="s">
        <v>6146</v>
      </c>
    </row>
    <row r="3746" spans="3:4" x14ac:dyDescent="0.5">
      <c r="D3746" t="s">
        <v>6147</v>
      </c>
    </row>
    <row r="3747" spans="3:4" x14ac:dyDescent="0.5">
      <c r="D3747" t="s">
        <v>6148</v>
      </c>
    </row>
    <row r="3748" spans="3:4" x14ac:dyDescent="0.5">
      <c r="D3748" t="s">
        <v>6149</v>
      </c>
    </row>
    <row r="3749" spans="3:4" x14ac:dyDescent="0.5">
      <c r="D3749" t="s">
        <v>6150</v>
      </c>
    </row>
    <row r="3750" spans="3:4" x14ac:dyDescent="0.5">
      <c r="D3750" t="s">
        <v>6151</v>
      </c>
    </row>
    <row r="3751" spans="3:4" x14ac:dyDescent="0.5">
      <c r="D3751" t="s">
        <v>6152</v>
      </c>
    </row>
    <row r="3752" spans="3:4" x14ac:dyDescent="0.5">
      <c r="D3752" t="s">
        <v>6153</v>
      </c>
    </row>
    <row r="3753" spans="3:4" x14ac:dyDescent="0.5">
      <c r="D3753" t="s">
        <v>6154</v>
      </c>
    </row>
    <row r="3754" spans="3:4" x14ac:dyDescent="0.5">
      <c r="D3754" t="s">
        <v>6155</v>
      </c>
    </row>
    <row r="3755" spans="3:4" x14ac:dyDescent="0.5">
      <c r="D3755" t="s">
        <v>6156</v>
      </c>
    </row>
    <row r="3756" spans="3:4" x14ac:dyDescent="0.5">
      <c r="D3756" t="s">
        <v>6157</v>
      </c>
    </row>
    <row r="3757" spans="3:4" x14ac:dyDescent="0.5">
      <c r="D3757" t="s">
        <v>6158</v>
      </c>
    </row>
    <row r="3758" spans="3:4" x14ac:dyDescent="0.5">
      <c r="C3758" t="s">
        <v>4581</v>
      </c>
    </row>
    <row r="3759" spans="3:4" x14ac:dyDescent="0.5">
      <c r="C3759" t="s">
        <v>4714</v>
      </c>
    </row>
    <row r="3760" spans="3:4" x14ac:dyDescent="0.5">
      <c r="D3760" t="s">
        <v>6159</v>
      </c>
    </row>
    <row r="3761" spans="2:4" x14ac:dyDescent="0.5">
      <c r="D3761" t="s">
        <v>6160</v>
      </c>
    </row>
    <row r="3762" spans="2:4" x14ac:dyDescent="0.5">
      <c r="D3762" t="s">
        <v>6161</v>
      </c>
    </row>
    <row r="3763" spans="2:4" x14ac:dyDescent="0.5">
      <c r="C3763" t="s">
        <v>4581</v>
      </c>
    </row>
    <row r="3765" spans="2:4" x14ac:dyDescent="0.5">
      <c r="C3765" t="s">
        <v>5591</v>
      </c>
    </row>
    <row r="3766" spans="2:4" x14ac:dyDescent="0.5">
      <c r="C3766" t="s">
        <v>5538</v>
      </c>
    </row>
    <row r="3768" spans="2:4" x14ac:dyDescent="0.5">
      <c r="C3768" t="s">
        <v>6162</v>
      </c>
    </row>
    <row r="3770" spans="2:4" x14ac:dyDescent="0.5">
      <c r="C3770" t="s">
        <v>4735</v>
      </c>
    </row>
    <row r="3771" spans="2:4" x14ac:dyDescent="0.5">
      <c r="B3771" t="s">
        <v>4581</v>
      </c>
    </row>
    <row r="3773" spans="2:4" x14ac:dyDescent="0.5">
      <c r="B3773" t="s">
        <v>6163</v>
      </c>
    </row>
    <row r="3774" spans="2:4" x14ac:dyDescent="0.5">
      <c r="C3774" t="s">
        <v>6129</v>
      </c>
    </row>
    <row r="3775" spans="2:4" x14ac:dyDescent="0.5">
      <c r="C3775" t="s">
        <v>5282</v>
      </c>
    </row>
    <row r="3777" spans="3:4" x14ac:dyDescent="0.5">
      <c r="C3777" t="s">
        <v>6164</v>
      </c>
    </row>
    <row r="3779" spans="3:4" x14ac:dyDescent="0.5">
      <c r="C3779" t="s">
        <v>4708</v>
      </c>
    </row>
    <row r="3780" spans="3:4" x14ac:dyDescent="0.5">
      <c r="D3780" t="s">
        <v>6165</v>
      </c>
    </row>
    <row r="3781" spans="3:4" x14ac:dyDescent="0.5">
      <c r="D3781" t="s">
        <v>6166</v>
      </c>
    </row>
    <row r="3782" spans="3:4" x14ac:dyDescent="0.5">
      <c r="D3782" t="s">
        <v>6167</v>
      </c>
    </row>
    <row r="3783" spans="3:4" x14ac:dyDescent="0.5">
      <c r="D3783" t="s">
        <v>6168</v>
      </c>
    </row>
    <row r="3784" spans="3:4" x14ac:dyDescent="0.5">
      <c r="D3784" t="s">
        <v>6169</v>
      </c>
    </row>
    <row r="3785" spans="3:4" x14ac:dyDescent="0.5">
      <c r="D3785" t="s">
        <v>6170</v>
      </c>
    </row>
    <row r="3786" spans="3:4" x14ac:dyDescent="0.5">
      <c r="D3786" t="s">
        <v>6171</v>
      </c>
    </row>
    <row r="3787" spans="3:4" x14ac:dyDescent="0.5">
      <c r="D3787" t="s">
        <v>6172</v>
      </c>
    </row>
    <row r="3788" spans="3:4" x14ac:dyDescent="0.5">
      <c r="D3788" t="s">
        <v>6173</v>
      </c>
    </row>
    <row r="3789" spans="3:4" x14ac:dyDescent="0.5">
      <c r="D3789" t="s">
        <v>6174</v>
      </c>
    </row>
    <row r="3790" spans="3:4" x14ac:dyDescent="0.5">
      <c r="D3790" t="s">
        <v>6175</v>
      </c>
    </row>
    <row r="3791" spans="3:4" x14ac:dyDescent="0.5">
      <c r="D3791" t="s">
        <v>6176</v>
      </c>
    </row>
    <row r="3792" spans="3:4" x14ac:dyDescent="0.5">
      <c r="D3792" t="s">
        <v>6177</v>
      </c>
    </row>
    <row r="3793" spans="3:4" x14ac:dyDescent="0.5">
      <c r="D3793" t="s">
        <v>6178</v>
      </c>
    </row>
    <row r="3794" spans="3:4" x14ac:dyDescent="0.5">
      <c r="D3794" t="s">
        <v>6179</v>
      </c>
    </row>
    <row r="3795" spans="3:4" x14ac:dyDescent="0.5">
      <c r="D3795" t="s">
        <v>6180</v>
      </c>
    </row>
    <row r="3796" spans="3:4" x14ac:dyDescent="0.5">
      <c r="C3796" t="s">
        <v>4581</v>
      </c>
    </row>
    <row r="3797" spans="3:4" x14ac:dyDescent="0.5">
      <c r="C3797" t="s">
        <v>4714</v>
      </c>
    </row>
    <row r="3798" spans="3:4" x14ac:dyDescent="0.5">
      <c r="D3798" t="s">
        <v>6181</v>
      </c>
    </row>
    <row r="3799" spans="3:4" x14ac:dyDescent="0.5">
      <c r="D3799" t="s">
        <v>6182</v>
      </c>
    </row>
    <row r="3800" spans="3:4" x14ac:dyDescent="0.5">
      <c r="D3800" t="s">
        <v>6183</v>
      </c>
    </row>
    <row r="3801" spans="3:4" x14ac:dyDescent="0.5">
      <c r="C3801" t="s">
        <v>4581</v>
      </c>
    </row>
    <row r="3803" spans="3:4" x14ac:dyDescent="0.5">
      <c r="C3803" t="s">
        <v>5591</v>
      </c>
    </row>
    <row r="3804" spans="3:4" x14ac:dyDescent="0.5">
      <c r="C3804" t="s">
        <v>5538</v>
      </c>
    </row>
    <row r="3806" spans="3:4" x14ac:dyDescent="0.5">
      <c r="C3806" t="s">
        <v>6162</v>
      </c>
    </row>
    <row r="3808" spans="3:4" x14ac:dyDescent="0.5">
      <c r="C3808" t="s">
        <v>4735</v>
      </c>
    </row>
    <row r="3809" spans="2:4" x14ac:dyDescent="0.5">
      <c r="B3809" t="s">
        <v>4581</v>
      </c>
    </row>
    <row r="3811" spans="2:4" x14ac:dyDescent="0.5">
      <c r="B3811" t="s">
        <v>6184</v>
      </c>
    </row>
    <row r="3812" spans="2:4" x14ac:dyDescent="0.5">
      <c r="C3812" t="s">
        <v>6129</v>
      </c>
    </row>
    <row r="3813" spans="2:4" x14ac:dyDescent="0.5">
      <c r="C3813" t="s">
        <v>5282</v>
      </c>
    </row>
    <row r="3815" spans="2:4" x14ac:dyDescent="0.5">
      <c r="C3815" t="s">
        <v>6185</v>
      </c>
    </row>
    <row r="3817" spans="2:4" x14ac:dyDescent="0.5">
      <c r="C3817" t="s">
        <v>4708</v>
      </c>
    </row>
    <row r="3818" spans="2:4" x14ac:dyDescent="0.5">
      <c r="D3818" t="s">
        <v>6186</v>
      </c>
    </row>
    <row r="3819" spans="2:4" x14ac:dyDescent="0.5">
      <c r="D3819" t="s">
        <v>6187</v>
      </c>
    </row>
    <row r="3820" spans="2:4" x14ac:dyDescent="0.5">
      <c r="D3820" t="s">
        <v>6188</v>
      </c>
    </row>
    <row r="3821" spans="2:4" x14ac:dyDescent="0.5">
      <c r="D3821" t="s">
        <v>6189</v>
      </c>
    </row>
    <row r="3822" spans="2:4" x14ac:dyDescent="0.5">
      <c r="D3822" t="s">
        <v>6190</v>
      </c>
    </row>
    <row r="3823" spans="2:4" x14ac:dyDescent="0.5">
      <c r="D3823" t="s">
        <v>6191</v>
      </c>
    </row>
    <row r="3824" spans="2:4" x14ac:dyDescent="0.5">
      <c r="C3824" t="s">
        <v>4581</v>
      </c>
    </row>
    <row r="3825" spans="2:4" x14ac:dyDescent="0.5">
      <c r="C3825" t="s">
        <v>4714</v>
      </c>
    </row>
    <row r="3826" spans="2:4" x14ac:dyDescent="0.5">
      <c r="D3826" t="s">
        <v>6192</v>
      </c>
    </row>
    <row r="3827" spans="2:4" x14ac:dyDescent="0.5">
      <c r="D3827" t="s">
        <v>6193</v>
      </c>
    </row>
    <row r="3828" spans="2:4" x14ac:dyDescent="0.5">
      <c r="C3828" t="s">
        <v>4581</v>
      </c>
    </row>
    <row r="3830" spans="2:4" x14ac:dyDescent="0.5">
      <c r="C3830" t="s">
        <v>5591</v>
      </c>
    </row>
    <row r="3831" spans="2:4" x14ac:dyDescent="0.5">
      <c r="C3831" t="s">
        <v>5538</v>
      </c>
    </row>
    <row r="3833" spans="2:4" x14ac:dyDescent="0.5">
      <c r="C3833" t="s">
        <v>6162</v>
      </c>
    </row>
    <row r="3835" spans="2:4" x14ac:dyDescent="0.5">
      <c r="C3835" t="s">
        <v>4735</v>
      </c>
    </row>
    <row r="3836" spans="2:4" x14ac:dyDescent="0.5">
      <c r="B3836" t="s">
        <v>4581</v>
      </c>
    </row>
    <row r="3838" spans="2:4" x14ac:dyDescent="0.5">
      <c r="B3838" t="s">
        <v>6194</v>
      </c>
    </row>
    <row r="3839" spans="2:4" x14ac:dyDescent="0.5">
      <c r="C3839" t="s">
        <v>6129</v>
      </c>
    </row>
    <row r="3840" spans="2:4" x14ac:dyDescent="0.5">
      <c r="C3840" t="s">
        <v>5282</v>
      </c>
    </row>
    <row r="3842" spans="3:4" x14ac:dyDescent="0.5">
      <c r="C3842" t="s">
        <v>6195</v>
      </c>
    </row>
    <row r="3844" spans="3:4" x14ac:dyDescent="0.5">
      <c r="C3844" t="s">
        <v>4708</v>
      </c>
    </row>
    <row r="3845" spans="3:4" x14ac:dyDescent="0.5">
      <c r="D3845" t="s">
        <v>6196</v>
      </c>
    </row>
    <row r="3846" spans="3:4" x14ac:dyDescent="0.5">
      <c r="D3846" t="s">
        <v>6197</v>
      </c>
    </row>
    <row r="3847" spans="3:4" x14ac:dyDescent="0.5">
      <c r="D3847" t="s">
        <v>6198</v>
      </c>
    </row>
    <row r="3848" spans="3:4" x14ac:dyDescent="0.5">
      <c r="D3848" t="s">
        <v>6199</v>
      </c>
    </row>
    <row r="3849" spans="3:4" x14ac:dyDescent="0.5">
      <c r="D3849" t="s">
        <v>6200</v>
      </c>
    </row>
    <row r="3850" spans="3:4" x14ac:dyDescent="0.5">
      <c r="D3850" t="s">
        <v>6201</v>
      </c>
    </row>
    <row r="3851" spans="3:4" x14ac:dyDescent="0.5">
      <c r="D3851" t="s">
        <v>6202</v>
      </c>
    </row>
    <row r="3852" spans="3:4" x14ac:dyDescent="0.5">
      <c r="D3852" t="s">
        <v>6203</v>
      </c>
    </row>
    <row r="3853" spans="3:4" x14ac:dyDescent="0.5">
      <c r="D3853" t="s">
        <v>6204</v>
      </c>
    </row>
    <row r="3854" spans="3:4" x14ac:dyDescent="0.5">
      <c r="D3854" t="s">
        <v>6205</v>
      </c>
    </row>
    <row r="3855" spans="3:4" x14ac:dyDescent="0.5">
      <c r="D3855" t="s">
        <v>6206</v>
      </c>
    </row>
    <row r="3856" spans="3:4" x14ac:dyDescent="0.5">
      <c r="D3856" t="s">
        <v>6207</v>
      </c>
    </row>
    <row r="3857" spans="3:4" x14ac:dyDescent="0.5">
      <c r="D3857" t="s">
        <v>6208</v>
      </c>
    </row>
    <row r="3858" spans="3:4" x14ac:dyDescent="0.5">
      <c r="D3858" t="s">
        <v>6209</v>
      </c>
    </row>
    <row r="3859" spans="3:4" x14ac:dyDescent="0.5">
      <c r="D3859" t="s">
        <v>6210</v>
      </c>
    </row>
    <row r="3860" spans="3:4" x14ac:dyDescent="0.5">
      <c r="D3860" t="s">
        <v>6211</v>
      </c>
    </row>
    <row r="3861" spans="3:4" x14ac:dyDescent="0.5">
      <c r="D3861" t="s">
        <v>6212</v>
      </c>
    </row>
    <row r="3862" spans="3:4" x14ac:dyDescent="0.5">
      <c r="D3862" t="s">
        <v>6213</v>
      </c>
    </row>
    <row r="3863" spans="3:4" x14ac:dyDescent="0.5">
      <c r="D3863" t="s">
        <v>6214</v>
      </c>
    </row>
    <row r="3864" spans="3:4" x14ac:dyDescent="0.5">
      <c r="D3864" t="s">
        <v>6215</v>
      </c>
    </row>
    <row r="3865" spans="3:4" x14ac:dyDescent="0.5">
      <c r="D3865" t="s">
        <v>6216</v>
      </c>
    </row>
    <row r="3866" spans="3:4" x14ac:dyDescent="0.5">
      <c r="C3866" t="s">
        <v>4581</v>
      </c>
    </row>
    <row r="3867" spans="3:4" x14ac:dyDescent="0.5">
      <c r="C3867" t="s">
        <v>4714</v>
      </c>
    </row>
    <row r="3868" spans="3:4" x14ac:dyDescent="0.5">
      <c r="D3868" t="s">
        <v>6217</v>
      </c>
    </row>
    <row r="3869" spans="3:4" x14ac:dyDescent="0.5">
      <c r="D3869" t="s">
        <v>6218</v>
      </c>
    </row>
    <row r="3870" spans="3:4" x14ac:dyDescent="0.5">
      <c r="D3870" t="s">
        <v>6219</v>
      </c>
    </row>
    <row r="3871" spans="3:4" x14ac:dyDescent="0.5">
      <c r="C3871" t="s">
        <v>4581</v>
      </c>
    </row>
    <row r="3873" spans="2:3" x14ac:dyDescent="0.5">
      <c r="C3873" t="s">
        <v>5591</v>
      </c>
    </row>
    <row r="3874" spans="2:3" x14ac:dyDescent="0.5">
      <c r="C3874" t="s">
        <v>5538</v>
      </c>
    </row>
    <row r="3876" spans="2:3" x14ac:dyDescent="0.5">
      <c r="C3876" t="s">
        <v>6162</v>
      </c>
    </row>
    <row r="3878" spans="2:3" x14ac:dyDescent="0.5">
      <c r="C3878" t="s">
        <v>4727</v>
      </c>
    </row>
    <row r="3879" spans="2:3" x14ac:dyDescent="0.5">
      <c r="C3879" t="s">
        <v>4728</v>
      </c>
    </row>
    <row r="3880" spans="2:3" x14ac:dyDescent="0.5">
      <c r="C3880" t="s">
        <v>6220</v>
      </c>
    </row>
    <row r="3881" spans="2:3" x14ac:dyDescent="0.5">
      <c r="C3881" t="s">
        <v>4899</v>
      </c>
    </row>
    <row r="3883" spans="2:3" x14ac:dyDescent="0.5">
      <c r="C3883" t="s">
        <v>4731</v>
      </c>
    </row>
    <row r="3884" spans="2:3" x14ac:dyDescent="0.5">
      <c r="C3884" t="s">
        <v>6113</v>
      </c>
    </row>
    <row r="3885" spans="2:3" x14ac:dyDescent="0.5">
      <c r="C3885" t="s">
        <v>5198</v>
      </c>
    </row>
    <row r="3886" spans="2:3" x14ac:dyDescent="0.5">
      <c r="C3886" t="s">
        <v>4734</v>
      </c>
    </row>
    <row r="3887" spans="2:3" x14ac:dyDescent="0.5">
      <c r="C3887" t="s">
        <v>4735</v>
      </c>
    </row>
    <row r="3888" spans="2:3" x14ac:dyDescent="0.5">
      <c r="B3888" t="s">
        <v>4581</v>
      </c>
    </row>
    <row r="3890" spans="2:4" x14ac:dyDescent="0.5">
      <c r="B3890" t="s">
        <v>6221</v>
      </c>
    </row>
    <row r="3891" spans="2:4" x14ac:dyDescent="0.5">
      <c r="C3891" t="s">
        <v>6129</v>
      </c>
    </row>
    <row r="3892" spans="2:4" x14ac:dyDescent="0.5">
      <c r="C3892" t="s">
        <v>5282</v>
      </c>
    </row>
    <row r="3894" spans="2:4" x14ac:dyDescent="0.5">
      <c r="C3894" t="s">
        <v>5841</v>
      </c>
    </row>
    <row r="3896" spans="2:4" x14ac:dyDescent="0.5">
      <c r="C3896" t="s">
        <v>4708</v>
      </c>
    </row>
    <row r="3897" spans="2:4" x14ac:dyDescent="0.5">
      <c r="D3897" t="s">
        <v>6222</v>
      </c>
    </row>
    <row r="3898" spans="2:4" x14ac:dyDescent="0.5">
      <c r="D3898" t="s">
        <v>6223</v>
      </c>
    </row>
    <row r="3899" spans="2:4" x14ac:dyDescent="0.5">
      <c r="D3899" t="s">
        <v>6224</v>
      </c>
    </row>
    <row r="3900" spans="2:4" x14ac:dyDescent="0.5">
      <c r="D3900" t="s">
        <v>6225</v>
      </c>
    </row>
    <row r="3901" spans="2:4" x14ac:dyDescent="0.5">
      <c r="D3901" t="s">
        <v>6226</v>
      </c>
    </row>
    <row r="3902" spans="2:4" x14ac:dyDescent="0.5">
      <c r="D3902" t="s">
        <v>6227</v>
      </c>
    </row>
    <row r="3903" spans="2:4" x14ac:dyDescent="0.5">
      <c r="D3903" t="s">
        <v>6228</v>
      </c>
    </row>
    <row r="3904" spans="2:4" x14ac:dyDescent="0.5">
      <c r="D3904" t="s">
        <v>6229</v>
      </c>
    </row>
    <row r="3905" spans="3:4" x14ac:dyDescent="0.5">
      <c r="D3905" t="s">
        <v>6230</v>
      </c>
    </row>
    <row r="3906" spans="3:4" x14ac:dyDescent="0.5">
      <c r="D3906" t="s">
        <v>6231</v>
      </c>
    </row>
    <row r="3907" spans="3:4" x14ac:dyDescent="0.5">
      <c r="D3907" t="s">
        <v>6232</v>
      </c>
    </row>
    <row r="3908" spans="3:4" x14ac:dyDescent="0.5">
      <c r="D3908" t="s">
        <v>6233</v>
      </c>
    </row>
    <row r="3909" spans="3:4" x14ac:dyDescent="0.5">
      <c r="D3909" t="s">
        <v>6234</v>
      </c>
    </row>
    <row r="3910" spans="3:4" x14ac:dyDescent="0.5">
      <c r="D3910" t="s">
        <v>6235</v>
      </c>
    </row>
    <row r="3911" spans="3:4" x14ac:dyDescent="0.5">
      <c r="D3911" t="s">
        <v>6236</v>
      </c>
    </row>
    <row r="3912" spans="3:4" x14ac:dyDescent="0.5">
      <c r="D3912" t="s">
        <v>6237</v>
      </c>
    </row>
    <row r="3913" spans="3:4" x14ac:dyDescent="0.5">
      <c r="D3913" t="s">
        <v>6238</v>
      </c>
    </row>
    <row r="3914" spans="3:4" x14ac:dyDescent="0.5">
      <c r="D3914" t="s">
        <v>6239</v>
      </c>
    </row>
    <row r="3915" spans="3:4" x14ac:dyDescent="0.5">
      <c r="D3915" t="s">
        <v>6240</v>
      </c>
    </row>
    <row r="3916" spans="3:4" x14ac:dyDescent="0.5">
      <c r="D3916" t="s">
        <v>6241</v>
      </c>
    </row>
    <row r="3917" spans="3:4" x14ac:dyDescent="0.5">
      <c r="D3917" t="s">
        <v>6242</v>
      </c>
    </row>
    <row r="3918" spans="3:4" x14ac:dyDescent="0.5">
      <c r="D3918" t="s">
        <v>6243</v>
      </c>
    </row>
    <row r="3919" spans="3:4" x14ac:dyDescent="0.5">
      <c r="C3919" t="s">
        <v>4581</v>
      </c>
    </row>
    <row r="3920" spans="3:4" x14ac:dyDescent="0.5">
      <c r="C3920" t="s">
        <v>4714</v>
      </c>
    </row>
    <row r="3921" spans="3:4" x14ac:dyDescent="0.5">
      <c r="D3921" t="s">
        <v>6244</v>
      </c>
    </row>
    <row r="3922" spans="3:4" x14ac:dyDescent="0.5">
      <c r="D3922" t="s">
        <v>6245</v>
      </c>
    </row>
    <row r="3923" spans="3:4" x14ac:dyDescent="0.5">
      <c r="D3923" t="s">
        <v>6246</v>
      </c>
    </row>
    <row r="3924" spans="3:4" x14ac:dyDescent="0.5">
      <c r="C3924" t="s">
        <v>4581</v>
      </c>
    </row>
    <row r="3925" spans="3:4" x14ac:dyDescent="0.5">
      <c r="C3925" t="s">
        <v>5591</v>
      </c>
    </row>
    <row r="3926" spans="3:4" x14ac:dyDescent="0.5">
      <c r="C3926" t="s">
        <v>5538</v>
      </c>
    </row>
    <row r="3928" spans="3:4" x14ac:dyDescent="0.5">
      <c r="C3928" t="s">
        <v>6162</v>
      </c>
    </row>
    <row r="3930" spans="3:4" x14ac:dyDescent="0.5">
      <c r="C3930" t="s">
        <v>4727</v>
      </c>
    </row>
    <row r="3931" spans="3:4" x14ac:dyDescent="0.5">
      <c r="C3931" t="s">
        <v>4728</v>
      </c>
    </row>
    <row r="3932" spans="3:4" x14ac:dyDescent="0.5">
      <c r="C3932" t="s">
        <v>6220</v>
      </c>
    </row>
    <row r="3933" spans="3:4" x14ac:dyDescent="0.5">
      <c r="C3933" t="s">
        <v>4899</v>
      </c>
    </row>
    <row r="3935" spans="3:4" x14ac:dyDescent="0.5">
      <c r="C3935" t="s">
        <v>4731</v>
      </c>
    </row>
    <row r="3936" spans="3:4" x14ac:dyDescent="0.5">
      <c r="C3936" t="s">
        <v>6113</v>
      </c>
    </row>
    <row r="3937" spans="2:4" x14ac:dyDescent="0.5">
      <c r="C3937" t="s">
        <v>5198</v>
      </c>
    </row>
    <row r="3938" spans="2:4" x14ac:dyDescent="0.5">
      <c r="C3938" t="s">
        <v>4734</v>
      </c>
    </row>
    <row r="3939" spans="2:4" x14ac:dyDescent="0.5">
      <c r="C3939" t="s">
        <v>4735</v>
      </c>
    </row>
    <row r="3940" spans="2:4" x14ac:dyDescent="0.5">
      <c r="B3940" t="s">
        <v>4581</v>
      </c>
    </row>
    <row r="3942" spans="2:4" x14ac:dyDescent="0.5">
      <c r="B3942" t="s">
        <v>6247</v>
      </c>
    </row>
    <row r="3943" spans="2:4" x14ac:dyDescent="0.5">
      <c r="C3943" t="s">
        <v>6129</v>
      </c>
    </row>
    <row r="3944" spans="2:4" x14ac:dyDescent="0.5">
      <c r="C3944" t="s">
        <v>5282</v>
      </c>
    </row>
    <row r="3946" spans="2:4" x14ac:dyDescent="0.5">
      <c r="C3946" t="s">
        <v>6248</v>
      </c>
    </row>
    <row r="3948" spans="2:4" x14ac:dyDescent="0.5">
      <c r="C3948" t="s">
        <v>4708</v>
      </c>
    </row>
    <row r="3949" spans="2:4" x14ac:dyDescent="0.5">
      <c r="D3949" t="s">
        <v>6249</v>
      </c>
    </row>
    <row r="3950" spans="2:4" x14ac:dyDescent="0.5">
      <c r="D3950" t="s">
        <v>6250</v>
      </c>
    </row>
    <row r="3951" spans="2:4" x14ac:dyDescent="0.5">
      <c r="D3951" t="s">
        <v>6251</v>
      </c>
    </row>
    <row r="3952" spans="2:4" x14ac:dyDescent="0.5">
      <c r="D3952" t="s">
        <v>6252</v>
      </c>
    </row>
    <row r="3953" spans="2:4" x14ac:dyDescent="0.5">
      <c r="D3953" t="s">
        <v>6253</v>
      </c>
    </row>
    <row r="3954" spans="2:4" x14ac:dyDescent="0.5">
      <c r="D3954" t="s">
        <v>6254</v>
      </c>
    </row>
    <row r="3955" spans="2:4" x14ac:dyDescent="0.5">
      <c r="C3955" t="s">
        <v>4581</v>
      </c>
    </row>
    <row r="3956" spans="2:4" x14ac:dyDescent="0.5">
      <c r="C3956" t="s">
        <v>4714</v>
      </c>
    </row>
    <row r="3957" spans="2:4" x14ac:dyDescent="0.5">
      <c r="D3957" t="s">
        <v>6255</v>
      </c>
    </row>
    <row r="3958" spans="2:4" x14ac:dyDescent="0.5">
      <c r="D3958" t="s">
        <v>6256</v>
      </c>
    </row>
    <row r="3959" spans="2:4" x14ac:dyDescent="0.5">
      <c r="C3959" t="s">
        <v>4581</v>
      </c>
    </row>
    <row r="3961" spans="2:4" x14ac:dyDescent="0.5">
      <c r="C3961" t="s">
        <v>5591</v>
      </c>
    </row>
    <row r="3962" spans="2:4" x14ac:dyDescent="0.5">
      <c r="C3962" t="s">
        <v>5538</v>
      </c>
    </row>
    <row r="3964" spans="2:4" x14ac:dyDescent="0.5">
      <c r="C3964" t="s">
        <v>6162</v>
      </c>
    </row>
    <row r="3966" spans="2:4" x14ac:dyDescent="0.5">
      <c r="C3966" t="s">
        <v>4735</v>
      </c>
    </row>
    <row r="3967" spans="2:4" x14ac:dyDescent="0.5">
      <c r="B3967" t="s">
        <v>4581</v>
      </c>
    </row>
    <row r="3969" spans="2:4" x14ac:dyDescent="0.5">
      <c r="B3969" t="s">
        <v>6257</v>
      </c>
    </row>
    <row r="3970" spans="2:4" x14ac:dyDescent="0.5">
      <c r="C3970" t="s">
        <v>6129</v>
      </c>
    </row>
    <row r="3971" spans="2:4" x14ac:dyDescent="0.5">
      <c r="C3971" t="s">
        <v>5282</v>
      </c>
    </row>
    <row r="3973" spans="2:4" x14ac:dyDescent="0.5">
      <c r="C3973" t="s">
        <v>6258</v>
      </c>
    </row>
    <row r="3975" spans="2:4" x14ac:dyDescent="0.5">
      <c r="C3975" t="s">
        <v>4708</v>
      </c>
    </row>
    <row r="3976" spans="2:4" x14ac:dyDescent="0.5">
      <c r="D3976" t="s">
        <v>6196</v>
      </c>
    </row>
    <row r="3977" spans="2:4" x14ac:dyDescent="0.5">
      <c r="D3977" t="s">
        <v>6259</v>
      </c>
    </row>
    <row r="3978" spans="2:4" x14ac:dyDescent="0.5">
      <c r="D3978" t="s">
        <v>6260</v>
      </c>
    </row>
    <row r="3979" spans="2:4" x14ac:dyDescent="0.5">
      <c r="D3979" t="s">
        <v>6261</v>
      </c>
    </row>
    <row r="3980" spans="2:4" x14ac:dyDescent="0.5">
      <c r="D3980" t="s">
        <v>6262</v>
      </c>
    </row>
    <row r="3981" spans="2:4" x14ac:dyDescent="0.5">
      <c r="D3981" t="s">
        <v>6263</v>
      </c>
    </row>
    <row r="3982" spans="2:4" x14ac:dyDescent="0.5">
      <c r="D3982" t="s">
        <v>6264</v>
      </c>
    </row>
    <row r="3983" spans="2:4" x14ac:dyDescent="0.5">
      <c r="D3983" t="s">
        <v>6265</v>
      </c>
    </row>
    <row r="3984" spans="2:4" x14ac:dyDescent="0.5">
      <c r="D3984" t="s">
        <v>6266</v>
      </c>
    </row>
    <row r="3985" spans="4:4" x14ac:dyDescent="0.5">
      <c r="D3985" t="s">
        <v>6267</v>
      </c>
    </row>
    <row r="3986" spans="4:4" x14ac:dyDescent="0.5">
      <c r="D3986" t="s">
        <v>6268</v>
      </c>
    </row>
    <row r="3987" spans="4:4" x14ac:dyDescent="0.5">
      <c r="D3987" t="s">
        <v>6269</v>
      </c>
    </row>
    <row r="3988" spans="4:4" x14ac:dyDescent="0.5">
      <c r="D3988" t="s">
        <v>6270</v>
      </c>
    </row>
    <row r="3989" spans="4:4" x14ac:dyDescent="0.5">
      <c r="D3989" t="s">
        <v>6271</v>
      </c>
    </row>
    <row r="3990" spans="4:4" x14ac:dyDescent="0.5">
      <c r="D3990" t="s">
        <v>6272</v>
      </c>
    </row>
    <row r="3991" spans="4:4" x14ac:dyDescent="0.5">
      <c r="D3991" t="s">
        <v>6273</v>
      </c>
    </row>
    <row r="3992" spans="4:4" x14ac:dyDescent="0.5">
      <c r="D3992" t="s">
        <v>6274</v>
      </c>
    </row>
    <row r="3993" spans="4:4" x14ac:dyDescent="0.5">
      <c r="D3993" t="s">
        <v>6275</v>
      </c>
    </row>
    <row r="3994" spans="4:4" x14ac:dyDescent="0.5">
      <c r="D3994" t="s">
        <v>6276</v>
      </c>
    </row>
    <row r="3995" spans="4:4" x14ac:dyDescent="0.5">
      <c r="D3995" t="s">
        <v>6277</v>
      </c>
    </row>
    <row r="3996" spans="4:4" x14ac:dyDescent="0.5">
      <c r="D3996" t="s">
        <v>6278</v>
      </c>
    </row>
    <row r="3997" spans="4:4" x14ac:dyDescent="0.5">
      <c r="D3997" t="s">
        <v>6279</v>
      </c>
    </row>
    <row r="3998" spans="4:4" x14ac:dyDescent="0.5">
      <c r="D3998" t="s">
        <v>6280</v>
      </c>
    </row>
    <row r="3999" spans="4:4" x14ac:dyDescent="0.5">
      <c r="D3999" t="s">
        <v>6281</v>
      </c>
    </row>
    <row r="4000" spans="4:4" x14ac:dyDescent="0.5">
      <c r="D4000" t="s">
        <v>6282</v>
      </c>
    </row>
    <row r="4001" spans="3:4" x14ac:dyDescent="0.5">
      <c r="D4001" t="s">
        <v>6283</v>
      </c>
    </row>
    <row r="4002" spans="3:4" x14ac:dyDescent="0.5">
      <c r="D4002" t="s">
        <v>6284</v>
      </c>
    </row>
    <row r="4003" spans="3:4" x14ac:dyDescent="0.5">
      <c r="D4003" t="s">
        <v>6285</v>
      </c>
    </row>
    <row r="4004" spans="3:4" x14ac:dyDescent="0.5">
      <c r="D4004" t="s">
        <v>6286</v>
      </c>
    </row>
    <row r="4005" spans="3:4" x14ac:dyDescent="0.5">
      <c r="D4005" t="s">
        <v>6287</v>
      </c>
    </row>
    <row r="4006" spans="3:4" x14ac:dyDescent="0.5">
      <c r="D4006" t="s">
        <v>6288</v>
      </c>
    </row>
    <row r="4007" spans="3:4" x14ac:dyDescent="0.5">
      <c r="D4007" t="s">
        <v>6289</v>
      </c>
    </row>
    <row r="4008" spans="3:4" x14ac:dyDescent="0.5">
      <c r="D4008" t="s">
        <v>6290</v>
      </c>
    </row>
    <row r="4009" spans="3:4" x14ac:dyDescent="0.5">
      <c r="D4009" t="s">
        <v>6291</v>
      </c>
    </row>
    <row r="4010" spans="3:4" x14ac:dyDescent="0.5">
      <c r="D4010" t="s">
        <v>6292</v>
      </c>
    </row>
    <row r="4011" spans="3:4" x14ac:dyDescent="0.5">
      <c r="D4011" t="s">
        <v>6293</v>
      </c>
    </row>
    <row r="4012" spans="3:4" x14ac:dyDescent="0.5">
      <c r="D4012" t="s">
        <v>6294</v>
      </c>
    </row>
    <row r="4013" spans="3:4" x14ac:dyDescent="0.5">
      <c r="D4013" t="s">
        <v>6295</v>
      </c>
    </row>
    <row r="4014" spans="3:4" x14ac:dyDescent="0.5">
      <c r="C4014" t="s">
        <v>4581</v>
      </c>
    </row>
    <row r="4015" spans="3:4" x14ac:dyDescent="0.5">
      <c r="C4015" t="s">
        <v>4714</v>
      </c>
    </row>
    <row r="4016" spans="3:4" x14ac:dyDescent="0.5">
      <c r="D4016" t="s">
        <v>6217</v>
      </c>
    </row>
    <row r="4017" spans="3:4" x14ac:dyDescent="0.5">
      <c r="D4017" t="s">
        <v>6218</v>
      </c>
    </row>
    <row r="4018" spans="3:4" x14ac:dyDescent="0.5">
      <c r="D4018" t="s">
        <v>6219</v>
      </c>
    </row>
    <row r="4019" spans="3:4" x14ac:dyDescent="0.5">
      <c r="D4019" t="s">
        <v>6296</v>
      </c>
    </row>
    <row r="4020" spans="3:4" x14ac:dyDescent="0.5">
      <c r="D4020" t="s">
        <v>6297</v>
      </c>
    </row>
    <row r="4021" spans="3:4" x14ac:dyDescent="0.5">
      <c r="D4021" t="s">
        <v>6298</v>
      </c>
    </row>
    <row r="4022" spans="3:4" x14ac:dyDescent="0.5">
      <c r="C4022" t="s">
        <v>4581</v>
      </c>
    </row>
    <row r="4023" spans="3:4" x14ac:dyDescent="0.5">
      <c r="C4023" t="s">
        <v>5591</v>
      </c>
    </row>
    <row r="4024" spans="3:4" x14ac:dyDescent="0.5">
      <c r="C4024" t="s">
        <v>5538</v>
      </c>
    </row>
    <row r="4026" spans="3:4" x14ac:dyDescent="0.5">
      <c r="C4026" t="s">
        <v>6162</v>
      </c>
    </row>
    <row r="4028" spans="3:4" x14ac:dyDescent="0.5">
      <c r="C4028" t="s">
        <v>4727</v>
      </c>
    </row>
    <row r="4029" spans="3:4" x14ac:dyDescent="0.5">
      <c r="C4029" t="s">
        <v>4728</v>
      </c>
    </row>
    <row r="4030" spans="3:4" x14ac:dyDescent="0.5">
      <c r="C4030" t="s">
        <v>6220</v>
      </c>
    </row>
    <row r="4031" spans="3:4" x14ac:dyDescent="0.5">
      <c r="C4031" t="s">
        <v>4899</v>
      </c>
    </row>
    <row r="4033" spans="2:4" x14ac:dyDescent="0.5">
      <c r="C4033" t="s">
        <v>4731</v>
      </c>
    </row>
    <row r="4034" spans="2:4" x14ac:dyDescent="0.5">
      <c r="C4034" t="s">
        <v>6113</v>
      </c>
    </row>
    <row r="4035" spans="2:4" x14ac:dyDescent="0.5">
      <c r="C4035" t="s">
        <v>5198</v>
      </c>
    </row>
    <row r="4036" spans="2:4" x14ac:dyDescent="0.5">
      <c r="C4036" t="s">
        <v>4734</v>
      </c>
    </row>
    <row r="4037" spans="2:4" x14ac:dyDescent="0.5">
      <c r="C4037" t="s">
        <v>4735</v>
      </c>
    </row>
    <row r="4038" spans="2:4" x14ac:dyDescent="0.5">
      <c r="B4038" t="s">
        <v>4581</v>
      </c>
    </row>
    <row r="4040" spans="2:4" x14ac:dyDescent="0.5">
      <c r="B4040" t="s">
        <v>6299</v>
      </c>
    </row>
    <row r="4041" spans="2:4" x14ac:dyDescent="0.5">
      <c r="C4041" t="s">
        <v>6129</v>
      </c>
    </row>
    <row r="4042" spans="2:4" x14ac:dyDescent="0.5">
      <c r="C4042" t="s">
        <v>5282</v>
      </c>
    </row>
    <row r="4044" spans="2:4" x14ac:dyDescent="0.5">
      <c r="C4044" t="s">
        <v>6300</v>
      </c>
    </row>
    <row r="4046" spans="2:4" x14ac:dyDescent="0.5">
      <c r="C4046" t="s">
        <v>4708</v>
      </c>
    </row>
    <row r="4047" spans="2:4" x14ac:dyDescent="0.5">
      <c r="D4047" t="s">
        <v>6301</v>
      </c>
    </row>
    <row r="4048" spans="2:4" x14ac:dyDescent="0.5">
      <c r="D4048" t="s">
        <v>6302</v>
      </c>
    </row>
    <row r="4049" spans="3:4" x14ac:dyDescent="0.5">
      <c r="D4049" t="s">
        <v>6303</v>
      </c>
    </row>
    <row r="4050" spans="3:4" x14ac:dyDescent="0.5">
      <c r="D4050" t="s">
        <v>6304</v>
      </c>
    </row>
    <row r="4051" spans="3:4" x14ac:dyDescent="0.5">
      <c r="D4051" t="s">
        <v>6305</v>
      </c>
    </row>
    <row r="4052" spans="3:4" x14ac:dyDescent="0.5">
      <c r="C4052" t="s">
        <v>4581</v>
      </c>
    </row>
    <row r="4053" spans="3:4" x14ac:dyDescent="0.5">
      <c r="C4053" t="s">
        <v>4714</v>
      </c>
    </row>
    <row r="4054" spans="3:4" x14ac:dyDescent="0.5">
      <c r="D4054" t="s">
        <v>6306</v>
      </c>
    </row>
    <row r="4055" spans="3:4" x14ac:dyDescent="0.5">
      <c r="D4055" t="s">
        <v>6307</v>
      </c>
    </row>
    <row r="4056" spans="3:4" x14ac:dyDescent="0.5">
      <c r="D4056" t="s">
        <v>6308</v>
      </c>
    </row>
    <row r="4057" spans="3:4" x14ac:dyDescent="0.5">
      <c r="D4057" t="s">
        <v>6309</v>
      </c>
    </row>
    <row r="4058" spans="3:4" x14ac:dyDescent="0.5">
      <c r="C4058" t="s">
        <v>4581</v>
      </c>
    </row>
    <row r="4060" spans="3:4" x14ac:dyDescent="0.5">
      <c r="C4060" t="s">
        <v>5591</v>
      </c>
    </row>
    <row r="4061" spans="3:4" x14ac:dyDescent="0.5">
      <c r="C4061" t="s">
        <v>5538</v>
      </c>
    </row>
    <row r="4063" spans="3:4" x14ac:dyDescent="0.5">
      <c r="C4063" t="s">
        <v>6162</v>
      </c>
    </row>
    <row r="4065" spans="2:4" x14ac:dyDescent="0.5">
      <c r="C4065" t="s">
        <v>4735</v>
      </c>
    </row>
    <row r="4066" spans="2:4" x14ac:dyDescent="0.5">
      <c r="B4066" t="s">
        <v>4581</v>
      </c>
    </row>
    <row r="4068" spans="2:4" x14ac:dyDescent="0.5">
      <c r="B4068" t="s">
        <v>6310</v>
      </c>
    </row>
    <row r="4069" spans="2:4" x14ac:dyDescent="0.5">
      <c r="C4069" t="s">
        <v>6129</v>
      </c>
    </row>
    <row r="4070" spans="2:4" x14ac:dyDescent="0.5">
      <c r="C4070" t="s">
        <v>5282</v>
      </c>
    </row>
    <row r="4072" spans="2:4" x14ac:dyDescent="0.5">
      <c r="C4072" t="s">
        <v>6311</v>
      </c>
    </row>
    <row r="4074" spans="2:4" x14ac:dyDescent="0.5">
      <c r="C4074" t="s">
        <v>4708</v>
      </c>
    </row>
    <row r="4075" spans="2:4" x14ac:dyDescent="0.5">
      <c r="D4075" t="s">
        <v>6312</v>
      </c>
    </row>
    <row r="4076" spans="2:4" x14ac:dyDescent="0.5">
      <c r="D4076" t="s">
        <v>6313</v>
      </c>
    </row>
    <row r="4077" spans="2:4" x14ac:dyDescent="0.5">
      <c r="D4077" t="s">
        <v>6314</v>
      </c>
    </row>
    <row r="4078" spans="2:4" x14ac:dyDescent="0.5">
      <c r="D4078" t="s">
        <v>6315</v>
      </c>
    </row>
    <row r="4079" spans="2:4" x14ac:dyDescent="0.5">
      <c r="D4079" t="s">
        <v>6316</v>
      </c>
    </row>
    <row r="4080" spans="2:4" x14ac:dyDescent="0.5">
      <c r="D4080" t="s">
        <v>6317</v>
      </c>
    </row>
    <row r="4081" spans="3:4" x14ac:dyDescent="0.5">
      <c r="D4081" t="s">
        <v>6318</v>
      </c>
    </row>
    <row r="4082" spans="3:4" x14ac:dyDescent="0.5">
      <c r="D4082" t="s">
        <v>6319</v>
      </c>
    </row>
    <row r="4083" spans="3:4" x14ac:dyDescent="0.5">
      <c r="D4083" t="s">
        <v>6320</v>
      </c>
    </row>
    <row r="4084" spans="3:4" x14ac:dyDescent="0.5">
      <c r="D4084" t="s">
        <v>6321</v>
      </c>
    </row>
    <row r="4085" spans="3:4" x14ac:dyDescent="0.5">
      <c r="D4085" t="s">
        <v>6322</v>
      </c>
    </row>
    <row r="4086" spans="3:4" x14ac:dyDescent="0.5">
      <c r="D4086" t="s">
        <v>6323</v>
      </c>
    </row>
    <row r="4087" spans="3:4" x14ac:dyDescent="0.5">
      <c r="D4087" t="s">
        <v>6324</v>
      </c>
    </row>
    <row r="4088" spans="3:4" x14ac:dyDescent="0.5">
      <c r="D4088" t="s">
        <v>6325</v>
      </c>
    </row>
    <row r="4089" spans="3:4" x14ac:dyDescent="0.5">
      <c r="C4089" t="s">
        <v>4581</v>
      </c>
    </row>
    <row r="4090" spans="3:4" x14ac:dyDescent="0.5">
      <c r="C4090" t="s">
        <v>4714</v>
      </c>
    </row>
    <row r="4091" spans="3:4" x14ac:dyDescent="0.5">
      <c r="D4091" t="s">
        <v>6326</v>
      </c>
    </row>
    <row r="4092" spans="3:4" x14ac:dyDescent="0.5">
      <c r="D4092" t="s">
        <v>6327</v>
      </c>
    </row>
    <row r="4093" spans="3:4" x14ac:dyDescent="0.5">
      <c r="D4093" t="s">
        <v>6328</v>
      </c>
    </row>
    <row r="4094" spans="3:4" x14ac:dyDescent="0.5">
      <c r="D4094" t="s">
        <v>6329</v>
      </c>
    </row>
    <row r="4095" spans="3:4" x14ac:dyDescent="0.5">
      <c r="D4095" t="s">
        <v>6330</v>
      </c>
    </row>
    <row r="4096" spans="3:4" x14ac:dyDescent="0.5">
      <c r="C4096" t="s">
        <v>4581</v>
      </c>
    </row>
    <row r="4097" spans="2:3" x14ac:dyDescent="0.5">
      <c r="C4097" t="s">
        <v>5591</v>
      </c>
    </row>
    <row r="4098" spans="2:3" x14ac:dyDescent="0.5">
      <c r="C4098" t="s">
        <v>5538</v>
      </c>
    </row>
    <row r="4100" spans="2:3" x14ac:dyDescent="0.5">
      <c r="C4100" t="s">
        <v>6162</v>
      </c>
    </row>
    <row r="4102" spans="2:3" x14ac:dyDescent="0.5">
      <c r="C4102" t="s">
        <v>4727</v>
      </c>
    </row>
    <row r="4103" spans="2:3" x14ac:dyDescent="0.5">
      <c r="C4103" t="s">
        <v>4728</v>
      </c>
    </row>
    <row r="4104" spans="2:3" x14ac:dyDescent="0.5">
      <c r="C4104" t="s">
        <v>6220</v>
      </c>
    </row>
    <row r="4105" spans="2:3" x14ac:dyDescent="0.5">
      <c r="C4105" t="s">
        <v>4899</v>
      </c>
    </row>
    <row r="4107" spans="2:3" x14ac:dyDescent="0.5">
      <c r="C4107" t="s">
        <v>4731</v>
      </c>
    </row>
    <row r="4108" spans="2:3" x14ac:dyDescent="0.5">
      <c r="C4108" t="s">
        <v>6113</v>
      </c>
    </row>
    <row r="4109" spans="2:3" x14ac:dyDescent="0.5">
      <c r="C4109" t="s">
        <v>5198</v>
      </c>
    </row>
    <row r="4110" spans="2:3" x14ac:dyDescent="0.5">
      <c r="C4110" t="s">
        <v>4734</v>
      </c>
    </row>
    <row r="4111" spans="2:3" x14ac:dyDescent="0.5">
      <c r="C4111" t="s">
        <v>4735</v>
      </c>
    </row>
    <row r="4112" spans="2:3" x14ac:dyDescent="0.5">
      <c r="B4112" t="s">
        <v>4581</v>
      </c>
    </row>
    <row r="4114" spans="2:4" x14ac:dyDescent="0.5">
      <c r="B4114" t="s">
        <v>6331</v>
      </c>
    </row>
    <row r="4115" spans="2:4" x14ac:dyDescent="0.5">
      <c r="C4115" t="s">
        <v>6129</v>
      </c>
    </row>
    <row r="4116" spans="2:4" x14ac:dyDescent="0.5">
      <c r="C4116" t="s">
        <v>5282</v>
      </c>
    </row>
    <row r="4118" spans="2:4" x14ac:dyDescent="0.5">
      <c r="C4118" t="s">
        <v>6332</v>
      </c>
    </row>
    <row r="4120" spans="2:4" x14ac:dyDescent="0.5">
      <c r="C4120" t="s">
        <v>4708</v>
      </c>
    </row>
    <row r="4121" spans="2:4" x14ac:dyDescent="0.5">
      <c r="D4121" t="s">
        <v>6333</v>
      </c>
    </row>
    <row r="4122" spans="2:4" x14ac:dyDescent="0.5">
      <c r="D4122" t="s">
        <v>6334</v>
      </c>
    </row>
    <row r="4123" spans="2:4" x14ac:dyDescent="0.5">
      <c r="D4123" t="s">
        <v>6335</v>
      </c>
    </row>
    <row r="4124" spans="2:4" x14ac:dyDescent="0.5">
      <c r="D4124" t="s">
        <v>6336</v>
      </c>
    </row>
    <row r="4125" spans="2:4" x14ac:dyDescent="0.5">
      <c r="D4125" t="s">
        <v>6337</v>
      </c>
    </row>
    <row r="4126" spans="2:4" x14ac:dyDescent="0.5">
      <c r="D4126" t="s">
        <v>6338</v>
      </c>
    </row>
    <row r="4127" spans="2:4" x14ac:dyDescent="0.5">
      <c r="D4127" t="s">
        <v>6339</v>
      </c>
    </row>
    <row r="4128" spans="2:4" x14ac:dyDescent="0.5">
      <c r="D4128" t="s">
        <v>6340</v>
      </c>
    </row>
    <row r="4129" spans="3:4" x14ac:dyDescent="0.5">
      <c r="C4129" t="s">
        <v>4581</v>
      </c>
    </row>
    <row r="4130" spans="3:4" x14ac:dyDescent="0.5">
      <c r="C4130" t="s">
        <v>4714</v>
      </c>
    </row>
    <row r="4131" spans="3:4" x14ac:dyDescent="0.5">
      <c r="D4131" t="s">
        <v>6341</v>
      </c>
    </row>
    <row r="4132" spans="3:4" x14ac:dyDescent="0.5">
      <c r="D4132" t="s">
        <v>6342</v>
      </c>
    </row>
    <row r="4133" spans="3:4" x14ac:dyDescent="0.5">
      <c r="D4133" t="s">
        <v>6343</v>
      </c>
    </row>
    <row r="4134" spans="3:4" x14ac:dyDescent="0.5">
      <c r="D4134" t="s">
        <v>6344</v>
      </c>
    </row>
    <row r="4135" spans="3:4" x14ac:dyDescent="0.5">
      <c r="D4135" t="s">
        <v>6345</v>
      </c>
    </row>
    <row r="4136" spans="3:4" x14ac:dyDescent="0.5">
      <c r="D4136" t="s">
        <v>6346</v>
      </c>
    </row>
    <row r="4137" spans="3:4" x14ac:dyDescent="0.5">
      <c r="D4137" t="s">
        <v>6347</v>
      </c>
    </row>
    <row r="4138" spans="3:4" x14ac:dyDescent="0.5">
      <c r="C4138" t="s">
        <v>4581</v>
      </c>
    </row>
    <row r="4140" spans="3:4" x14ac:dyDescent="0.5">
      <c r="C4140" t="s">
        <v>5591</v>
      </c>
    </row>
    <row r="4141" spans="3:4" x14ac:dyDescent="0.5">
      <c r="C4141" t="s">
        <v>5538</v>
      </c>
    </row>
    <row r="4143" spans="3:4" x14ac:dyDescent="0.5">
      <c r="C4143" t="s">
        <v>6162</v>
      </c>
    </row>
    <row r="4145" spans="2:3" x14ac:dyDescent="0.5">
      <c r="C4145" t="s">
        <v>6348</v>
      </c>
    </row>
    <row r="4146" spans="2:3" x14ac:dyDescent="0.5">
      <c r="C4146" t="s">
        <v>5718</v>
      </c>
    </row>
    <row r="4147" spans="2:3" x14ac:dyDescent="0.5">
      <c r="C4147" t="s">
        <v>4899</v>
      </c>
    </row>
    <row r="4149" spans="2:3" x14ac:dyDescent="0.5">
      <c r="C4149" t="s">
        <v>6113</v>
      </c>
    </row>
    <row r="4150" spans="2:3" x14ac:dyDescent="0.5">
      <c r="C4150" t="s">
        <v>5198</v>
      </c>
    </row>
    <row r="4151" spans="2:3" x14ac:dyDescent="0.5">
      <c r="C4151" t="s">
        <v>4804</v>
      </c>
    </row>
    <row r="4153" spans="2:3" x14ac:dyDescent="0.5">
      <c r="C4153" t="s">
        <v>4735</v>
      </c>
    </row>
    <row r="4154" spans="2:3" x14ac:dyDescent="0.5">
      <c r="B4154" t="s">
        <v>4581</v>
      </c>
    </row>
    <row r="4156" spans="2:3" x14ac:dyDescent="0.5">
      <c r="B4156" t="s">
        <v>6349</v>
      </c>
    </row>
    <row r="4157" spans="2:3" x14ac:dyDescent="0.5">
      <c r="C4157" t="s">
        <v>6350</v>
      </c>
    </row>
    <row r="4158" spans="2:3" x14ac:dyDescent="0.5">
      <c r="C4158" t="s">
        <v>5282</v>
      </c>
    </row>
    <row r="4160" spans="2:3" x14ac:dyDescent="0.5">
      <c r="C4160" t="s">
        <v>6351</v>
      </c>
    </row>
    <row r="4162" spans="3:4" x14ac:dyDescent="0.5">
      <c r="C4162" t="s">
        <v>4708</v>
      </c>
    </row>
    <row r="4163" spans="3:4" x14ac:dyDescent="0.5">
      <c r="D4163" t="s">
        <v>6352</v>
      </c>
    </row>
    <row r="4164" spans="3:4" x14ac:dyDescent="0.5">
      <c r="C4164" t="s">
        <v>4581</v>
      </c>
    </row>
    <row r="4166" spans="3:4" x14ac:dyDescent="0.5">
      <c r="C4166" t="s">
        <v>4714</v>
      </c>
    </row>
    <row r="4167" spans="3:4" x14ac:dyDescent="0.5">
      <c r="D4167" t="s">
        <v>6353</v>
      </c>
    </row>
    <row r="4168" spans="3:4" x14ac:dyDescent="0.5">
      <c r="C4168" t="s">
        <v>4581</v>
      </c>
    </row>
    <row r="4170" spans="3:4" x14ac:dyDescent="0.5">
      <c r="C4170" t="s">
        <v>4728</v>
      </c>
    </row>
    <row r="4171" spans="3:4" x14ac:dyDescent="0.5">
      <c r="C4171" t="s">
        <v>6220</v>
      </c>
    </row>
    <row r="4172" spans="3:4" x14ac:dyDescent="0.5">
      <c r="C4172" t="s">
        <v>4899</v>
      </c>
    </row>
    <row r="4174" spans="3:4" x14ac:dyDescent="0.5">
      <c r="C4174" t="s">
        <v>6113</v>
      </c>
    </row>
    <row r="4175" spans="3:4" x14ac:dyDescent="0.5">
      <c r="C4175" t="s">
        <v>5198</v>
      </c>
    </row>
    <row r="4176" spans="3:4" x14ac:dyDescent="0.5">
      <c r="C4176" t="s">
        <v>4734</v>
      </c>
    </row>
    <row r="4178" spans="1:3" x14ac:dyDescent="0.5">
      <c r="C4178" t="s">
        <v>4720</v>
      </c>
    </row>
    <row r="4179" spans="1:3" x14ac:dyDescent="0.5">
      <c r="C4179" t="s">
        <v>4721</v>
      </c>
    </row>
    <row r="4180" spans="1:3" x14ac:dyDescent="0.5">
      <c r="C4180" t="s">
        <v>4722</v>
      </c>
    </row>
    <row r="4182" spans="1:3" x14ac:dyDescent="0.5">
      <c r="C4182" t="s">
        <v>4736</v>
      </c>
    </row>
    <row r="4184" spans="1:3" x14ac:dyDescent="0.5">
      <c r="C4184" t="s">
        <v>4735</v>
      </c>
    </row>
    <row r="4185" spans="1:3" x14ac:dyDescent="0.5">
      <c r="B4185" t="s">
        <v>4581</v>
      </c>
    </row>
    <row r="4186" spans="1:3" x14ac:dyDescent="0.5">
      <c r="A4186" t="s">
        <v>4581</v>
      </c>
    </row>
    <row r="4188" spans="1:3" x14ac:dyDescent="0.5">
      <c r="A4188" t="s">
        <v>4693</v>
      </c>
    </row>
    <row r="4189" spans="1:3" x14ac:dyDescent="0.5">
      <c r="B4189" t="s">
        <v>4698</v>
      </c>
    </row>
    <row r="4190" spans="1:3" x14ac:dyDescent="0.5">
      <c r="C4190" t="s">
        <v>4699</v>
      </c>
    </row>
    <row r="4191" spans="1:3" x14ac:dyDescent="0.5">
      <c r="B4191" t="s">
        <v>6354</v>
      </c>
    </row>
    <row r="4193" spans="2:4" x14ac:dyDescent="0.5">
      <c r="B4193" t="s">
        <v>6355</v>
      </c>
    </row>
    <row r="4194" spans="2:4" x14ac:dyDescent="0.5">
      <c r="C4194" t="s">
        <v>6354</v>
      </c>
    </row>
    <row r="4195" spans="2:4" x14ac:dyDescent="0.5">
      <c r="C4195" t="s">
        <v>6356</v>
      </c>
    </row>
    <row r="4197" spans="2:4" x14ac:dyDescent="0.5">
      <c r="C4197" t="s">
        <v>6357</v>
      </c>
    </row>
    <row r="4199" spans="2:4" x14ac:dyDescent="0.5">
      <c r="C4199" t="s">
        <v>4708</v>
      </c>
    </row>
    <row r="4200" spans="2:4" x14ac:dyDescent="0.5">
      <c r="D4200" t="s">
        <v>6358</v>
      </c>
    </row>
    <row r="4201" spans="2:4" x14ac:dyDescent="0.5">
      <c r="D4201" t="s">
        <v>6359</v>
      </c>
    </row>
    <row r="4202" spans="2:4" x14ac:dyDescent="0.5">
      <c r="D4202" t="s">
        <v>6360</v>
      </c>
    </row>
    <row r="4203" spans="2:4" x14ac:dyDescent="0.5">
      <c r="D4203" t="s">
        <v>6361</v>
      </c>
    </row>
    <row r="4204" spans="2:4" x14ac:dyDescent="0.5">
      <c r="D4204" t="s">
        <v>6362</v>
      </c>
    </row>
    <row r="4205" spans="2:4" x14ac:dyDescent="0.5">
      <c r="D4205" t="s">
        <v>6363</v>
      </c>
    </row>
    <row r="4206" spans="2:4" x14ac:dyDescent="0.5">
      <c r="D4206" t="s">
        <v>6364</v>
      </c>
    </row>
    <row r="4207" spans="2:4" x14ac:dyDescent="0.5">
      <c r="D4207" t="s">
        <v>6365</v>
      </c>
    </row>
    <row r="4208" spans="2:4" x14ac:dyDescent="0.5">
      <c r="D4208" t="s">
        <v>6366</v>
      </c>
    </row>
    <row r="4209" spans="3:4" x14ac:dyDescent="0.5">
      <c r="D4209" t="s">
        <v>6367</v>
      </c>
    </row>
    <row r="4210" spans="3:4" x14ac:dyDescent="0.5">
      <c r="D4210" t="s">
        <v>6368</v>
      </c>
    </row>
    <row r="4211" spans="3:4" x14ac:dyDescent="0.5">
      <c r="D4211" t="s">
        <v>6369</v>
      </c>
    </row>
    <row r="4212" spans="3:4" x14ac:dyDescent="0.5">
      <c r="D4212" t="s">
        <v>6370</v>
      </c>
    </row>
    <row r="4213" spans="3:4" x14ac:dyDescent="0.5">
      <c r="D4213" t="s">
        <v>6371</v>
      </c>
    </row>
    <row r="4214" spans="3:4" x14ac:dyDescent="0.5">
      <c r="D4214" t="s">
        <v>6372</v>
      </c>
    </row>
    <row r="4215" spans="3:4" x14ac:dyDescent="0.5">
      <c r="C4215" t="s">
        <v>4581</v>
      </c>
    </row>
    <row r="4216" spans="3:4" x14ac:dyDescent="0.5">
      <c r="C4216" t="s">
        <v>4714</v>
      </c>
    </row>
    <row r="4217" spans="3:4" x14ac:dyDescent="0.5">
      <c r="D4217" t="s">
        <v>6373</v>
      </c>
    </row>
    <row r="4218" spans="3:4" x14ac:dyDescent="0.5">
      <c r="D4218" t="s">
        <v>6374</v>
      </c>
    </row>
    <row r="4219" spans="3:4" x14ac:dyDescent="0.5">
      <c r="D4219" t="s">
        <v>6375</v>
      </c>
    </row>
    <row r="4220" spans="3:4" x14ac:dyDescent="0.5">
      <c r="D4220" t="s">
        <v>6376</v>
      </c>
    </row>
    <row r="4221" spans="3:4" x14ac:dyDescent="0.5">
      <c r="D4221" t="s">
        <v>6377</v>
      </c>
    </row>
    <row r="4222" spans="3:4" x14ac:dyDescent="0.5">
      <c r="D4222" t="s">
        <v>6378</v>
      </c>
    </row>
    <row r="4223" spans="3:4" x14ac:dyDescent="0.5">
      <c r="D4223" t="s">
        <v>6379</v>
      </c>
    </row>
    <row r="4224" spans="3:4" x14ac:dyDescent="0.5">
      <c r="D4224" t="s">
        <v>6380</v>
      </c>
    </row>
    <row r="4225" spans="3:4" x14ac:dyDescent="0.5">
      <c r="D4225" t="s">
        <v>6381</v>
      </c>
    </row>
    <row r="4226" spans="3:4" x14ac:dyDescent="0.5">
      <c r="D4226" t="s">
        <v>6382</v>
      </c>
    </row>
    <row r="4227" spans="3:4" x14ac:dyDescent="0.5">
      <c r="D4227" t="s">
        <v>6383</v>
      </c>
    </row>
    <row r="4228" spans="3:4" x14ac:dyDescent="0.5">
      <c r="D4228" t="s">
        <v>6384</v>
      </c>
    </row>
    <row r="4229" spans="3:4" x14ac:dyDescent="0.5">
      <c r="C4229" t="s">
        <v>4581</v>
      </c>
    </row>
    <row r="4230" spans="3:4" x14ac:dyDescent="0.5">
      <c r="C4230" t="s">
        <v>5591</v>
      </c>
    </row>
    <row r="4232" spans="3:4" x14ac:dyDescent="0.5">
      <c r="C4232" t="s">
        <v>5538</v>
      </c>
    </row>
    <row r="4233" spans="3:4" x14ac:dyDescent="0.5">
      <c r="C4233" t="s">
        <v>4727</v>
      </c>
    </row>
    <row r="4234" spans="3:4" x14ac:dyDescent="0.5">
      <c r="C4234" t="s">
        <v>4728</v>
      </c>
    </row>
    <row r="4235" spans="3:4" x14ac:dyDescent="0.5">
      <c r="C4235" t="s">
        <v>6220</v>
      </c>
    </row>
    <row r="4236" spans="3:4" x14ac:dyDescent="0.5">
      <c r="C4236" t="s">
        <v>4899</v>
      </c>
    </row>
    <row r="4238" spans="3:4" x14ac:dyDescent="0.5">
      <c r="C4238" t="s">
        <v>4731</v>
      </c>
    </row>
    <row r="4239" spans="3:4" x14ac:dyDescent="0.5">
      <c r="C4239" t="s">
        <v>6385</v>
      </c>
    </row>
    <row r="4240" spans="3:4" x14ac:dyDescent="0.5">
      <c r="C4240" t="s">
        <v>6386</v>
      </c>
    </row>
    <row r="4241" spans="2:4" x14ac:dyDescent="0.5">
      <c r="C4241" t="s">
        <v>4734</v>
      </c>
    </row>
    <row r="4243" spans="2:4" x14ac:dyDescent="0.5">
      <c r="C4243" t="s">
        <v>6162</v>
      </c>
    </row>
    <row r="4245" spans="2:4" x14ac:dyDescent="0.5">
      <c r="C4245" t="s">
        <v>4735</v>
      </c>
    </row>
    <row r="4246" spans="2:4" x14ac:dyDescent="0.5">
      <c r="B4246" t="s">
        <v>4581</v>
      </c>
    </row>
    <row r="4248" spans="2:4" x14ac:dyDescent="0.5">
      <c r="B4248" t="s">
        <v>6387</v>
      </c>
    </row>
    <row r="4249" spans="2:4" x14ac:dyDescent="0.5">
      <c r="C4249" t="s">
        <v>6354</v>
      </c>
    </row>
    <row r="4250" spans="2:4" x14ac:dyDescent="0.5">
      <c r="C4250" t="s">
        <v>6356</v>
      </c>
    </row>
    <row r="4252" spans="2:4" x14ac:dyDescent="0.5">
      <c r="C4252" t="s">
        <v>6388</v>
      </c>
    </row>
    <row r="4253" spans="2:4" x14ac:dyDescent="0.5">
      <c r="C4253" t="s">
        <v>4708</v>
      </c>
    </row>
    <row r="4254" spans="2:4" x14ac:dyDescent="0.5">
      <c r="D4254" t="s">
        <v>6389</v>
      </c>
    </row>
    <row r="4255" spans="2:4" x14ac:dyDescent="0.5">
      <c r="D4255" t="s">
        <v>6390</v>
      </c>
    </row>
    <row r="4256" spans="2:4" x14ac:dyDescent="0.5">
      <c r="D4256" t="s">
        <v>6391</v>
      </c>
    </row>
    <row r="4257" spans="3:4" x14ac:dyDescent="0.5">
      <c r="D4257" t="s">
        <v>6392</v>
      </c>
    </row>
    <row r="4258" spans="3:4" x14ac:dyDescent="0.5">
      <c r="D4258" t="s">
        <v>6393</v>
      </c>
    </row>
    <row r="4259" spans="3:4" x14ac:dyDescent="0.5">
      <c r="D4259" t="s">
        <v>6394</v>
      </c>
    </row>
    <row r="4260" spans="3:4" x14ac:dyDescent="0.5">
      <c r="C4260" t="s">
        <v>4581</v>
      </c>
    </row>
    <row r="4261" spans="3:4" x14ac:dyDescent="0.5">
      <c r="C4261" t="s">
        <v>4714</v>
      </c>
    </row>
    <row r="4262" spans="3:4" x14ac:dyDescent="0.5">
      <c r="D4262" t="s">
        <v>6395</v>
      </c>
    </row>
    <row r="4263" spans="3:4" x14ac:dyDescent="0.5">
      <c r="C4263" t="s">
        <v>4581</v>
      </c>
    </row>
    <row r="4265" spans="3:4" x14ac:dyDescent="0.5">
      <c r="C4265" t="s">
        <v>5591</v>
      </c>
    </row>
    <row r="4267" spans="3:4" x14ac:dyDescent="0.5">
      <c r="C4267" t="s">
        <v>5538</v>
      </c>
    </row>
    <row r="4269" spans="3:4" x14ac:dyDescent="0.5">
      <c r="C4269" t="s">
        <v>4727</v>
      </c>
    </row>
    <row r="4270" spans="3:4" x14ac:dyDescent="0.5">
      <c r="C4270" t="s">
        <v>4728</v>
      </c>
    </row>
    <row r="4271" spans="3:4" x14ac:dyDescent="0.5">
      <c r="C4271" t="s">
        <v>6220</v>
      </c>
    </row>
    <row r="4272" spans="3:4" x14ac:dyDescent="0.5">
      <c r="C4272" t="s">
        <v>4899</v>
      </c>
    </row>
    <row r="4274" spans="2:3" x14ac:dyDescent="0.5">
      <c r="C4274" t="s">
        <v>4731</v>
      </c>
    </row>
    <row r="4275" spans="2:3" x14ac:dyDescent="0.5">
      <c r="C4275" t="s">
        <v>6113</v>
      </c>
    </row>
    <row r="4276" spans="2:3" x14ac:dyDescent="0.5">
      <c r="C4276" t="s">
        <v>5198</v>
      </c>
    </row>
    <row r="4277" spans="2:3" x14ac:dyDescent="0.5">
      <c r="C4277" t="s">
        <v>4734</v>
      </c>
    </row>
    <row r="4279" spans="2:3" x14ac:dyDescent="0.5">
      <c r="C4279" t="s">
        <v>6162</v>
      </c>
    </row>
    <row r="4281" spans="2:3" x14ac:dyDescent="0.5">
      <c r="C4281" t="s">
        <v>4735</v>
      </c>
    </row>
    <row r="4282" spans="2:3" x14ac:dyDescent="0.5">
      <c r="B4282" t="s">
        <v>4581</v>
      </c>
    </row>
    <row r="4284" spans="2:3" x14ac:dyDescent="0.5">
      <c r="B4284" t="s">
        <v>6396</v>
      </c>
    </row>
    <row r="4285" spans="2:3" x14ac:dyDescent="0.5">
      <c r="C4285" t="s">
        <v>6354</v>
      </c>
    </row>
    <row r="4286" spans="2:3" x14ac:dyDescent="0.5">
      <c r="C4286" t="s">
        <v>6356</v>
      </c>
    </row>
    <row r="4288" spans="2:3" x14ac:dyDescent="0.5">
      <c r="C4288" t="s">
        <v>6397</v>
      </c>
    </row>
    <row r="4289" spans="3:4" x14ac:dyDescent="0.5">
      <c r="C4289" t="s">
        <v>4708</v>
      </c>
    </row>
    <row r="4290" spans="3:4" x14ac:dyDescent="0.5">
      <c r="D4290" t="s">
        <v>6398</v>
      </c>
    </row>
    <row r="4291" spans="3:4" x14ac:dyDescent="0.5">
      <c r="D4291" t="s">
        <v>6399</v>
      </c>
    </row>
    <row r="4292" spans="3:4" x14ac:dyDescent="0.5">
      <c r="D4292" t="s">
        <v>6400</v>
      </c>
    </row>
    <row r="4293" spans="3:4" x14ac:dyDescent="0.5">
      <c r="D4293" t="s">
        <v>6401</v>
      </c>
    </row>
    <row r="4294" spans="3:4" x14ac:dyDescent="0.5">
      <c r="D4294" t="s">
        <v>6402</v>
      </c>
    </row>
    <row r="4295" spans="3:4" x14ac:dyDescent="0.5">
      <c r="D4295" t="s">
        <v>6403</v>
      </c>
    </row>
    <row r="4296" spans="3:4" x14ac:dyDescent="0.5">
      <c r="D4296" t="s">
        <v>6404</v>
      </c>
    </row>
    <row r="4297" spans="3:4" x14ac:dyDescent="0.5">
      <c r="D4297" t="s">
        <v>6405</v>
      </c>
    </row>
    <row r="4298" spans="3:4" x14ac:dyDescent="0.5">
      <c r="D4298" t="s">
        <v>6406</v>
      </c>
    </row>
    <row r="4299" spans="3:4" x14ac:dyDescent="0.5">
      <c r="D4299" t="s">
        <v>6407</v>
      </c>
    </row>
    <row r="4300" spans="3:4" x14ac:dyDescent="0.5">
      <c r="D4300" t="s">
        <v>6408</v>
      </c>
    </row>
    <row r="4301" spans="3:4" x14ac:dyDescent="0.5">
      <c r="D4301" t="s">
        <v>6409</v>
      </c>
    </row>
    <row r="4302" spans="3:4" x14ac:dyDescent="0.5">
      <c r="C4302" t="s">
        <v>4581</v>
      </c>
    </row>
    <row r="4303" spans="3:4" x14ac:dyDescent="0.5">
      <c r="C4303" t="s">
        <v>4714</v>
      </c>
    </row>
    <row r="4304" spans="3:4" x14ac:dyDescent="0.5">
      <c r="D4304" t="s">
        <v>6410</v>
      </c>
    </row>
    <row r="4305" spans="3:4" x14ac:dyDescent="0.5">
      <c r="D4305" t="s">
        <v>6411</v>
      </c>
    </row>
    <row r="4306" spans="3:4" x14ac:dyDescent="0.5">
      <c r="D4306" t="s">
        <v>6412</v>
      </c>
    </row>
    <row r="4307" spans="3:4" x14ac:dyDescent="0.5">
      <c r="C4307" t="s">
        <v>4581</v>
      </c>
    </row>
    <row r="4309" spans="3:4" x14ac:dyDescent="0.5">
      <c r="C4309" t="s">
        <v>5591</v>
      </c>
    </row>
    <row r="4311" spans="3:4" x14ac:dyDescent="0.5">
      <c r="C4311" t="s">
        <v>5538</v>
      </c>
    </row>
    <row r="4313" spans="3:4" x14ac:dyDescent="0.5">
      <c r="C4313" t="s">
        <v>4727</v>
      </c>
    </row>
    <row r="4314" spans="3:4" x14ac:dyDescent="0.5">
      <c r="C4314" t="s">
        <v>4728</v>
      </c>
    </row>
    <row r="4315" spans="3:4" x14ac:dyDescent="0.5">
      <c r="C4315" t="s">
        <v>6220</v>
      </c>
    </row>
    <row r="4316" spans="3:4" x14ac:dyDescent="0.5">
      <c r="C4316" t="s">
        <v>4899</v>
      </c>
    </row>
    <row r="4318" spans="3:4" x14ac:dyDescent="0.5">
      <c r="C4318" t="s">
        <v>4731</v>
      </c>
    </row>
    <row r="4319" spans="3:4" x14ac:dyDescent="0.5">
      <c r="C4319" t="s">
        <v>6113</v>
      </c>
    </row>
    <row r="4320" spans="3:4" x14ac:dyDescent="0.5">
      <c r="C4320" t="s">
        <v>5198</v>
      </c>
    </row>
    <row r="4321" spans="1:3" x14ac:dyDescent="0.5">
      <c r="C4321" t="s">
        <v>4734</v>
      </c>
    </row>
    <row r="4323" spans="1:3" x14ac:dyDescent="0.5">
      <c r="C4323" t="s">
        <v>6162</v>
      </c>
    </row>
    <row r="4325" spans="1:3" x14ac:dyDescent="0.5">
      <c r="C4325" t="s">
        <v>4735</v>
      </c>
    </row>
    <row r="4326" spans="1:3" x14ac:dyDescent="0.5">
      <c r="B4326" t="s">
        <v>4581</v>
      </c>
    </row>
    <row r="4327" spans="1:3" x14ac:dyDescent="0.5">
      <c r="A4327" t="s">
        <v>4581</v>
      </c>
    </row>
    <row r="4329" spans="1:3" x14ac:dyDescent="0.5">
      <c r="A4329" t="s">
        <v>4694</v>
      </c>
    </row>
    <row r="4330" spans="1:3" x14ac:dyDescent="0.5">
      <c r="B4330" t="s">
        <v>4698</v>
      </c>
    </row>
    <row r="4331" spans="1:3" x14ac:dyDescent="0.5">
      <c r="C4331" t="s">
        <v>4699</v>
      </c>
    </row>
    <row r="4332" spans="1:3" x14ac:dyDescent="0.5">
      <c r="B4332" t="s">
        <v>6413</v>
      </c>
    </row>
    <row r="4334" spans="1:3" x14ac:dyDescent="0.5">
      <c r="B4334" t="s">
        <v>6414</v>
      </c>
    </row>
    <row r="4335" spans="1:3" x14ac:dyDescent="0.5">
      <c r="C4335" t="s">
        <v>6413</v>
      </c>
    </row>
    <row r="4336" spans="1:3" x14ac:dyDescent="0.5">
      <c r="C4336" t="s">
        <v>5282</v>
      </c>
    </row>
    <row r="4338" spans="3:4" x14ac:dyDescent="0.5">
      <c r="C4338" t="s">
        <v>6415</v>
      </c>
    </row>
    <row r="4340" spans="3:4" x14ac:dyDescent="0.5">
      <c r="C4340" t="s">
        <v>5664</v>
      </c>
    </row>
    <row r="4342" spans="3:4" x14ac:dyDescent="0.5">
      <c r="C4342" t="s">
        <v>4708</v>
      </c>
    </row>
    <row r="4343" spans="3:4" x14ac:dyDescent="0.5">
      <c r="D4343" t="s">
        <v>6416</v>
      </c>
    </row>
    <row r="4344" spans="3:4" x14ac:dyDescent="0.5">
      <c r="D4344" t="s">
        <v>6417</v>
      </c>
    </row>
    <row r="4345" spans="3:4" x14ac:dyDescent="0.5">
      <c r="D4345" t="s">
        <v>6418</v>
      </c>
    </row>
    <row r="4346" spans="3:4" x14ac:dyDescent="0.5">
      <c r="D4346" t="s">
        <v>6419</v>
      </c>
    </row>
    <row r="4347" spans="3:4" x14ac:dyDescent="0.5">
      <c r="D4347" t="s">
        <v>6420</v>
      </c>
    </row>
    <row r="4348" spans="3:4" x14ac:dyDescent="0.5">
      <c r="D4348" t="s">
        <v>6421</v>
      </c>
    </row>
    <row r="4349" spans="3:4" x14ac:dyDescent="0.5">
      <c r="D4349" t="s">
        <v>6422</v>
      </c>
    </row>
    <row r="4350" spans="3:4" x14ac:dyDescent="0.5">
      <c r="D4350" t="s">
        <v>6423</v>
      </c>
    </row>
    <row r="4351" spans="3:4" x14ac:dyDescent="0.5">
      <c r="D4351" t="s">
        <v>6424</v>
      </c>
    </row>
    <row r="4352" spans="3:4" x14ac:dyDescent="0.5">
      <c r="D4352" t="s">
        <v>6425</v>
      </c>
    </row>
    <row r="4353" spans="3:4" x14ac:dyDescent="0.5">
      <c r="D4353" t="s">
        <v>6426</v>
      </c>
    </row>
    <row r="4354" spans="3:4" x14ac:dyDescent="0.5">
      <c r="D4354" t="s">
        <v>6427</v>
      </c>
    </row>
    <row r="4355" spans="3:4" x14ac:dyDescent="0.5">
      <c r="D4355" t="s">
        <v>6428</v>
      </c>
    </row>
    <row r="4356" spans="3:4" x14ac:dyDescent="0.5">
      <c r="D4356" t="s">
        <v>6429</v>
      </c>
    </row>
    <row r="4357" spans="3:4" x14ac:dyDescent="0.5">
      <c r="C4357" t="s">
        <v>4581</v>
      </c>
    </row>
    <row r="4359" spans="3:4" x14ac:dyDescent="0.5">
      <c r="C4359" t="s">
        <v>4714</v>
      </c>
    </row>
    <row r="4360" spans="3:4" x14ac:dyDescent="0.5">
      <c r="D4360" t="s">
        <v>6430</v>
      </c>
    </row>
    <row r="4361" spans="3:4" x14ac:dyDescent="0.5">
      <c r="D4361" t="s">
        <v>6431</v>
      </c>
    </row>
    <row r="4362" spans="3:4" x14ac:dyDescent="0.5">
      <c r="D4362" t="s">
        <v>6432</v>
      </c>
    </row>
    <row r="4363" spans="3:4" x14ac:dyDescent="0.5">
      <c r="D4363" t="s">
        <v>6433</v>
      </c>
    </row>
    <row r="4364" spans="3:4" x14ac:dyDescent="0.5">
      <c r="D4364" t="s">
        <v>6434</v>
      </c>
    </row>
    <row r="4365" spans="3:4" x14ac:dyDescent="0.5">
      <c r="D4365" t="s">
        <v>6435</v>
      </c>
    </row>
    <row r="4366" spans="3:4" x14ac:dyDescent="0.5">
      <c r="D4366" t="s">
        <v>6436</v>
      </c>
    </row>
    <row r="4367" spans="3:4" x14ac:dyDescent="0.5">
      <c r="D4367" t="s">
        <v>6437</v>
      </c>
    </row>
    <row r="4368" spans="3:4" x14ac:dyDescent="0.5">
      <c r="C4368" t="s">
        <v>4581</v>
      </c>
    </row>
    <row r="4370" spans="3:3" x14ac:dyDescent="0.5">
      <c r="C4370" t="s">
        <v>4728</v>
      </c>
    </row>
    <row r="4371" spans="3:3" x14ac:dyDescent="0.5">
      <c r="C4371" t="s">
        <v>6220</v>
      </c>
    </row>
    <row r="4372" spans="3:3" x14ac:dyDescent="0.5">
      <c r="C4372" t="s">
        <v>4899</v>
      </c>
    </row>
    <row r="4374" spans="3:3" x14ac:dyDescent="0.5">
      <c r="C4374" t="s">
        <v>6113</v>
      </c>
    </row>
    <row r="4375" spans="3:3" x14ac:dyDescent="0.5">
      <c r="C4375" t="s">
        <v>5198</v>
      </c>
    </row>
    <row r="4376" spans="3:3" x14ac:dyDescent="0.5">
      <c r="C4376" t="s">
        <v>4734</v>
      </c>
    </row>
    <row r="4378" spans="3:3" x14ac:dyDescent="0.5">
      <c r="C4378" t="s">
        <v>4720</v>
      </c>
    </row>
    <row r="4379" spans="3:3" x14ac:dyDescent="0.5">
      <c r="C4379" t="s">
        <v>4721</v>
      </c>
    </row>
    <row r="4380" spans="3:3" x14ac:dyDescent="0.5">
      <c r="C4380" t="s">
        <v>4722</v>
      </c>
    </row>
    <row r="4382" spans="3:3" x14ac:dyDescent="0.5">
      <c r="C4382" t="s">
        <v>4736</v>
      </c>
    </row>
    <row r="4384" spans="3:3" x14ac:dyDescent="0.5">
      <c r="C4384" t="s">
        <v>4735</v>
      </c>
    </row>
    <row r="4385" spans="2:4" x14ac:dyDescent="0.5">
      <c r="B4385" t="s">
        <v>4581</v>
      </c>
    </row>
    <row r="4387" spans="2:4" x14ac:dyDescent="0.5">
      <c r="B4387" t="s">
        <v>6438</v>
      </c>
    </row>
    <row r="4388" spans="2:4" x14ac:dyDescent="0.5">
      <c r="C4388" t="s">
        <v>6413</v>
      </c>
    </row>
    <row r="4389" spans="2:4" x14ac:dyDescent="0.5">
      <c r="C4389" t="s">
        <v>5282</v>
      </c>
    </row>
    <row r="4391" spans="2:4" x14ac:dyDescent="0.5">
      <c r="C4391" t="s">
        <v>5664</v>
      </c>
    </row>
    <row r="4393" spans="2:4" x14ac:dyDescent="0.5">
      <c r="C4393" t="s">
        <v>6439</v>
      </c>
    </row>
    <row r="4395" spans="2:4" x14ac:dyDescent="0.5">
      <c r="C4395" t="s">
        <v>4708</v>
      </c>
    </row>
    <row r="4396" spans="2:4" x14ac:dyDescent="0.5">
      <c r="D4396" t="s">
        <v>6440</v>
      </c>
    </row>
    <row r="4397" spans="2:4" x14ac:dyDescent="0.5">
      <c r="D4397" t="s">
        <v>6441</v>
      </c>
    </row>
    <row r="4398" spans="2:4" x14ac:dyDescent="0.5">
      <c r="D4398" t="s">
        <v>6442</v>
      </c>
    </row>
    <row r="4399" spans="2:4" x14ac:dyDescent="0.5">
      <c r="D4399" t="s">
        <v>6443</v>
      </c>
    </row>
    <row r="4400" spans="2:4" x14ac:dyDescent="0.5">
      <c r="D4400" t="s">
        <v>6444</v>
      </c>
    </row>
    <row r="4401" spans="3:4" x14ac:dyDescent="0.5">
      <c r="D4401" t="s">
        <v>6445</v>
      </c>
    </row>
    <row r="4402" spans="3:4" x14ac:dyDescent="0.5">
      <c r="D4402" t="s">
        <v>6446</v>
      </c>
    </row>
    <row r="4403" spans="3:4" x14ac:dyDescent="0.5">
      <c r="D4403" t="s">
        <v>6447</v>
      </c>
    </row>
    <row r="4404" spans="3:4" x14ac:dyDescent="0.5">
      <c r="D4404" t="s">
        <v>6448</v>
      </c>
    </row>
    <row r="4405" spans="3:4" x14ac:dyDescent="0.5">
      <c r="D4405" t="s">
        <v>6449</v>
      </c>
    </row>
    <row r="4406" spans="3:4" x14ac:dyDescent="0.5">
      <c r="D4406" t="s">
        <v>6450</v>
      </c>
    </row>
    <row r="4407" spans="3:4" x14ac:dyDescent="0.5">
      <c r="D4407" t="s">
        <v>6451</v>
      </c>
    </row>
    <row r="4408" spans="3:4" x14ac:dyDescent="0.5">
      <c r="D4408" t="s">
        <v>6452</v>
      </c>
    </row>
    <row r="4409" spans="3:4" x14ac:dyDescent="0.5">
      <c r="D4409" t="s">
        <v>6453</v>
      </c>
    </row>
    <row r="4410" spans="3:4" x14ac:dyDescent="0.5">
      <c r="D4410" t="s">
        <v>6454</v>
      </c>
    </row>
    <row r="4411" spans="3:4" x14ac:dyDescent="0.5">
      <c r="D4411" t="s">
        <v>6455</v>
      </c>
    </row>
    <row r="4412" spans="3:4" x14ac:dyDescent="0.5">
      <c r="D4412" t="s">
        <v>6456</v>
      </c>
    </row>
    <row r="4413" spans="3:4" x14ac:dyDescent="0.5">
      <c r="C4413" t="s">
        <v>4581</v>
      </c>
    </row>
    <row r="4415" spans="3:4" x14ac:dyDescent="0.5">
      <c r="C4415" t="s">
        <v>4714</v>
      </c>
    </row>
    <row r="4416" spans="3:4" x14ac:dyDescent="0.5">
      <c r="D4416" t="s">
        <v>6457</v>
      </c>
    </row>
    <row r="4417" spans="3:4" x14ac:dyDescent="0.5">
      <c r="D4417" t="s">
        <v>6458</v>
      </c>
    </row>
    <row r="4418" spans="3:4" x14ac:dyDescent="0.5">
      <c r="D4418" t="s">
        <v>6459</v>
      </c>
    </row>
    <row r="4419" spans="3:4" x14ac:dyDescent="0.5">
      <c r="D4419" t="s">
        <v>6460</v>
      </c>
    </row>
    <row r="4420" spans="3:4" x14ac:dyDescent="0.5">
      <c r="D4420" t="s">
        <v>6461</v>
      </c>
    </row>
    <row r="4421" spans="3:4" x14ac:dyDescent="0.5">
      <c r="D4421" t="s">
        <v>6462</v>
      </c>
    </row>
    <row r="4422" spans="3:4" x14ac:dyDescent="0.5">
      <c r="D4422" t="s">
        <v>6463</v>
      </c>
    </row>
    <row r="4423" spans="3:4" x14ac:dyDescent="0.5">
      <c r="D4423" t="s">
        <v>6464</v>
      </c>
    </row>
    <row r="4424" spans="3:4" x14ac:dyDescent="0.5">
      <c r="D4424" t="s">
        <v>6465</v>
      </c>
    </row>
    <row r="4425" spans="3:4" x14ac:dyDescent="0.5">
      <c r="D4425" t="s">
        <v>6466</v>
      </c>
    </row>
    <row r="4426" spans="3:4" x14ac:dyDescent="0.5">
      <c r="D4426" t="s">
        <v>6467</v>
      </c>
    </row>
    <row r="4427" spans="3:4" x14ac:dyDescent="0.5">
      <c r="C4427" t="s">
        <v>4581</v>
      </c>
    </row>
    <row r="4429" spans="3:4" x14ac:dyDescent="0.5">
      <c r="C4429" t="s">
        <v>4728</v>
      </c>
    </row>
    <row r="4430" spans="3:4" x14ac:dyDescent="0.5">
      <c r="C4430" t="s">
        <v>6220</v>
      </c>
    </row>
    <row r="4431" spans="3:4" x14ac:dyDescent="0.5">
      <c r="C4431" t="s">
        <v>4899</v>
      </c>
    </row>
    <row r="4433" spans="2:3" x14ac:dyDescent="0.5">
      <c r="C4433" t="s">
        <v>6113</v>
      </c>
    </row>
    <row r="4434" spans="2:3" x14ac:dyDescent="0.5">
      <c r="C4434" t="s">
        <v>5198</v>
      </c>
    </row>
    <row r="4435" spans="2:3" x14ac:dyDescent="0.5">
      <c r="C4435" t="s">
        <v>4734</v>
      </c>
    </row>
    <row r="4437" spans="2:3" x14ac:dyDescent="0.5">
      <c r="C4437" t="s">
        <v>4720</v>
      </c>
    </row>
    <row r="4438" spans="2:3" x14ac:dyDescent="0.5">
      <c r="C4438" t="s">
        <v>4721</v>
      </c>
    </row>
    <row r="4439" spans="2:3" x14ac:dyDescent="0.5">
      <c r="C4439" t="s">
        <v>4722</v>
      </c>
    </row>
    <row r="4441" spans="2:3" x14ac:dyDescent="0.5">
      <c r="C4441" t="s">
        <v>4736</v>
      </c>
    </row>
    <row r="4443" spans="2:3" x14ac:dyDescent="0.5">
      <c r="C4443" t="s">
        <v>4735</v>
      </c>
    </row>
    <row r="4444" spans="2:3" x14ac:dyDescent="0.5">
      <c r="B4444" t="s">
        <v>4581</v>
      </c>
    </row>
    <row r="4446" spans="2:3" x14ac:dyDescent="0.5">
      <c r="B4446" t="s">
        <v>6468</v>
      </c>
    </row>
    <row r="4447" spans="2:3" x14ac:dyDescent="0.5">
      <c r="C4447" t="s">
        <v>6413</v>
      </c>
    </row>
    <row r="4448" spans="2:3" x14ac:dyDescent="0.5">
      <c r="C4448" t="s">
        <v>5282</v>
      </c>
    </row>
    <row r="4450" spans="3:5" x14ac:dyDescent="0.5">
      <c r="C4450" t="s">
        <v>6469</v>
      </c>
    </row>
    <row r="4452" spans="3:5" x14ac:dyDescent="0.5">
      <c r="C4452" t="s">
        <v>4698</v>
      </c>
    </row>
    <row r="4453" spans="3:5" x14ac:dyDescent="0.5">
      <c r="C4453" t="s">
        <v>4702</v>
      </c>
    </row>
    <row r="4454" spans="3:5" x14ac:dyDescent="0.5">
      <c r="D4454" t="s">
        <v>4703</v>
      </c>
    </row>
    <row r="4455" spans="3:5" x14ac:dyDescent="0.5">
      <c r="E4455" t="s">
        <v>4704</v>
      </c>
    </row>
    <row r="4456" spans="3:5" x14ac:dyDescent="0.5">
      <c r="E4456" t="s">
        <v>4705</v>
      </c>
    </row>
    <row r="4457" spans="3:5" x14ac:dyDescent="0.5">
      <c r="D4457" t="s">
        <v>4581</v>
      </c>
    </row>
    <row r="4458" spans="3:5" x14ac:dyDescent="0.5">
      <c r="C4458" t="s">
        <v>4581</v>
      </c>
    </row>
    <row r="4460" spans="3:5" x14ac:dyDescent="0.5">
      <c r="C4460" t="s">
        <v>5664</v>
      </c>
    </row>
    <row r="4462" spans="3:5" x14ac:dyDescent="0.5">
      <c r="C4462" t="s">
        <v>4708</v>
      </c>
    </row>
    <row r="4463" spans="3:5" x14ac:dyDescent="0.5">
      <c r="D4463" t="s">
        <v>6470</v>
      </c>
    </row>
    <row r="4464" spans="3:5" x14ac:dyDescent="0.5">
      <c r="D4464" t="s">
        <v>6471</v>
      </c>
    </row>
    <row r="4465" spans="3:4" x14ac:dyDescent="0.5">
      <c r="D4465" t="s">
        <v>6472</v>
      </c>
    </row>
    <row r="4466" spans="3:4" x14ac:dyDescent="0.5">
      <c r="D4466" t="s">
        <v>6473</v>
      </c>
    </row>
    <row r="4467" spans="3:4" x14ac:dyDescent="0.5">
      <c r="D4467" t="s">
        <v>6474</v>
      </c>
    </row>
    <row r="4468" spans="3:4" x14ac:dyDescent="0.5">
      <c r="D4468" t="s">
        <v>6475</v>
      </c>
    </row>
    <row r="4469" spans="3:4" x14ac:dyDescent="0.5">
      <c r="D4469" t="s">
        <v>6476</v>
      </c>
    </row>
    <row r="4470" spans="3:4" x14ac:dyDescent="0.5">
      <c r="D4470" t="s">
        <v>6477</v>
      </c>
    </row>
    <row r="4471" spans="3:4" x14ac:dyDescent="0.5">
      <c r="D4471" t="s">
        <v>6478</v>
      </c>
    </row>
    <row r="4472" spans="3:4" x14ac:dyDescent="0.5">
      <c r="D4472" t="s">
        <v>6479</v>
      </c>
    </row>
    <row r="4473" spans="3:4" x14ac:dyDescent="0.5">
      <c r="D4473" t="s">
        <v>6480</v>
      </c>
    </row>
    <row r="4474" spans="3:4" x14ac:dyDescent="0.5">
      <c r="C4474" t="s">
        <v>4581</v>
      </c>
    </row>
    <row r="4476" spans="3:4" x14ac:dyDescent="0.5">
      <c r="C4476" t="s">
        <v>4714</v>
      </c>
    </row>
    <row r="4477" spans="3:4" x14ac:dyDescent="0.5">
      <c r="D4477" t="s">
        <v>6481</v>
      </c>
    </row>
    <row r="4478" spans="3:4" x14ac:dyDescent="0.5">
      <c r="D4478" t="s">
        <v>6482</v>
      </c>
    </row>
    <row r="4479" spans="3:4" x14ac:dyDescent="0.5">
      <c r="D4479" t="s">
        <v>6483</v>
      </c>
    </row>
    <row r="4480" spans="3:4" x14ac:dyDescent="0.5">
      <c r="D4480" t="s">
        <v>6484</v>
      </c>
    </row>
    <row r="4481" spans="3:4" x14ac:dyDescent="0.5">
      <c r="D4481" t="s">
        <v>6485</v>
      </c>
    </row>
    <row r="4482" spans="3:4" x14ac:dyDescent="0.5">
      <c r="C4482" t="s">
        <v>4581</v>
      </c>
    </row>
    <row r="4484" spans="3:4" x14ac:dyDescent="0.5">
      <c r="C4484" t="s">
        <v>4829</v>
      </c>
    </row>
    <row r="4485" spans="3:4" x14ac:dyDescent="0.5">
      <c r="C4485" t="s">
        <v>6220</v>
      </c>
    </row>
    <row r="4486" spans="3:4" x14ac:dyDescent="0.5">
      <c r="C4486" t="s">
        <v>4899</v>
      </c>
    </row>
    <row r="4488" spans="3:4" x14ac:dyDescent="0.5">
      <c r="C4488" t="s">
        <v>6113</v>
      </c>
    </row>
    <row r="4489" spans="3:4" x14ac:dyDescent="0.5">
      <c r="C4489" t="s">
        <v>5198</v>
      </c>
    </row>
    <row r="4490" spans="3:4" x14ac:dyDescent="0.5">
      <c r="C4490" t="s">
        <v>4833</v>
      </c>
    </row>
    <row r="4492" spans="3:4" x14ac:dyDescent="0.5">
      <c r="C4492" t="s">
        <v>4720</v>
      </c>
    </row>
    <row r="4493" spans="3:4" x14ac:dyDescent="0.5">
      <c r="C4493" t="s">
        <v>4721</v>
      </c>
    </row>
    <row r="4494" spans="3:4" x14ac:dyDescent="0.5">
      <c r="C4494" t="s">
        <v>4722</v>
      </c>
    </row>
    <row r="4496" spans="3:4" x14ac:dyDescent="0.5">
      <c r="C4496" t="s">
        <v>4736</v>
      </c>
    </row>
    <row r="4498" spans="2:5" x14ac:dyDescent="0.5">
      <c r="C4498" t="s">
        <v>4735</v>
      </c>
    </row>
    <row r="4499" spans="2:5" x14ac:dyDescent="0.5">
      <c r="B4499" t="s">
        <v>4581</v>
      </c>
    </row>
    <row r="4500" spans="2:5" x14ac:dyDescent="0.5">
      <c r="B4500" t="s">
        <v>6486</v>
      </c>
    </row>
    <row r="4501" spans="2:5" x14ac:dyDescent="0.5">
      <c r="C4501" t="s">
        <v>6413</v>
      </c>
    </row>
    <row r="4502" spans="2:5" x14ac:dyDescent="0.5">
      <c r="C4502" t="s">
        <v>5282</v>
      </c>
    </row>
    <row r="4504" spans="2:5" x14ac:dyDescent="0.5">
      <c r="C4504" t="s">
        <v>6487</v>
      </c>
    </row>
    <row r="4506" spans="2:5" x14ac:dyDescent="0.5">
      <c r="C4506" t="s">
        <v>4698</v>
      </c>
    </row>
    <row r="4507" spans="2:5" x14ac:dyDescent="0.5">
      <c r="C4507" t="s">
        <v>4702</v>
      </c>
    </row>
    <row r="4508" spans="2:5" x14ac:dyDescent="0.5">
      <c r="D4508" t="s">
        <v>4703</v>
      </c>
    </row>
    <row r="4509" spans="2:5" x14ac:dyDescent="0.5">
      <c r="E4509" t="s">
        <v>4704</v>
      </c>
    </row>
    <row r="4510" spans="2:5" x14ac:dyDescent="0.5">
      <c r="E4510" t="s">
        <v>4705</v>
      </c>
    </row>
    <row r="4511" spans="2:5" x14ac:dyDescent="0.5">
      <c r="D4511" t="s">
        <v>4581</v>
      </c>
    </row>
    <row r="4512" spans="2:5" x14ac:dyDescent="0.5">
      <c r="C4512" t="s">
        <v>4581</v>
      </c>
    </row>
    <row r="4514" spans="3:4" x14ac:dyDescent="0.5">
      <c r="C4514" t="s">
        <v>5664</v>
      </c>
    </row>
    <row r="4516" spans="3:4" x14ac:dyDescent="0.5">
      <c r="C4516" t="s">
        <v>4708</v>
      </c>
    </row>
    <row r="4517" spans="3:4" x14ac:dyDescent="0.5">
      <c r="D4517" t="s">
        <v>6488</v>
      </c>
    </row>
    <row r="4518" spans="3:4" x14ac:dyDescent="0.5">
      <c r="D4518" t="s">
        <v>6489</v>
      </c>
    </row>
    <row r="4519" spans="3:4" x14ac:dyDescent="0.5">
      <c r="D4519" t="s">
        <v>6490</v>
      </c>
    </row>
    <row r="4520" spans="3:4" x14ac:dyDescent="0.5">
      <c r="D4520" t="s">
        <v>6491</v>
      </c>
    </row>
    <row r="4521" spans="3:4" x14ac:dyDescent="0.5">
      <c r="C4521" t="s">
        <v>4581</v>
      </c>
    </row>
    <row r="4523" spans="3:4" x14ac:dyDescent="0.5">
      <c r="C4523" t="s">
        <v>4714</v>
      </c>
    </row>
    <row r="4524" spans="3:4" x14ac:dyDescent="0.5">
      <c r="D4524" t="s">
        <v>6492</v>
      </c>
    </row>
    <row r="4525" spans="3:4" x14ac:dyDescent="0.5">
      <c r="D4525" t="s">
        <v>6493</v>
      </c>
    </row>
    <row r="4526" spans="3:4" x14ac:dyDescent="0.5">
      <c r="D4526" t="s">
        <v>6494</v>
      </c>
    </row>
    <row r="4527" spans="3:4" x14ac:dyDescent="0.5">
      <c r="D4527" t="s">
        <v>6495</v>
      </c>
    </row>
    <row r="4528" spans="3:4" x14ac:dyDescent="0.5">
      <c r="C4528" t="s">
        <v>4581</v>
      </c>
    </row>
    <row r="4530" spans="3:3" x14ac:dyDescent="0.5">
      <c r="C4530" t="s">
        <v>6496</v>
      </c>
    </row>
    <row r="4531" spans="3:3" x14ac:dyDescent="0.5">
      <c r="C4531" t="s">
        <v>6497</v>
      </c>
    </row>
    <row r="4532" spans="3:3" x14ac:dyDescent="0.5">
      <c r="C4532" t="s">
        <v>6498</v>
      </c>
    </row>
    <row r="4534" spans="3:3" x14ac:dyDescent="0.5">
      <c r="C4534" t="s">
        <v>4831</v>
      </c>
    </row>
    <row r="4535" spans="3:3" x14ac:dyDescent="0.5">
      <c r="C4535" t="s">
        <v>5198</v>
      </c>
    </row>
    <row r="4536" spans="3:3" x14ac:dyDescent="0.5">
      <c r="C4536" t="s">
        <v>5720</v>
      </c>
    </row>
    <row r="4538" spans="3:3" x14ac:dyDescent="0.5">
      <c r="C4538" t="s">
        <v>4720</v>
      </c>
    </row>
    <row r="4539" spans="3:3" x14ac:dyDescent="0.5">
      <c r="C4539" t="s">
        <v>4721</v>
      </c>
    </row>
    <row r="4540" spans="3:3" x14ac:dyDescent="0.5">
      <c r="C4540" t="s">
        <v>4722</v>
      </c>
    </row>
    <row r="4542" spans="3:3" x14ac:dyDescent="0.5">
      <c r="C4542" t="s">
        <v>4736</v>
      </c>
    </row>
    <row r="4544" spans="3:3" x14ac:dyDescent="0.5">
      <c r="C4544" t="s">
        <v>4735</v>
      </c>
    </row>
    <row r="4545" spans="1:3" x14ac:dyDescent="0.5">
      <c r="B4545" t="s">
        <v>4581</v>
      </c>
    </row>
    <row r="4547" spans="1:3" x14ac:dyDescent="0.5">
      <c r="A4547" t="s">
        <v>4581</v>
      </c>
    </row>
    <row r="4549" spans="1:3" x14ac:dyDescent="0.5">
      <c r="A4549" t="s">
        <v>4695</v>
      </c>
    </row>
    <row r="4550" spans="1:3" x14ac:dyDescent="0.5">
      <c r="B4550" t="s">
        <v>4698</v>
      </c>
    </row>
    <row r="4551" spans="1:3" x14ac:dyDescent="0.5">
      <c r="C4551" t="s">
        <v>4699</v>
      </c>
    </row>
    <row r="4552" spans="1:3" x14ac:dyDescent="0.5">
      <c r="B4552" t="s">
        <v>6499</v>
      </c>
    </row>
    <row r="4554" spans="1:3" x14ac:dyDescent="0.5">
      <c r="B4554" t="s">
        <v>6500</v>
      </c>
    </row>
    <row r="4555" spans="1:3" x14ac:dyDescent="0.5">
      <c r="C4555" t="s">
        <v>6499</v>
      </c>
    </row>
    <row r="4556" spans="1:3" x14ac:dyDescent="0.5">
      <c r="C4556" t="s">
        <v>5282</v>
      </c>
    </row>
    <row r="4557" spans="1:3" x14ac:dyDescent="0.5">
      <c r="C4557" t="s">
        <v>4698</v>
      </c>
    </row>
    <row r="4559" spans="1:3" x14ac:dyDescent="0.5">
      <c r="C4559" t="s">
        <v>5664</v>
      </c>
    </row>
    <row r="4561" spans="1:4" x14ac:dyDescent="0.5">
      <c r="C4561" t="s">
        <v>6501</v>
      </c>
    </row>
    <row r="4563" spans="1:4" x14ac:dyDescent="0.5">
      <c r="C4563" t="s">
        <v>4708</v>
      </c>
    </row>
    <row r="4564" spans="1:4" x14ac:dyDescent="0.5">
      <c r="D4564" t="s">
        <v>6502</v>
      </c>
    </row>
    <row r="4565" spans="1:4" x14ac:dyDescent="0.5">
      <c r="C4565" t="s">
        <v>4581</v>
      </c>
    </row>
    <row r="4566" spans="1:4" x14ac:dyDescent="0.5">
      <c r="C4566" t="s">
        <v>4714</v>
      </c>
    </row>
    <row r="4567" spans="1:4" x14ac:dyDescent="0.5">
      <c r="D4567" t="s">
        <v>6503</v>
      </c>
    </row>
    <row r="4568" spans="1:4" x14ac:dyDescent="0.5">
      <c r="C4568" t="s">
        <v>4581</v>
      </c>
    </row>
    <row r="4570" spans="1:4" x14ac:dyDescent="0.5">
      <c r="C4570" t="s">
        <v>5675</v>
      </c>
    </row>
    <row r="4572" spans="1:4" x14ac:dyDescent="0.5">
      <c r="C4572" t="s">
        <v>6504</v>
      </c>
    </row>
    <row r="4574" spans="1:4" x14ac:dyDescent="0.5">
      <c r="C4574" t="s">
        <v>4735</v>
      </c>
    </row>
    <row r="4575" spans="1:4" x14ac:dyDescent="0.5">
      <c r="B4575" t="s">
        <v>4581</v>
      </c>
    </row>
    <row r="4576" spans="1:4" x14ac:dyDescent="0.5">
      <c r="A4576" t="s">
        <v>4581</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C6AA35-9E83-4FE0-9622-BFAB6A384DC2}">
  <dimension ref="A1:C26"/>
  <sheetViews>
    <sheetView workbookViewId="0">
      <selection activeCell="I24" sqref="I24"/>
    </sheetView>
  </sheetViews>
  <sheetFormatPr defaultRowHeight="14.35" x14ac:dyDescent="0.5"/>
  <cols>
    <col min="1" max="1" width="31.64453125" customWidth="1"/>
    <col min="2" max="2" width="18" customWidth="1"/>
    <col min="3" max="3" width="31.64453125" customWidth="1"/>
  </cols>
  <sheetData>
    <row r="1" spans="1:3" ht="15" customHeight="1" thickBot="1" x14ac:dyDescent="0.55000000000000004">
      <c r="B1" t="s">
        <v>4575</v>
      </c>
    </row>
    <row r="2" spans="1:3" x14ac:dyDescent="0.5">
      <c r="A2" s="155" t="s">
        <v>6596</v>
      </c>
      <c r="B2" t="s">
        <v>7413</v>
      </c>
      <c r="C2" s="155" t="s">
        <v>6596</v>
      </c>
    </row>
    <row r="3" spans="1:3" x14ac:dyDescent="0.5">
      <c r="A3" s="156" t="s">
        <v>6607</v>
      </c>
      <c r="B3" t="s">
        <v>7414</v>
      </c>
      <c r="C3" s="156" t="s">
        <v>6607</v>
      </c>
    </row>
    <row r="4" spans="1:3" ht="14.7" thickBot="1" x14ac:dyDescent="0.55000000000000004">
      <c r="A4" s="156" t="s">
        <v>6594</v>
      </c>
      <c r="B4" t="s">
        <v>7415</v>
      </c>
      <c r="C4" s="156" t="s">
        <v>6594</v>
      </c>
    </row>
    <row r="5" spans="1:3" x14ac:dyDescent="0.5">
      <c r="A5" s="155" t="s">
        <v>6566</v>
      </c>
      <c r="B5" t="s">
        <v>7416</v>
      </c>
      <c r="C5" s="155" t="s">
        <v>6566</v>
      </c>
    </row>
    <row r="6" spans="1:3" ht="14.7" thickBot="1" x14ac:dyDescent="0.55000000000000004">
      <c r="A6" s="156" t="s">
        <v>6578</v>
      </c>
      <c r="B6" t="s">
        <v>7417</v>
      </c>
      <c r="C6" s="156" t="s">
        <v>6578</v>
      </c>
    </row>
    <row r="7" spans="1:3" x14ac:dyDescent="0.5">
      <c r="A7" s="155" t="s">
        <v>7447</v>
      </c>
      <c r="B7" t="s">
        <v>7418</v>
      </c>
      <c r="C7" s="155" t="s">
        <v>7447</v>
      </c>
    </row>
    <row r="8" spans="1:3" x14ac:dyDescent="0.5">
      <c r="A8" s="156" t="s">
        <v>7441</v>
      </c>
      <c r="B8" t="s">
        <v>7419</v>
      </c>
      <c r="C8" s="156" t="s">
        <v>7441</v>
      </c>
    </row>
    <row r="9" spans="1:3" x14ac:dyDescent="0.5">
      <c r="A9" s="156" t="s">
        <v>194</v>
      </c>
      <c r="B9" t="s">
        <v>7420</v>
      </c>
      <c r="C9" s="156" t="s">
        <v>194</v>
      </c>
    </row>
    <row r="10" spans="1:3" ht="14.7" thickBot="1" x14ac:dyDescent="0.55000000000000004">
      <c r="A10" s="156" t="s">
        <v>6673</v>
      </c>
      <c r="B10" t="s">
        <v>7421</v>
      </c>
      <c r="C10" s="156" t="s">
        <v>6673</v>
      </c>
    </row>
    <row r="11" spans="1:3" x14ac:dyDescent="0.5">
      <c r="A11" s="155" t="s">
        <v>7446</v>
      </c>
      <c r="B11" t="s">
        <v>7422</v>
      </c>
      <c r="C11" s="155" t="s">
        <v>7446</v>
      </c>
    </row>
    <row r="12" spans="1:3" x14ac:dyDescent="0.5">
      <c r="A12" s="156" t="s">
        <v>7443</v>
      </c>
      <c r="B12" t="s">
        <v>7423</v>
      </c>
      <c r="C12" s="156" t="s">
        <v>7443</v>
      </c>
    </row>
    <row r="13" spans="1:3" x14ac:dyDescent="0.5">
      <c r="A13" s="156" t="s">
        <v>7449</v>
      </c>
      <c r="B13" t="s">
        <v>7424</v>
      </c>
      <c r="C13" s="156" t="s">
        <v>7449</v>
      </c>
    </row>
    <row r="14" spans="1:3" x14ac:dyDescent="0.5">
      <c r="A14" s="156" t="s">
        <v>6560</v>
      </c>
      <c r="B14" t="s">
        <v>7425</v>
      </c>
      <c r="C14" s="156" t="s">
        <v>6560</v>
      </c>
    </row>
    <row r="15" spans="1:3" x14ac:dyDescent="0.5">
      <c r="A15" s="156" t="s">
        <v>7450</v>
      </c>
      <c r="B15" t="s">
        <v>7426</v>
      </c>
      <c r="C15" s="156" t="s">
        <v>7450</v>
      </c>
    </row>
    <row r="16" spans="1:3" x14ac:dyDescent="0.5">
      <c r="A16" s="156" t="s">
        <v>6641</v>
      </c>
      <c r="B16" t="s">
        <v>7427</v>
      </c>
      <c r="C16" s="156" t="s">
        <v>6641</v>
      </c>
    </row>
    <row r="17" spans="1:3" ht="14.7" thickBot="1" x14ac:dyDescent="0.55000000000000004">
      <c r="A17" s="156" t="s">
        <v>6659</v>
      </c>
      <c r="B17" t="s">
        <v>7428</v>
      </c>
      <c r="C17" s="156" t="s">
        <v>6659</v>
      </c>
    </row>
    <row r="18" spans="1:3" x14ac:dyDescent="0.5">
      <c r="A18" s="155" t="s">
        <v>6537</v>
      </c>
      <c r="B18" t="s">
        <v>7429</v>
      </c>
      <c r="C18" s="155" t="s">
        <v>6537</v>
      </c>
    </row>
    <row r="19" spans="1:3" x14ac:dyDescent="0.5">
      <c r="A19" s="156" t="s">
        <v>6635</v>
      </c>
      <c r="B19" t="s">
        <v>7430</v>
      </c>
      <c r="C19" s="156" t="s">
        <v>6635</v>
      </c>
    </row>
    <row r="20" spans="1:3" x14ac:dyDescent="0.5">
      <c r="A20" s="156" t="s">
        <v>6656</v>
      </c>
      <c r="B20" t="s">
        <v>7431</v>
      </c>
      <c r="C20" s="156" t="s">
        <v>6656</v>
      </c>
    </row>
    <row r="21" spans="1:3" x14ac:dyDescent="0.5">
      <c r="A21" s="156" t="s">
        <v>7440</v>
      </c>
      <c r="B21" t="s">
        <v>7432</v>
      </c>
      <c r="C21" s="156" t="s">
        <v>7440</v>
      </c>
    </row>
    <row r="22" spans="1:3" x14ac:dyDescent="0.5">
      <c r="A22" s="156" t="s">
        <v>7445</v>
      </c>
      <c r="B22" t="s">
        <v>7433</v>
      </c>
      <c r="C22" s="156" t="s">
        <v>7445</v>
      </c>
    </row>
    <row r="23" spans="1:3" x14ac:dyDescent="0.5">
      <c r="A23" s="156" t="s">
        <v>7451</v>
      </c>
      <c r="B23" t="s">
        <v>7434</v>
      </c>
      <c r="C23" s="156" t="s">
        <v>7451</v>
      </c>
    </row>
    <row r="24" spans="1:3" x14ac:dyDescent="0.5">
      <c r="A24" s="156" t="s">
        <v>7448</v>
      </c>
      <c r="B24" t="s">
        <v>7435</v>
      </c>
      <c r="C24" s="156" t="s">
        <v>7448</v>
      </c>
    </row>
    <row r="25" spans="1:3" x14ac:dyDescent="0.5">
      <c r="A25" s="156" t="s">
        <v>7442</v>
      </c>
      <c r="B25" t="s">
        <v>7436</v>
      </c>
      <c r="C25" s="156" t="s">
        <v>7442</v>
      </c>
    </row>
    <row r="26" spans="1:3" x14ac:dyDescent="0.5">
      <c r="A26" s="156" t="s">
        <v>7444</v>
      </c>
      <c r="B26" t="s">
        <v>7437</v>
      </c>
      <c r="C26" s="156" t="s">
        <v>7444</v>
      </c>
    </row>
  </sheetData>
  <autoFilter ref="B1:B26" xr:uid="{ABC6AA35-9E83-4FE0-9622-BFAB6A384DC2}">
    <sortState xmlns:xlrd2="http://schemas.microsoft.com/office/spreadsheetml/2017/richdata2" ref="B2:B26">
      <sortCondition ref="B1:B26"/>
    </sortState>
  </autoFilter>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C07E8C-5261-4722-AB17-8874381EE776}">
  <sheetPr codeName="Sheet8" filterMode="1"/>
  <dimension ref="A1:R1743"/>
  <sheetViews>
    <sheetView topLeftCell="A962" workbookViewId="0">
      <selection activeCell="E1" sqref="E1:E2"/>
    </sheetView>
  </sheetViews>
  <sheetFormatPr defaultRowHeight="14.35" x14ac:dyDescent="0.5"/>
  <sheetData>
    <row r="1" spans="1:18" ht="14.7" thickBot="1" x14ac:dyDescent="0.55000000000000004">
      <c r="A1" s="314" t="s">
        <v>245</v>
      </c>
      <c r="B1" s="316" t="s">
        <v>246</v>
      </c>
      <c r="C1" s="314" t="s">
        <v>247</v>
      </c>
      <c r="D1" s="314" t="s">
        <v>248</v>
      </c>
      <c r="E1" s="314" t="s">
        <v>249</v>
      </c>
      <c r="F1" s="311" t="s">
        <v>250</v>
      </c>
      <c r="G1" s="312"/>
      <c r="H1" s="313"/>
      <c r="I1" s="311" t="s">
        <v>251</v>
      </c>
      <c r="J1" s="312"/>
      <c r="K1" s="313"/>
      <c r="L1" s="311" t="s">
        <v>252</v>
      </c>
      <c r="M1" s="312"/>
      <c r="N1" s="312"/>
      <c r="O1" s="313"/>
      <c r="P1" s="316" t="s">
        <v>253</v>
      </c>
      <c r="Q1" s="316" t="s">
        <v>254</v>
      </c>
      <c r="R1" s="314" t="s">
        <v>255</v>
      </c>
    </row>
    <row r="2" spans="1:18" ht="14.7" hidden="1" thickBot="1" x14ac:dyDescent="0.55000000000000004">
      <c r="A2" s="315"/>
      <c r="B2" s="317"/>
      <c r="C2" s="315"/>
      <c r="D2" s="315"/>
      <c r="E2" s="315"/>
      <c r="F2" s="35">
        <v>769</v>
      </c>
      <c r="G2" s="35">
        <v>867</v>
      </c>
      <c r="H2" s="35">
        <v>1066</v>
      </c>
      <c r="I2" s="35">
        <v>769</v>
      </c>
      <c r="J2" s="35">
        <v>867</v>
      </c>
      <c r="K2" s="35">
        <v>1066</v>
      </c>
      <c r="L2" s="35">
        <v>769</v>
      </c>
      <c r="M2" s="35">
        <v>867</v>
      </c>
      <c r="N2" s="35">
        <v>1066</v>
      </c>
      <c r="O2" s="35" t="s">
        <v>256</v>
      </c>
      <c r="P2" s="317"/>
      <c r="Q2" s="317"/>
      <c r="R2" s="315"/>
    </row>
    <row r="3" spans="1:18" ht="27.7" hidden="1" thickBot="1" x14ac:dyDescent="0.55000000000000004">
      <c r="A3" s="36">
        <v>1</v>
      </c>
      <c r="B3" s="37" t="s">
        <v>257</v>
      </c>
      <c r="C3" s="37" t="s">
        <v>258</v>
      </c>
      <c r="D3" s="37" t="s">
        <v>259</v>
      </c>
      <c r="E3" s="37" t="s">
        <v>260</v>
      </c>
      <c r="F3" s="37" t="s">
        <v>261</v>
      </c>
      <c r="G3" s="37" t="s">
        <v>262</v>
      </c>
      <c r="H3" s="37" t="s">
        <v>263</v>
      </c>
      <c r="I3" s="37" t="s">
        <v>105</v>
      </c>
      <c r="J3" s="37" t="s">
        <v>264</v>
      </c>
      <c r="K3" s="37" t="s">
        <v>105</v>
      </c>
      <c r="L3" s="36">
        <v>1</v>
      </c>
      <c r="M3" s="36">
        <v>1</v>
      </c>
      <c r="N3" s="36">
        <v>1</v>
      </c>
      <c r="O3" s="36">
        <v>1</v>
      </c>
      <c r="P3" s="37" t="s">
        <v>265</v>
      </c>
      <c r="Q3" s="37" t="s">
        <v>266</v>
      </c>
      <c r="R3" s="37" t="s">
        <v>267</v>
      </c>
    </row>
    <row r="4" spans="1:18" ht="27.7" hidden="1" thickBot="1" x14ac:dyDescent="0.55000000000000004">
      <c r="A4" s="36">
        <v>2</v>
      </c>
      <c r="B4" s="37" t="s">
        <v>268</v>
      </c>
      <c r="C4" s="37" t="s">
        <v>258</v>
      </c>
      <c r="D4" s="37" t="s">
        <v>259</v>
      </c>
      <c r="E4" s="37" t="s">
        <v>260</v>
      </c>
      <c r="F4" s="37" t="s">
        <v>261</v>
      </c>
      <c r="G4" s="37" t="s">
        <v>262</v>
      </c>
      <c r="H4" s="37" t="s">
        <v>263</v>
      </c>
      <c r="I4" s="37" t="s">
        <v>105</v>
      </c>
      <c r="J4" s="37" t="s">
        <v>264</v>
      </c>
      <c r="K4" s="37" t="s">
        <v>105</v>
      </c>
      <c r="L4" s="36">
        <v>1</v>
      </c>
      <c r="M4" s="36">
        <v>1</v>
      </c>
      <c r="N4" s="36">
        <v>1</v>
      </c>
      <c r="O4" s="36">
        <v>2</v>
      </c>
      <c r="P4" s="37" t="s">
        <v>265</v>
      </c>
      <c r="Q4" s="37" t="s">
        <v>269</v>
      </c>
      <c r="R4" s="37" t="s">
        <v>270</v>
      </c>
    </row>
    <row r="5" spans="1:18" ht="27.7" hidden="1" thickBot="1" x14ac:dyDescent="0.55000000000000004">
      <c r="A5" s="36">
        <v>3</v>
      </c>
      <c r="B5" s="37" t="s">
        <v>271</v>
      </c>
      <c r="C5" s="37" t="s">
        <v>272</v>
      </c>
      <c r="D5" s="37" t="s">
        <v>273</v>
      </c>
      <c r="E5" s="37" t="s">
        <v>274</v>
      </c>
      <c r="F5" s="37" t="s">
        <v>261</v>
      </c>
      <c r="G5" s="37" t="s">
        <v>261</v>
      </c>
      <c r="H5" s="37" t="s">
        <v>261</v>
      </c>
      <c r="I5" s="37" t="s">
        <v>105</v>
      </c>
      <c r="J5" s="37" t="s">
        <v>105</v>
      </c>
      <c r="K5" s="37" t="s">
        <v>105</v>
      </c>
      <c r="L5" s="36">
        <v>2</v>
      </c>
      <c r="M5" s="36">
        <v>2</v>
      </c>
      <c r="N5" s="36">
        <v>3</v>
      </c>
      <c r="O5" s="36">
        <v>3</v>
      </c>
      <c r="P5" s="37" t="s">
        <v>265</v>
      </c>
      <c r="Q5" s="37" t="s">
        <v>275</v>
      </c>
      <c r="R5" s="37" t="s">
        <v>276</v>
      </c>
    </row>
    <row r="6" spans="1:18" ht="27.7" hidden="1" thickBot="1" x14ac:dyDescent="0.55000000000000004">
      <c r="A6" s="36">
        <v>4</v>
      </c>
      <c r="B6" s="37" t="s">
        <v>277</v>
      </c>
      <c r="C6" s="37" t="s">
        <v>272</v>
      </c>
      <c r="D6" s="37" t="s">
        <v>273</v>
      </c>
      <c r="E6" s="37" t="s">
        <v>274</v>
      </c>
      <c r="F6" s="37" t="s">
        <v>261</v>
      </c>
      <c r="G6" s="37" t="s">
        <v>261</v>
      </c>
      <c r="H6" s="37" t="s">
        <v>261</v>
      </c>
      <c r="I6" s="37" t="s">
        <v>105</v>
      </c>
      <c r="J6" s="37" t="s">
        <v>105</v>
      </c>
      <c r="K6" s="37" t="s">
        <v>105</v>
      </c>
      <c r="L6" s="36">
        <v>2</v>
      </c>
      <c r="M6" s="36">
        <v>2</v>
      </c>
      <c r="N6" s="36">
        <v>3</v>
      </c>
      <c r="O6" s="36">
        <v>4</v>
      </c>
      <c r="P6" s="37" t="s">
        <v>265</v>
      </c>
      <c r="Q6" s="37" t="s">
        <v>278</v>
      </c>
      <c r="R6" s="37" t="s">
        <v>279</v>
      </c>
    </row>
    <row r="7" spans="1:18" ht="68.7" hidden="1" thickBot="1" x14ac:dyDescent="0.55000000000000004">
      <c r="A7" s="36">
        <v>5</v>
      </c>
      <c r="B7" s="37" t="s">
        <v>272</v>
      </c>
      <c r="C7" s="37" t="s">
        <v>272</v>
      </c>
      <c r="D7" s="37" t="s">
        <v>273</v>
      </c>
      <c r="E7" s="37" t="s">
        <v>274</v>
      </c>
      <c r="F7" s="37" t="s">
        <v>261</v>
      </c>
      <c r="G7" s="37" t="s">
        <v>261</v>
      </c>
      <c r="H7" s="37" t="s">
        <v>261</v>
      </c>
      <c r="I7" s="37" t="s">
        <v>105</v>
      </c>
      <c r="J7" s="37" t="s">
        <v>105</v>
      </c>
      <c r="K7" s="37" t="s">
        <v>105</v>
      </c>
      <c r="L7" s="36">
        <v>2</v>
      </c>
      <c r="M7" s="36">
        <v>2</v>
      </c>
      <c r="N7" s="36">
        <v>3</v>
      </c>
      <c r="O7" s="36">
        <v>4</v>
      </c>
      <c r="P7" s="37" t="s">
        <v>265</v>
      </c>
      <c r="Q7" s="37" t="s">
        <v>280</v>
      </c>
      <c r="R7" s="37" t="s">
        <v>281</v>
      </c>
    </row>
    <row r="8" spans="1:18" ht="27.7" hidden="1" thickBot="1" x14ac:dyDescent="0.55000000000000004">
      <c r="A8" s="36">
        <v>6</v>
      </c>
      <c r="B8" s="37" t="s">
        <v>282</v>
      </c>
      <c r="C8" s="37" t="s">
        <v>283</v>
      </c>
      <c r="D8" s="37" t="s">
        <v>284</v>
      </c>
      <c r="E8" s="37" t="s">
        <v>260</v>
      </c>
      <c r="F8" s="37" t="s">
        <v>262</v>
      </c>
      <c r="G8" s="37" t="s">
        <v>262</v>
      </c>
      <c r="H8" s="37" t="s">
        <v>285</v>
      </c>
      <c r="I8" s="37" t="s">
        <v>264</v>
      </c>
      <c r="J8" s="37" t="s">
        <v>264</v>
      </c>
      <c r="K8" s="37" t="s">
        <v>105</v>
      </c>
      <c r="L8" s="36">
        <v>1</v>
      </c>
      <c r="M8" s="36">
        <v>1</v>
      </c>
      <c r="N8" s="36">
        <v>3</v>
      </c>
      <c r="O8" s="36">
        <v>3</v>
      </c>
      <c r="P8" s="37" t="s">
        <v>265</v>
      </c>
      <c r="Q8" s="37"/>
      <c r="R8" s="37" t="s">
        <v>286</v>
      </c>
    </row>
    <row r="9" spans="1:18" ht="14.7" hidden="1" thickBot="1" x14ac:dyDescent="0.55000000000000004">
      <c r="A9" s="36">
        <v>7</v>
      </c>
      <c r="B9" s="37" t="s">
        <v>287</v>
      </c>
      <c r="C9" s="37" t="s">
        <v>272</v>
      </c>
      <c r="D9" s="37" t="s">
        <v>273</v>
      </c>
      <c r="E9" s="37" t="s">
        <v>274</v>
      </c>
      <c r="F9" s="37" t="s">
        <v>261</v>
      </c>
      <c r="G9" s="37" t="s">
        <v>261</v>
      </c>
      <c r="H9" s="37" t="s">
        <v>261</v>
      </c>
      <c r="I9" s="37" t="s">
        <v>105</v>
      </c>
      <c r="J9" s="37" t="s">
        <v>105</v>
      </c>
      <c r="K9" s="37" t="s">
        <v>105</v>
      </c>
      <c r="L9" s="36">
        <v>2</v>
      </c>
      <c r="M9" s="36">
        <v>2</v>
      </c>
      <c r="N9" s="36">
        <v>3</v>
      </c>
      <c r="O9" s="36">
        <v>3</v>
      </c>
      <c r="P9" s="37" t="s">
        <v>265</v>
      </c>
      <c r="Q9" s="37" t="s">
        <v>288</v>
      </c>
      <c r="R9" s="37" t="s">
        <v>289</v>
      </c>
    </row>
    <row r="10" spans="1:18" ht="14.7" hidden="1" thickBot="1" x14ac:dyDescent="0.55000000000000004">
      <c r="A10" s="36">
        <v>8</v>
      </c>
      <c r="B10" s="37" t="s">
        <v>290</v>
      </c>
      <c r="C10" s="37" t="s">
        <v>291</v>
      </c>
      <c r="D10" s="37" t="s">
        <v>273</v>
      </c>
      <c r="E10" s="37" t="s">
        <v>274</v>
      </c>
      <c r="F10" s="37" t="s">
        <v>261</v>
      </c>
      <c r="G10" s="37" t="s">
        <v>261</v>
      </c>
      <c r="H10" s="37" t="s">
        <v>261</v>
      </c>
      <c r="I10" s="37" t="s">
        <v>105</v>
      </c>
      <c r="J10" s="37" t="s">
        <v>105</v>
      </c>
      <c r="K10" s="37" t="s">
        <v>105</v>
      </c>
      <c r="L10" s="36">
        <v>2</v>
      </c>
      <c r="M10" s="36">
        <v>2</v>
      </c>
      <c r="N10" s="36">
        <v>3</v>
      </c>
      <c r="O10" s="36">
        <v>3</v>
      </c>
      <c r="P10" s="37" t="s">
        <v>292</v>
      </c>
      <c r="Q10" s="37" t="s">
        <v>293</v>
      </c>
      <c r="R10" s="37" t="s">
        <v>294</v>
      </c>
    </row>
    <row r="11" spans="1:18" ht="27.7" hidden="1" thickBot="1" x14ac:dyDescent="0.55000000000000004">
      <c r="A11" s="36">
        <v>9</v>
      </c>
      <c r="B11" s="37" t="s">
        <v>295</v>
      </c>
      <c r="C11" s="37" t="s">
        <v>291</v>
      </c>
      <c r="D11" s="37" t="s">
        <v>273</v>
      </c>
      <c r="E11" s="37" t="s">
        <v>274</v>
      </c>
      <c r="F11" s="37" t="s">
        <v>261</v>
      </c>
      <c r="G11" s="37" t="s">
        <v>261</v>
      </c>
      <c r="H11" s="37" t="s">
        <v>261</v>
      </c>
      <c r="I11" s="37" t="s">
        <v>105</v>
      </c>
      <c r="J11" s="37" t="s">
        <v>105</v>
      </c>
      <c r="K11" s="37" t="s">
        <v>105</v>
      </c>
      <c r="L11" s="36">
        <v>2</v>
      </c>
      <c r="M11" s="36">
        <v>2</v>
      </c>
      <c r="N11" s="36">
        <v>3</v>
      </c>
      <c r="O11" s="36">
        <v>4</v>
      </c>
      <c r="P11" s="37" t="s">
        <v>265</v>
      </c>
      <c r="Q11" s="37" t="s">
        <v>296</v>
      </c>
      <c r="R11" s="37" t="s">
        <v>297</v>
      </c>
    </row>
    <row r="12" spans="1:18" ht="14.7" hidden="1" thickBot="1" x14ac:dyDescent="0.55000000000000004">
      <c r="A12" s="36">
        <v>10</v>
      </c>
      <c r="B12" s="37" t="s">
        <v>298</v>
      </c>
      <c r="C12" s="37" t="s">
        <v>299</v>
      </c>
      <c r="D12" s="37" t="s">
        <v>273</v>
      </c>
      <c r="E12" s="37" t="s">
        <v>274</v>
      </c>
      <c r="F12" s="37" t="s">
        <v>261</v>
      </c>
      <c r="G12" s="37" t="s">
        <v>261</v>
      </c>
      <c r="H12" s="37" t="s">
        <v>261</v>
      </c>
      <c r="I12" s="37" t="s">
        <v>105</v>
      </c>
      <c r="J12" s="37" t="s">
        <v>105</v>
      </c>
      <c r="K12" s="37" t="s">
        <v>105</v>
      </c>
      <c r="L12" s="36">
        <v>2</v>
      </c>
      <c r="M12" s="36">
        <v>2</v>
      </c>
      <c r="N12" s="36">
        <v>3</v>
      </c>
      <c r="O12" s="36">
        <v>4</v>
      </c>
      <c r="P12" s="37" t="s">
        <v>292</v>
      </c>
      <c r="Q12" s="37" t="s">
        <v>300</v>
      </c>
      <c r="R12" s="37" t="s">
        <v>301</v>
      </c>
    </row>
    <row r="13" spans="1:18" ht="41.35" hidden="1" thickBot="1" x14ac:dyDescent="0.55000000000000004">
      <c r="A13" s="36">
        <v>11</v>
      </c>
      <c r="B13" s="37" t="s">
        <v>302</v>
      </c>
      <c r="C13" s="37" t="s">
        <v>299</v>
      </c>
      <c r="D13" s="37" t="s">
        <v>273</v>
      </c>
      <c r="E13" s="37" t="s">
        <v>274</v>
      </c>
      <c r="F13" s="37" t="s">
        <v>261</v>
      </c>
      <c r="G13" s="37" t="s">
        <v>262</v>
      </c>
      <c r="H13" s="37" t="s">
        <v>263</v>
      </c>
      <c r="I13" s="37" t="s">
        <v>105</v>
      </c>
      <c r="J13" s="37" t="s">
        <v>264</v>
      </c>
      <c r="K13" s="37" t="s">
        <v>105</v>
      </c>
      <c r="L13" s="36">
        <v>2</v>
      </c>
      <c r="M13" s="36">
        <v>2</v>
      </c>
      <c r="N13" s="36">
        <v>3</v>
      </c>
      <c r="O13" s="36">
        <v>5</v>
      </c>
      <c r="P13" s="37" t="s">
        <v>265</v>
      </c>
      <c r="Q13" s="37" t="s">
        <v>303</v>
      </c>
      <c r="R13" s="37" t="s">
        <v>304</v>
      </c>
    </row>
    <row r="14" spans="1:18" ht="14.7" hidden="1" thickBot="1" x14ac:dyDescent="0.55000000000000004">
      <c r="A14" s="36">
        <v>12</v>
      </c>
      <c r="B14" s="37" t="s">
        <v>305</v>
      </c>
      <c r="C14" s="37" t="s">
        <v>306</v>
      </c>
      <c r="D14" s="37" t="s">
        <v>273</v>
      </c>
      <c r="E14" s="37" t="s">
        <v>274</v>
      </c>
      <c r="F14" s="37" t="s">
        <v>261</v>
      </c>
      <c r="G14" s="37" t="s">
        <v>261</v>
      </c>
      <c r="H14" s="37" t="s">
        <v>261</v>
      </c>
      <c r="I14" s="37" t="s">
        <v>105</v>
      </c>
      <c r="J14" s="37" t="s">
        <v>105</v>
      </c>
      <c r="K14" s="37" t="s">
        <v>105</v>
      </c>
      <c r="L14" s="36">
        <v>2</v>
      </c>
      <c r="M14" s="36">
        <v>2</v>
      </c>
      <c r="N14" s="36">
        <v>3</v>
      </c>
      <c r="O14" s="36">
        <v>3</v>
      </c>
      <c r="P14" s="37" t="s">
        <v>292</v>
      </c>
      <c r="Q14" s="37" t="s">
        <v>307</v>
      </c>
      <c r="R14" s="37" t="s">
        <v>308</v>
      </c>
    </row>
    <row r="15" spans="1:18" ht="55" hidden="1" thickBot="1" x14ac:dyDescent="0.55000000000000004">
      <c r="A15" s="36">
        <v>13</v>
      </c>
      <c r="B15" s="37" t="s">
        <v>309</v>
      </c>
      <c r="C15" s="37" t="s">
        <v>310</v>
      </c>
      <c r="D15" s="37" t="s">
        <v>273</v>
      </c>
      <c r="E15" s="37" t="s">
        <v>274</v>
      </c>
      <c r="F15" s="37" t="s">
        <v>261</v>
      </c>
      <c r="G15" s="37" t="s">
        <v>261</v>
      </c>
      <c r="H15" s="37" t="s">
        <v>261</v>
      </c>
      <c r="I15" s="37" t="s">
        <v>105</v>
      </c>
      <c r="J15" s="37" t="s">
        <v>105</v>
      </c>
      <c r="K15" s="37" t="s">
        <v>105</v>
      </c>
      <c r="L15" s="36">
        <v>2</v>
      </c>
      <c r="M15" s="36">
        <v>2</v>
      </c>
      <c r="N15" s="36">
        <v>3</v>
      </c>
      <c r="O15" s="36">
        <v>4</v>
      </c>
      <c r="P15" s="37" t="s">
        <v>265</v>
      </c>
      <c r="Q15" s="37" t="s">
        <v>311</v>
      </c>
      <c r="R15" s="37" t="s">
        <v>312</v>
      </c>
    </row>
    <row r="16" spans="1:18" ht="27.7" hidden="1" thickBot="1" x14ac:dyDescent="0.55000000000000004">
      <c r="A16" s="36">
        <v>14</v>
      </c>
      <c r="B16" s="37" t="s">
        <v>313</v>
      </c>
      <c r="C16" s="37" t="s">
        <v>310</v>
      </c>
      <c r="D16" s="37" t="s">
        <v>273</v>
      </c>
      <c r="E16" s="37" t="s">
        <v>274</v>
      </c>
      <c r="F16" s="37" t="s">
        <v>261</v>
      </c>
      <c r="G16" s="37" t="s">
        <v>261</v>
      </c>
      <c r="H16" s="37" t="s">
        <v>261</v>
      </c>
      <c r="I16" s="37" t="s">
        <v>105</v>
      </c>
      <c r="J16" s="37" t="s">
        <v>105</v>
      </c>
      <c r="K16" s="37" t="s">
        <v>105</v>
      </c>
      <c r="L16" s="36">
        <v>2</v>
      </c>
      <c r="M16" s="36">
        <v>2</v>
      </c>
      <c r="N16" s="36">
        <v>3</v>
      </c>
      <c r="O16" s="36">
        <v>4</v>
      </c>
      <c r="P16" s="37" t="s">
        <v>265</v>
      </c>
      <c r="Q16" s="37" t="s">
        <v>314</v>
      </c>
      <c r="R16" s="37" t="s">
        <v>315</v>
      </c>
    </row>
    <row r="17" spans="1:18" ht="82.35" hidden="1" thickBot="1" x14ac:dyDescent="0.55000000000000004">
      <c r="A17" s="36">
        <v>15</v>
      </c>
      <c r="B17" s="37" t="s">
        <v>316</v>
      </c>
      <c r="C17" s="37" t="s">
        <v>310</v>
      </c>
      <c r="D17" s="37" t="s">
        <v>273</v>
      </c>
      <c r="E17" s="37" t="s">
        <v>274</v>
      </c>
      <c r="F17" s="37" t="s">
        <v>261</v>
      </c>
      <c r="G17" s="37" t="s">
        <v>261</v>
      </c>
      <c r="H17" s="37" t="s">
        <v>261</v>
      </c>
      <c r="I17" s="37" t="s">
        <v>105</v>
      </c>
      <c r="J17" s="37" t="s">
        <v>105</v>
      </c>
      <c r="K17" s="37" t="s">
        <v>105</v>
      </c>
      <c r="L17" s="36">
        <v>2</v>
      </c>
      <c r="M17" s="36">
        <v>2</v>
      </c>
      <c r="N17" s="36">
        <v>3</v>
      </c>
      <c r="O17" s="36">
        <v>4</v>
      </c>
      <c r="P17" s="37" t="s">
        <v>265</v>
      </c>
      <c r="Q17" s="37" t="s">
        <v>317</v>
      </c>
      <c r="R17" s="37" t="s">
        <v>318</v>
      </c>
    </row>
    <row r="18" spans="1:18" ht="55" hidden="1" thickBot="1" x14ac:dyDescent="0.55000000000000004">
      <c r="A18" s="36">
        <v>16</v>
      </c>
      <c r="B18" s="37" t="s">
        <v>306</v>
      </c>
      <c r="C18" s="37" t="s">
        <v>306</v>
      </c>
      <c r="D18" s="37" t="s">
        <v>273</v>
      </c>
      <c r="E18" s="37" t="s">
        <v>274</v>
      </c>
      <c r="F18" s="37" t="s">
        <v>261</v>
      </c>
      <c r="G18" s="37" t="s">
        <v>261</v>
      </c>
      <c r="H18" s="37" t="s">
        <v>261</v>
      </c>
      <c r="I18" s="37" t="s">
        <v>105</v>
      </c>
      <c r="J18" s="37" t="s">
        <v>105</v>
      </c>
      <c r="K18" s="37" t="s">
        <v>105</v>
      </c>
      <c r="L18" s="36">
        <v>2</v>
      </c>
      <c r="M18" s="36">
        <v>2</v>
      </c>
      <c r="N18" s="36">
        <v>3</v>
      </c>
      <c r="O18" s="36">
        <v>4</v>
      </c>
      <c r="P18" s="37" t="s">
        <v>265</v>
      </c>
      <c r="Q18" s="37" t="s">
        <v>319</v>
      </c>
      <c r="R18" s="37" t="s">
        <v>320</v>
      </c>
    </row>
    <row r="19" spans="1:18" ht="27.7" hidden="1" thickBot="1" x14ac:dyDescent="0.55000000000000004">
      <c r="A19" s="36">
        <v>17</v>
      </c>
      <c r="B19" s="37" t="s">
        <v>321</v>
      </c>
      <c r="C19" s="37" t="s">
        <v>322</v>
      </c>
      <c r="D19" s="37" t="s">
        <v>323</v>
      </c>
      <c r="E19" s="37" t="s">
        <v>274</v>
      </c>
      <c r="F19" s="37" t="s">
        <v>324</v>
      </c>
      <c r="G19" s="37" t="s">
        <v>325</v>
      </c>
      <c r="H19" s="37" t="s">
        <v>325</v>
      </c>
      <c r="I19" s="37" t="s">
        <v>105</v>
      </c>
      <c r="J19" s="37" t="s">
        <v>105</v>
      </c>
      <c r="K19" s="37" t="s">
        <v>105</v>
      </c>
      <c r="L19" s="36">
        <v>2</v>
      </c>
      <c r="M19" s="36">
        <v>3</v>
      </c>
      <c r="N19" s="36">
        <v>3</v>
      </c>
      <c r="O19" s="36">
        <v>3</v>
      </c>
      <c r="P19" s="37" t="s">
        <v>292</v>
      </c>
      <c r="Q19" s="37" t="s">
        <v>326</v>
      </c>
      <c r="R19" s="37" t="s">
        <v>327</v>
      </c>
    </row>
    <row r="20" spans="1:18" ht="27.7" hidden="1" thickBot="1" x14ac:dyDescent="0.55000000000000004">
      <c r="A20" s="36">
        <v>18</v>
      </c>
      <c r="B20" s="37" t="s">
        <v>328</v>
      </c>
      <c r="C20" s="37" t="s">
        <v>329</v>
      </c>
      <c r="D20" s="37" t="s">
        <v>323</v>
      </c>
      <c r="E20" s="37" t="s">
        <v>274</v>
      </c>
      <c r="F20" s="37" t="s">
        <v>324</v>
      </c>
      <c r="G20" s="37" t="s">
        <v>324</v>
      </c>
      <c r="H20" s="37" t="s">
        <v>324</v>
      </c>
      <c r="I20" s="37" t="s">
        <v>105</v>
      </c>
      <c r="J20" s="37" t="s">
        <v>105</v>
      </c>
      <c r="K20" s="37" t="s">
        <v>105</v>
      </c>
      <c r="L20" s="36">
        <v>2</v>
      </c>
      <c r="M20" s="36">
        <v>2</v>
      </c>
      <c r="N20" s="36">
        <v>2</v>
      </c>
      <c r="O20" s="36">
        <v>3</v>
      </c>
      <c r="P20" s="37" t="s">
        <v>265</v>
      </c>
      <c r="Q20" s="37"/>
      <c r="R20" s="37" t="s">
        <v>330</v>
      </c>
    </row>
    <row r="21" spans="1:18" ht="27.7" hidden="1" thickBot="1" x14ac:dyDescent="0.55000000000000004">
      <c r="A21" s="36">
        <v>19</v>
      </c>
      <c r="B21" s="37" t="s">
        <v>331</v>
      </c>
      <c r="C21" s="37" t="s">
        <v>332</v>
      </c>
      <c r="D21" s="37" t="s">
        <v>323</v>
      </c>
      <c r="E21" s="37" t="s">
        <v>274</v>
      </c>
      <c r="F21" s="37" t="s">
        <v>324</v>
      </c>
      <c r="G21" s="37" t="s">
        <v>324</v>
      </c>
      <c r="H21" s="37" t="s">
        <v>324</v>
      </c>
      <c r="I21" s="37" t="s">
        <v>105</v>
      </c>
      <c r="J21" s="37" t="s">
        <v>105</v>
      </c>
      <c r="K21" s="37" t="s">
        <v>105</v>
      </c>
      <c r="L21" s="36">
        <v>2</v>
      </c>
      <c r="M21" s="36">
        <v>2</v>
      </c>
      <c r="N21" s="36">
        <v>2</v>
      </c>
      <c r="O21" s="36">
        <v>4</v>
      </c>
      <c r="P21" s="37" t="s">
        <v>265</v>
      </c>
      <c r="Q21" s="37" t="s">
        <v>333</v>
      </c>
      <c r="R21" s="37" t="s">
        <v>334</v>
      </c>
    </row>
    <row r="22" spans="1:18" ht="14.7" hidden="1" thickBot="1" x14ac:dyDescent="0.55000000000000004">
      <c r="A22" s="36">
        <v>20</v>
      </c>
      <c r="B22" s="37" t="s">
        <v>332</v>
      </c>
      <c r="C22" s="37" t="s">
        <v>332</v>
      </c>
      <c r="D22" s="37" t="s">
        <v>323</v>
      </c>
      <c r="E22" s="37" t="s">
        <v>274</v>
      </c>
      <c r="F22" s="37" t="s">
        <v>324</v>
      </c>
      <c r="G22" s="37" t="s">
        <v>324</v>
      </c>
      <c r="H22" s="37" t="s">
        <v>324</v>
      </c>
      <c r="I22" s="37" t="s">
        <v>105</v>
      </c>
      <c r="J22" s="37" t="s">
        <v>105</v>
      </c>
      <c r="K22" s="37" t="s">
        <v>105</v>
      </c>
      <c r="L22" s="36">
        <v>3</v>
      </c>
      <c r="M22" s="36">
        <v>3</v>
      </c>
      <c r="N22" s="36">
        <v>3</v>
      </c>
      <c r="O22" s="36">
        <v>3</v>
      </c>
      <c r="P22" s="37" t="s">
        <v>265</v>
      </c>
      <c r="Q22" s="37"/>
      <c r="R22" s="37" t="s">
        <v>335</v>
      </c>
    </row>
    <row r="23" spans="1:18" ht="27.7" hidden="1" thickBot="1" x14ac:dyDescent="0.55000000000000004">
      <c r="A23" s="36">
        <v>21</v>
      </c>
      <c r="B23" s="37" t="s">
        <v>336</v>
      </c>
      <c r="C23" s="37" t="s">
        <v>337</v>
      </c>
      <c r="D23" s="37" t="s">
        <v>338</v>
      </c>
      <c r="E23" s="37" t="s">
        <v>274</v>
      </c>
      <c r="F23" s="37" t="s">
        <v>325</v>
      </c>
      <c r="G23" s="37" t="s">
        <v>325</v>
      </c>
      <c r="H23" s="37" t="s">
        <v>325</v>
      </c>
      <c r="I23" s="37" t="s">
        <v>105</v>
      </c>
      <c r="J23" s="37" t="s">
        <v>105</v>
      </c>
      <c r="K23" s="37" t="s">
        <v>105</v>
      </c>
      <c r="L23" s="36">
        <v>3</v>
      </c>
      <c r="M23" s="36">
        <v>3</v>
      </c>
      <c r="N23" s="36">
        <v>3</v>
      </c>
      <c r="O23" s="36">
        <v>4</v>
      </c>
      <c r="P23" s="37" t="s">
        <v>265</v>
      </c>
      <c r="Q23" s="37"/>
      <c r="R23" s="37" t="s">
        <v>339</v>
      </c>
    </row>
    <row r="24" spans="1:18" ht="27.7" hidden="1" thickBot="1" x14ac:dyDescent="0.55000000000000004">
      <c r="A24" s="36">
        <v>22</v>
      </c>
      <c r="B24" s="37" t="s">
        <v>340</v>
      </c>
      <c r="C24" s="37" t="s">
        <v>337</v>
      </c>
      <c r="D24" s="37" t="s">
        <v>338</v>
      </c>
      <c r="E24" s="37" t="s">
        <v>274</v>
      </c>
      <c r="F24" s="37" t="s">
        <v>325</v>
      </c>
      <c r="G24" s="37" t="s">
        <v>325</v>
      </c>
      <c r="H24" s="37" t="s">
        <v>325</v>
      </c>
      <c r="I24" s="37" t="s">
        <v>105</v>
      </c>
      <c r="J24" s="37" t="s">
        <v>105</v>
      </c>
      <c r="K24" s="37" t="s">
        <v>105</v>
      </c>
      <c r="L24" s="36">
        <v>4</v>
      </c>
      <c r="M24" s="36">
        <v>4</v>
      </c>
      <c r="N24" s="36">
        <v>4</v>
      </c>
      <c r="O24" s="36">
        <v>5</v>
      </c>
      <c r="P24" s="37" t="s">
        <v>292</v>
      </c>
      <c r="Q24" s="37"/>
      <c r="R24" s="37" t="s">
        <v>341</v>
      </c>
    </row>
    <row r="25" spans="1:18" ht="27.7" hidden="1" thickBot="1" x14ac:dyDescent="0.55000000000000004">
      <c r="A25" s="36">
        <v>23</v>
      </c>
      <c r="B25" s="37" t="s">
        <v>342</v>
      </c>
      <c r="C25" s="37" t="s">
        <v>337</v>
      </c>
      <c r="D25" s="37" t="s">
        <v>338</v>
      </c>
      <c r="E25" s="37" t="s">
        <v>274</v>
      </c>
      <c r="F25" s="37" t="s">
        <v>325</v>
      </c>
      <c r="G25" s="37" t="s">
        <v>325</v>
      </c>
      <c r="H25" s="37" t="s">
        <v>325</v>
      </c>
      <c r="I25" s="37" t="s">
        <v>105</v>
      </c>
      <c r="J25" s="37" t="s">
        <v>105</v>
      </c>
      <c r="K25" s="37" t="s">
        <v>105</v>
      </c>
      <c r="L25" s="36">
        <v>3</v>
      </c>
      <c r="M25" s="36">
        <v>3</v>
      </c>
      <c r="N25" s="36">
        <v>3</v>
      </c>
      <c r="O25" s="36">
        <v>4</v>
      </c>
      <c r="P25" s="37" t="s">
        <v>292</v>
      </c>
      <c r="Q25" s="37"/>
      <c r="R25" s="37" t="s">
        <v>343</v>
      </c>
    </row>
    <row r="26" spans="1:18" ht="27.7" hidden="1" thickBot="1" x14ac:dyDescent="0.55000000000000004">
      <c r="A26" s="36">
        <v>24</v>
      </c>
      <c r="B26" s="37" t="s">
        <v>344</v>
      </c>
      <c r="C26" s="37" t="s">
        <v>345</v>
      </c>
      <c r="D26" s="37" t="s">
        <v>338</v>
      </c>
      <c r="E26" s="37" t="s">
        <v>274</v>
      </c>
      <c r="F26" s="37" t="s">
        <v>325</v>
      </c>
      <c r="G26" s="37" t="s">
        <v>325</v>
      </c>
      <c r="H26" s="37" t="s">
        <v>325</v>
      </c>
      <c r="I26" s="37" t="s">
        <v>105</v>
      </c>
      <c r="J26" s="37" t="s">
        <v>105</v>
      </c>
      <c r="K26" s="37" t="s">
        <v>105</v>
      </c>
      <c r="L26" s="36">
        <v>3</v>
      </c>
      <c r="M26" s="36">
        <v>3</v>
      </c>
      <c r="N26" s="36">
        <v>3</v>
      </c>
      <c r="O26" s="36">
        <v>4</v>
      </c>
      <c r="P26" s="37" t="s">
        <v>292</v>
      </c>
      <c r="Q26" s="37"/>
      <c r="R26" s="37" t="s">
        <v>346</v>
      </c>
    </row>
    <row r="27" spans="1:18" ht="27.7" hidden="1" thickBot="1" x14ac:dyDescent="0.55000000000000004">
      <c r="A27" s="36">
        <v>25</v>
      </c>
      <c r="B27" s="37" t="s">
        <v>347</v>
      </c>
      <c r="C27" s="37" t="s">
        <v>345</v>
      </c>
      <c r="D27" s="37" t="s">
        <v>338</v>
      </c>
      <c r="E27" s="37" t="s">
        <v>274</v>
      </c>
      <c r="F27" s="37" t="s">
        <v>325</v>
      </c>
      <c r="G27" s="37" t="s">
        <v>325</v>
      </c>
      <c r="H27" s="37" t="s">
        <v>325</v>
      </c>
      <c r="I27" s="37" t="s">
        <v>105</v>
      </c>
      <c r="J27" s="37" t="s">
        <v>105</v>
      </c>
      <c r="K27" s="37" t="s">
        <v>105</v>
      </c>
      <c r="L27" s="36">
        <v>3</v>
      </c>
      <c r="M27" s="36">
        <v>3</v>
      </c>
      <c r="N27" s="36">
        <v>3</v>
      </c>
      <c r="O27" s="36">
        <v>4</v>
      </c>
      <c r="P27" s="37" t="s">
        <v>265</v>
      </c>
      <c r="Q27" s="37"/>
      <c r="R27" s="37" t="s">
        <v>348</v>
      </c>
    </row>
    <row r="28" spans="1:18" ht="27.7" hidden="1" thickBot="1" x14ac:dyDescent="0.55000000000000004">
      <c r="A28" s="36">
        <v>26</v>
      </c>
      <c r="B28" s="37" t="s">
        <v>349</v>
      </c>
      <c r="C28" s="37" t="s">
        <v>350</v>
      </c>
      <c r="D28" s="37" t="s">
        <v>338</v>
      </c>
      <c r="E28" s="37" t="s">
        <v>274</v>
      </c>
      <c r="F28" s="37" t="s">
        <v>325</v>
      </c>
      <c r="G28" s="37" t="s">
        <v>325</v>
      </c>
      <c r="H28" s="37" t="s">
        <v>325</v>
      </c>
      <c r="I28" s="37" t="s">
        <v>105</v>
      </c>
      <c r="J28" s="37" t="s">
        <v>105</v>
      </c>
      <c r="K28" s="37" t="s">
        <v>105</v>
      </c>
      <c r="L28" s="36">
        <v>3</v>
      </c>
      <c r="M28" s="36">
        <v>3</v>
      </c>
      <c r="N28" s="36">
        <v>3</v>
      </c>
      <c r="O28" s="36">
        <v>5</v>
      </c>
      <c r="P28" s="37" t="s">
        <v>265</v>
      </c>
      <c r="Q28" s="37" t="s">
        <v>350</v>
      </c>
      <c r="R28" s="37" t="s">
        <v>351</v>
      </c>
    </row>
    <row r="29" spans="1:18" ht="27.7" hidden="1" thickBot="1" x14ac:dyDescent="0.55000000000000004">
      <c r="A29" s="36">
        <v>27</v>
      </c>
      <c r="B29" s="37" t="s">
        <v>352</v>
      </c>
      <c r="C29" s="37" t="s">
        <v>350</v>
      </c>
      <c r="D29" s="37" t="s">
        <v>338</v>
      </c>
      <c r="E29" s="37" t="s">
        <v>274</v>
      </c>
      <c r="F29" s="37" t="s">
        <v>325</v>
      </c>
      <c r="G29" s="37" t="s">
        <v>325</v>
      </c>
      <c r="H29" s="37" t="s">
        <v>325</v>
      </c>
      <c r="I29" s="37" t="s">
        <v>105</v>
      </c>
      <c r="J29" s="37" t="s">
        <v>105</v>
      </c>
      <c r="K29" s="37" t="s">
        <v>105</v>
      </c>
      <c r="L29" s="36">
        <v>3</v>
      </c>
      <c r="M29" s="36">
        <v>3</v>
      </c>
      <c r="N29" s="36">
        <v>3</v>
      </c>
      <c r="O29" s="36">
        <v>5</v>
      </c>
      <c r="P29" s="37" t="s">
        <v>265</v>
      </c>
      <c r="Q29" s="37"/>
      <c r="R29" s="37" t="s">
        <v>353</v>
      </c>
    </row>
    <row r="30" spans="1:18" ht="27.7" hidden="1" thickBot="1" x14ac:dyDescent="0.55000000000000004">
      <c r="A30" s="36">
        <v>28</v>
      </c>
      <c r="B30" s="37" t="s">
        <v>354</v>
      </c>
      <c r="C30" s="37" t="s">
        <v>354</v>
      </c>
      <c r="D30" s="37" t="s">
        <v>338</v>
      </c>
      <c r="E30" s="37" t="s">
        <v>274</v>
      </c>
      <c r="F30" s="37" t="s">
        <v>325</v>
      </c>
      <c r="G30" s="37" t="s">
        <v>325</v>
      </c>
      <c r="H30" s="37" t="s">
        <v>325</v>
      </c>
      <c r="I30" s="37" t="s">
        <v>105</v>
      </c>
      <c r="J30" s="37" t="s">
        <v>105</v>
      </c>
      <c r="K30" s="37" t="s">
        <v>105</v>
      </c>
      <c r="L30" s="36">
        <v>3</v>
      </c>
      <c r="M30" s="36">
        <v>3</v>
      </c>
      <c r="N30" s="36">
        <v>3</v>
      </c>
      <c r="O30" s="36">
        <v>4</v>
      </c>
      <c r="P30" s="37" t="s">
        <v>265</v>
      </c>
      <c r="Q30" s="37"/>
      <c r="R30" s="37" t="s">
        <v>355</v>
      </c>
    </row>
    <row r="31" spans="1:18" ht="14.7" hidden="1" thickBot="1" x14ac:dyDescent="0.55000000000000004">
      <c r="A31" s="36">
        <v>29</v>
      </c>
      <c r="B31" s="37" t="s">
        <v>356</v>
      </c>
      <c r="C31" s="37" t="s">
        <v>357</v>
      </c>
      <c r="D31" s="37" t="s">
        <v>323</v>
      </c>
      <c r="E31" s="37" t="s">
        <v>274</v>
      </c>
      <c r="F31" s="37" t="s">
        <v>358</v>
      </c>
      <c r="G31" s="37" t="s">
        <v>358</v>
      </c>
      <c r="H31" s="37" t="s">
        <v>358</v>
      </c>
      <c r="I31" s="37" t="s">
        <v>105</v>
      </c>
      <c r="J31" s="37" t="s">
        <v>105</v>
      </c>
      <c r="K31" s="37" t="s">
        <v>105</v>
      </c>
      <c r="L31" s="36">
        <v>3</v>
      </c>
      <c r="M31" s="36">
        <v>3</v>
      </c>
      <c r="N31" s="36">
        <v>3</v>
      </c>
      <c r="O31" s="36">
        <v>5</v>
      </c>
      <c r="P31" s="37" t="s">
        <v>265</v>
      </c>
      <c r="Q31" s="37"/>
      <c r="R31" s="37" t="s">
        <v>359</v>
      </c>
    </row>
    <row r="32" spans="1:18" ht="27.7" hidden="1" thickBot="1" x14ac:dyDescent="0.55000000000000004">
      <c r="A32" s="36">
        <v>30</v>
      </c>
      <c r="B32" s="37" t="s">
        <v>360</v>
      </c>
      <c r="C32" s="37" t="s">
        <v>361</v>
      </c>
      <c r="D32" s="37" t="s">
        <v>338</v>
      </c>
      <c r="E32" s="37" t="s">
        <v>274</v>
      </c>
      <c r="F32" s="37" t="s">
        <v>325</v>
      </c>
      <c r="G32" s="37" t="s">
        <v>325</v>
      </c>
      <c r="H32" s="37" t="s">
        <v>325</v>
      </c>
      <c r="I32" s="37" t="s">
        <v>105</v>
      </c>
      <c r="J32" s="37" t="s">
        <v>105</v>
      </c>
      <c r="K32" s="37" t="s">
        <v>105</v>
      </c>
      <c r="L32" s="36">
        <v>3</v>
      </c>
      <c r="M32" s="36">
        <v>3</v>
      </c>
      <c r="N32" s="36">
        <v>3</v>
      </c>
      <c r="O32" s="36">
        <v>4</v>
      </c>
      <c r="P32" s="37" t="s">
        <v>292</v>
      </c>
      <c r="Q32" s="37"/>
      <c r="R32" s="37" t="s">
        <v>362</v>
      </c>
    </row>
    <row r="33" spans="1:18" ht="27.7" hidden="1" thickBot="1" x14ac:dyDescent="0.55000000000000004">
      <c r="A33" s="36">
        <v>31</v>
      </c>
      <c r="B33" s="37" t="s">
        <v>357</v>
      </c>
      <c r="C33" s="37" t="s">
        <v>357</v>
      </c>
      <c r="D33" s="37" t="s">
        <v>323</v>
      </c>
      <c r="E33" s="37" t="s">
        <v>274</v>
      </c>
      <c r="F33" s="37" t="s">
        <v>325</v>
      </c>
      <c r="G33" s="37" t="s">
        <v>358</v>
      </c>
      <c r="H33" s="37" t="s">
        <v>358</v>
      </c>
      <c r="I33" s="37" t="s">
        <v>105</v>
      </c>
      <c r="J33" s="37" t="s">
        <v>105</v>
      </c>
      <c r="K33" s="37" t="s">
        <v>105</v>
      </c>
      <c r="L33" s="36">
        <v>3</v>
      </c>
      <c r="M33" s="36">
        <v>3</v>
      </c>
      <c r="N33" s="36">
        <v>3</v>
      </c>
      <c r="O33" s="36">
        <v>4</v>
      </c>
      <c r="P33" s="37" t="s">
        <v>265</v>
      </c>
      <c r="Q33" s="37"/>
      <c r="R33" s="37" t="s">
        <v>363</v>
      </c>
    </row>
    <row r="34" spans="1:18" ht="27.7" hidden="1" thickBot="1" x14ac:dyDescent="0.55000000000000004">
      <c r="A34" s="36">
        <v>32</v>
      </c>
      <c r="B34" s="37" t="s">
        <v>364</v>
      </c>
      <c r="C34" s="37" t="s">
        <v>365</v>
      </c>
      <c r="D34" s="37" t="s">
        <v>338</v>
      </c>
      <c r="E34" s="37" t="s">
        <v>274</v>
      </c>
      <c r="F34" s="37" t="s">
        <v>325</v>
      </c>
      <c r="G34" s="37" t="s">
        <v>325</v>
      </c>
      <c r="H34" s="37" t="s">
        <v>325</v>
      </c>
      <c r="I34" s="37" t="s">
        <v>105</v>
      </c>
      <c r="J34" s="37" t="s">
        <v>105</v>
      </c>
      <c r="K34" s="37" t="s">
        <v>105</v>
      </c>
      <c r="L34" s="36">
        <v>4</v>
      </c>
      <c r="M34" s="36">
        <v>4</v>
      </c>
      <c r="N34" s="36">
        <v>4</v>
      </c>
      <c r="O34" s="36">
        <v>6</v>
      </c>
      <c r="P34" s="37" t="s">
        <v>265</v>
      </c>
      <c r="Q34" s="37"/>
      <c r="R34" s="37" t="s">
        <v>366</v>
      </c>
    </row>
    <row r="35" spans="1:18" ht="82.35" hidden="1" thickBot="1" x14ac:dyDescent="0.55000000000000004">
      <c r="A35" s="36">
        <v>33</v>
      </c>
      <c r="B35" s="37" t="s">
        <v>367</v>
      </c>
      <c r="C35" s="37" t="s">
        <v>368</v>
      </c>
      <c r="D35" s="37" t="s">
        <v>259</v>
      </c>
      <c r="E35" s="37" t="s">
        <v>260</v>
      </c>
      <c r="F35" s="37" t="s">
        <v>369</v>
      </c>
      <c r="G35" s="37" t="s">
        <v>262</v>
      </c>
      <c r="H35" s="37" t="s">
        <v>263</v>
      </c>
      <c r="I35" s="37" t="s">
        <v>105</v>
      </c>
      <c r="J35" s="37" t="s">
        <v>264</v>
      </c>
      <c r="K35" s="37" t="s">
        <v>105</v>
      </c>
      <c r="L35" s="36">
        <v>1</v>
      </c>
      <c r="M35" s="36">
        <v>1</v>
      </c>
      <c r="N35" s="36">
        <v>1</v>
      </c>
      <c r="O35" s="36">
        <v>2</v>
      </c>
      <c r="P35" s="37" t="s">
        <v>265</v>
      </c>
      <c r="Q35" s="37" t="s">
        <v>370</v>
      </c>
      <c r="R35" s="37" t="s">
        <v>371</v>
      </c>
    </row>
    <row r="36" spans="1:18" ht="96" hidden="1" thickBot="1" x14ac:dyDescent="0.55000000000000004">
      <c r="A36" s="36">
        <v>34</v>
      </c>
      <c r="B36" s="37" t="s">
        <v>372</v>
      </c>
      <c r="C36" s="37" t="s">
        <v>368</v>
      </c>
      <c r="D36" s="37" t="s">
        <v>259</v>
      </c>
      <c r="E36" s="37" t="s">
        <v>260</v>
      </c>
      <c r="F36" s="37" t="s">
        <v>369</v>
      </c>
      <c r="G36" s="37" t="s">
        <v>262</v>
      </c>
      <c r="H36" s="37" t="s">
        <v>263</v>
      </c>
      <c r="I36" s="37" t="s">
        <v>105</v>
      </c>
      <c r="J36" s="37" t="s">
        <v>264</v>
      </c>
      <c r="K36" s="37" t="s">
        <v>105</v>
      </c>
      <c r="L36" s="36">
        <v>1</v>
      </c>
      <c r="M36" s="36">
        <v>1</v>
      </c>
      <c r="N36" s="36">
        <v>1</v>
      </c>
      <c r="O36" s="36">
        <v>2</v>
      </c>
      <c r="P36" s="37" t="s">
        <v>265</v>
      </c>
      <c r="Q36" s="37" t="s">
        <v>373</v>
      </c>
      <c r="R36" s="37" t="s">
        <v>374</v>
      </c>
    </row>
    <row r="37" spans="1:18" ht="137" hidden="1" thickBot="1" x14ac:dyDescent="0.55000000000000004">
      <c r="A37" s="36">
        <v>35</v>
      </c>
      <c r="B37" s="37" t="s">
        <v>375</v>
      </c>
      <c r="C37" s="37" t="s">
        <v>376</v>
      </c>
      <c r="D37" s="37" t="s">
        <v>377</v>
      </c>
      <c r="E37" s="37" t="s">
        <v>274</v>
      </c>
      <c r="F37" s="37" t="s">
        <v>261</v>
      </c>
      <c r="G37" s="37" t="s">
        <v>262</v>
      </c>
      <c r="H37" s="37" t="s">
        <v>263</v>
      </c>
      <c r="I37" s="37" t="s">
        <v>105</v>
      </c>
      <c r="J37" s="37" t="s">
        <v>264</v>
      </c>
      <c r="K37" s="37" t="s">
        <v>105</v>
      </c>
      <c r="L37" s="36">
        <v>2</v>
      </c>
      <c r="M37" s="36">
        <v>2</v>
      </c>
      <c r="N37" s="36">
        <v>2</v>
      </c>
      <c r="O37" s="36">
        <v>3</v>
      </c>
      <c r="P37" s="37" t="s">
        <v>265</v>
      </c>
      <c r="Q37" s="37" t="s">
        <v>378</v>
      </c>
      <c r="R37" s="37" t="s">
        <v>379</v>
      </c>
    </row>
    <row r="38" spans="1:18" ht="109.7" hidden="1" thickBot="1" x14ac:dyDescent="0.55000000000000004">
      <c r="A38" s="36">
        <v>36</v>
      </c>
      <c r="B38" s="37" t="s">
        <v>368</v>
      </c>
      <c r="C38" s="37" t="s">
        <v>368</v>
      </c>
      <c r="D38" s="37" t="s">
        <v>259</v>
      </c>
      <c r="E38" s="37" t="s">
        <v>260</v>
      </c>
      <c r="F38" s="37" t="s">
        <v>369</v>
      </c>
      <c r="G38" s="37" t="s">
        <v>262</v>
      </c>
      <c r="H38" s="37" t="s">
        <v>263</v>
      </c>
      <c r="I38" s="37" t="s">
        <v>105</v>
      </c>
      <c r="J38" s="37" t="s">
        <v>264</v>
      </c>
      <c r="K38" s="37" t="s">
        <v>105</v>
      </c>
      <c r="L38" s="36">
        <v>2</v>
      </c>
      <c r="M38" s="36">
        <v>2</v>
      </c>
      <c r="N38" s="36">
        <v>2</v>
      </c>
      <c r="O38" s="36">
        <v>3</v>
      </c>
      <c r="P38" s="37" t="s">
        <v>265</v>
      </c>
      <c r="Q38" s="37" t="s">
        <v>380</v>
      </c>
      <c r="R38" s="37" t="s">
        <v>381</v>
      </c>
    </row>
    <row r="39" spans="1:18" ht="82.35" hidden="1" thickBot="1" x14ac:dyDescent="0.55000000000000004">
      <c r="A39" s="36">
        <v>37</v>
      </c>
      <c r="B39" s="37" t="s">
        <v>382</v>
      </c>
      <c r="C39" s="37" t="s">
        <v>383</v>
      </c>
      <c r="D39" s="37" t="s">
        <v>377</v>
      </c>
      <c r="E39" s="37" t="s">
        <v>274</v>
      </c>
      <c r="F39" s="37" t="s">
        <v>369</v>
      </c>
      <c r="G39" s="37" t="s">
        <v>384</v>
      </c>
      <c r="H39" s="37" t="s">
        <v>263</v>
      </c>
      <c r="I39" s="37" t="s">
        <v>105</v>
      </c>
      <c r="J39" s="37" t="s">
        <v>105</v>
      </c>
      <c r="K39" s="37" t="s">
        <v>105</v>
      </c>
      <c r="L39" s="36">
        <v>2</v>
      </c>
      <c r="M39" s="36">
        <v>2</v>
      </c>
      <c r="N39" s="36">
        <v>2</v>
      </c>
      <c r="O39" s="36">
        <v>3</v>
      </c>
      <c r="P39" s="37" t="s">
        <v>265</v>
      </c>
      <c r="Q39" s="37" t="s">
        <v>385</v>
      </c>
      <c r="R39" s="37" t="s">
        <v>386</v>
      </c>
    </row>
    <row r="40" spans="1:18" ht="68.7" hidden="1" thickBot="1" x14ac:dyDescent="0.55000000000000004">
      <c r="A40" s="36">
        <v>38</v>
      </c>
      <c r="B40" s="37" t="s">
        <v>387</v>
      </c>
      <c r="C40" s="37" t="s">
        <v>388</v>
      </c>
      <c r="D40" s="37" t="s">
        <v>377</v>
      </c>
      <c r="E40" s="37" t="s">
        <v>274</v>
      </c>
      <c r="F40" s="37" t="s">
        <v>325</v>
      </c>
      <c r="G40" s="37" t="s">
        <v>325</v>
      </c>
      <c r="H40" s="37" t="s">
        <v>325</v>
      </c>
      <c r="I40" s="37" t="s">
        <v>105</v>
      </c>
      <c r="J40" s="37" t="s">
        <v>105</v>
      </c>
      <c r="K40" s="37" t="s">
        <v>105</v>
      </c>
      <c r="L40" s="36">
        <v>2</v>
      </c>
      <c r="M40" s="36">
        <v>2</v>
      </c>
      <c r="N40" s="36">
        <v>2</v>
      </c>
      <c r="O40" s="36">
        <v>4</v>
      </c>
      <c r="P40" s="37" t="s">
        <v>265</v>
      </c>
      <c r="Q40" s="37" t="s">
        <v>389</v>
      </c>
      <c r="R40" s="37" t="s">
        <v>390</v>
      </c>
    </row>
    <row r="41" spans="1:18" ht="41.35" hidden="1" thickBot="1" x14ac:dyDescent="0.55000000000000004">
      <c r="A41" s="36">
        <v>39</v>
      </c>
      <c r="B41" s="37" t="s">
        <v>391</v>
      </c>
      <c r="C41" s="37" t="s">
        <v>383</v>
      </c>
      <c r="D41" s="37" t="s">
        <v>377</v>
      </c>
      <c r="E41" s="37" t="s">
        <v>274</v>
      </c>
      <c r="F41" s="37" t="s">
        <v>369</v>
      </c>
      <c r="G41" s="37" t="s">
        <v>384</v>
      </c>
      <c r="H41" s="37" t="s">
        <v>384</v>
      </c>
      <c r="I41" s="37" t="s">
        <v>105</v>
      </c>
      <c r="J41" s="37" t="s">
        <v>105</v>
      </c>
      <c r="K41" s="37" t="s">
        <v>105</v>
      </c>
      <c r="L41" s="36">
        <v>2</v>
      </c>
      <c r="M41" s="36">
        <v>2</v>
      </c>
      <c r="N41" s="36">
        <v>2</v>
      </c>
      <c r="O41" s="36">
        <v>4</v>
      </c>
      <c r="P41" s="37" t="s">
        <v>265</v>
      </c>
      <c r="Q41" s="37" t="s">
        <v>392</v>
      </c>
      <c r="R41" s="37" t="s">
        <v>393</v>
      </c>
    </row>
    <row r="42" spans="1:18" ht="41.35" hidden="1" thickBot="1" x14ac:dyDescent="0.55000000000000004">
      <c r="A42" s="36">
        <v>40</v>
      </c>
      <c r="B42" s="37" t="s">
        <v>383</v>
      </c>
      <c r="C42" s="37" t="s">
        <v>383</v>
      </c>
      <c r="D42" s="37" t="s">
        <v>377</v>
      </c>
      <c r="E42" s="37" t="s">
        <v>274</v>
      </c>
      <c r="F42" s="37" t="s">
        <v>369</v>
      </c>
      <c r="G42" s="37" t="s">
        <v>384</v>
      </c>
      <c r="H42" s="37" t="s">
        <v>384</v>
      </c>
      <c r="I42" s="37" t="s">
        <v>105</v>
      </c>
      <c r="J42" s="37" t="s">
        <v>105</v>
      </c>
      <c r="K42" s="37" t="s">
        <v>105</v>
      </c>
      <c r="L42" s="36">
        <v>2</v>
      </c>
      <c r="M42" s="36">
        <v>2</v>
      </c>
      <c r="N42" s="36">
        <v>3</v>
      </c>
      <c r="O42" s="36">
        <v>4</v>
      </c>
      <c r="P42" s="37" t="s">
        <v>265</v>
      </c>
      <c r="Q42" s="37" t="s">
        <v>394</v>
      </c>
      <c r="R42" s="37" t="s">
        <v>395</v>
      </c>
    </row>
    <row r="43" spans="1:18" ht="41.35" hidden="1" thickBot="1" x14ac:dyDescent="0.55000000000000004">
      <c r="A43" s="36">
        <v>41</v>
      </c>
      <c r="B43" s="37" t="s">
        <v>396</v>
      </c>
      <c r="C43" s="37" t="s">
        <v>383</v>
      </c>
      <c r="D43" s="37" t="s">
        <v>377</v>
      </c>
      <c r="E43" s="37" t="s">
        <v>274</v>
      </c>
      <c r="F43" s="37" t="s">
        <v>369</v>
      </c>
      <c r="G43" s="37" t="s">
        <v>384</v>
      </c>
      <c r="H43" s="37" t="s">
        <v>384</v>
      </c>
      <c r="I43" s="37" t="s">
        <v>105</v>
      </c>
      <c r="J43" s="37" t="s">
        <v>105</v>
      </c>
      <c r="K43" s="37" t="s">
        <v>105</v>
      </c>
      <c r="L43" s="36">
        <v>2</v>
      </c>
      <c r="M43" s="36">
        <v>2</v>
      </c>
      <c r="N43" s="36">
        <v>3</v>
      </c>
      <c r="O43" s="36">
        <v>4</v>
      </c>
      <c r="P43" s="37" t="s">
        <v>265</v>
      </c>
      <c r="Q43" s="37" t="s">
        <v>397</v>
      </c>
      <c r="R43" s="37" t="s">
        <v>398</v>
      </c>
    </row>
    <row r="44" spans="1:18" ht="68.7" hidden="1" thickBot="1" x14ac:dyDescent="0.55000000000000004">
      <c r="A44" s="36">
        <v>42</v>
      </c>
      <c r="B44" s="37" t="s">
        <v>399</v>
      </c>
      <c r="C44" s="37" t="s">
        <v>400</v>
      </c>
      <c r="D44" s="37" t="s">
        <v>377</v>
      </c>
      <c r="E44" s="37" t="s">
        <v>274</v>
      </c>
      <c r="F44" s="37" t="s">
        <v>369</v>
      </c>
      <c r="G44" s="37" t="s">
        <v>384</v>
      </c>
      <c r="H44" s="37" t="s">
        <v>384</v>
      </c>
      <c r="I44" s="37" t="s">
        <v>105</v>
      </c>
      <c r="J44" s="37" t="s">
        <v>105</v>
      </c>
      <c r="K44" s="37" t="s">
        <v>105</v>
      </c>
      <c r="L44" s="36">
        <v>2</v>
      </c>
      <c r="M44" s="36">
        <v>2</v>
      </c>
      <c r="N44" s="36">
        <v>3</v>
      </c>
      <c r="O44" s="36">
        <v>4</v>
      </c>
      <c r="P44" s="37" t="s">
        <v>292</v>
      </c>
      <c r="Q44" s="37" t="s">
        <v>401</v>
      </c>
      <c r="R44" s="37" t="s">
        <v>402</v>
      </c>
    </row>
    <row r="45" spans="1:18" ht="68.7" hidden="1" thickBot="1" x14ac:dyDescent="0.55000000000000004">
      <c r="A45" s="36">
        <v>43</v>
      </c>
      <c r="B45" s="37" t="s">
        <v>403</v>
      </c>
      <c r="C45" s="37" t="s">
        <v>400</v>
      </c>
      <c r="D45" s="37" t="s">
        <v>377</v>
      </c>
      <c r="E45" s="37" t="s">
        <v>274</v>
      </c>
      <c r="F45" s="37" t="s">
        <v>369</v>
      </c>
      <c r="G45" s="37" t="s">
        <v>384</v>
      </c>
      <c r="H45" s="37" t="s">
        <v>384</v>
      </c>
      <c r="I45" s="37" t="s">
        <v>105</v>
      </c>
      <c r="J45" s="37" t="s">
        <v>105</v>
      </c>
      <c r="K45" s="37" t="s">
        <v>105</v>
      </c>
      <c r="L45" s="36">
        <v>2</v>
      </c>
      <c r="M45" s="36">
        <v>2</v>
      </c>
      <c r="N45" s="36">
        <v>3</v>
      </c>
      <c r="O45" s="36">
        <v>5</v>
      </c>
      <c r="P45" s="37" t="s">
        <v>265</v>
      </c>
      <c r="Q45" s="37" t="s">
        <v>404</v>
      </c>
      <c r="R45" s="37" t="s">
        <v>405</v>
      </c>
    </row>
    <row r="46" spans="1:18" ht="41.35" hidden="1" thickBot="1" x14ac:dyDescent="0.55000000000000004">
      <c r="A46" s="36">
        <v>44</v>
      </c>
      <c r="B46" s="37" t="s">
        <v>406</v>
      </c>
      <c r="C46" s="37" t="s">
        <v>400</v>
      </c>
      <c r="D46" s="37" t="s">
        <v>377</v>
      </c>
      <c r="E46" s="37" t="s">
        <v>274</v>
      </c>
      <c r="F46" s="37" t="s">
        <v>369</v>
      </c>
      <c r="G46" s="37" t="s">
        <v>384</v>
      </c>
      <c r="H46" s="37" t="s">
        <v>384</v>
      </c>
      <c r="I46" s="37" t="s">
        <v>105</v>
      </c>
      <c r="J46" s="37" t="s">
        <v>105</v>
      </c>
      <c r="K46" s="37" t="s">
        <v>105</v>
      </c>
      <c r="L46" s="36">
        <v>2</v>
      </c>
      <c r="M46" s="36">
        <v>2</v>
      </c>
      <c r="N46" s="36">
        <v>3</v>
      </c>
      <c r="O46" s="36">
        <v>3</v>
      </c>
      <c r="P46" s="37" t="s">
        <v>292</v>
      </c>
      <c r="Q46" s="37" t="s">
        <v>407</v>
      </c>
      <c r="R46" s="37" t="s">
        <v>408</v>
      </c>
    </row>
    <row r="47" spans="1:18" ht="55" hidden="1" thickBot="1" x14ac:dyDescent="0.55000000000000004">
      <c r="A47" s="36">
        <v>45</v>
      </c>
      <c r="B47" s="37" t="s">
        <v>409</v>
      </c>
      <c r="C47" s="37" t="s">
        <v>376</v>
      </c>
      <c r="D47" s="37" t="s">
        <v>377</v>
      </c>
      <c r="E47" s="37" t="s">
        <v>274</v>
      </c>
      <c r="F47" s="37" t="s">
        <v>261</v>
      </c>
      <c r="G47" s="37" t="s">
        <v>384</v>
      </c>
      <c r="H47" s="37" t="s">
        <v>384</v>
      </c>
      <c r="I47" s="37" t="s">
        <v>105</v>
      </c>
      <c r="J47" s="37" t="s">
        <v>105</v>
      </c>
      <c r="K47" s="37" t="s">
        <v>105</v>
      </c>
      <c r="L47" s="36">
        <v>2</v>
      </c>
      <c r="M47" s="36">
        <v>2</v>
      </c>
      <c r="N47" s="36">
        <v>3</v>
      </c>
      <c r="O47" s="36">
        <v>3</v>
      </c>
      <c r="P47" s="37" t="s">
        <v>265</v>
      </c>
      <c r="Q47" s="37" t="s">
        <v>410</v>
      </c>
      <c r="R47" s="37" t="s">
        <v>411</v>
      </c>
    </row>
    <row r="48" spans="1:18" ht="41.35" hidden="1" thickBot="1" x14ac:dyDescent="0.55000000000000004">
      <c r="A48" s="36">
        <v>46</v>
      </c>
      <c r="B48" s="37" t="s">
        <v>412</v>
      </c>
      <c r="C48" s="37" t="s">
        <v>400</v>
      </c>
      <c r="D48" s="37" t="s">
        <v>377</v>
      </c>
      <c r="E48" s="37" t="s">
        <v>274</v>
      </c>
      <c r="F48" s="37" t="s">
        <v>369</v>
      </c>
      <c r="G48" s="37" t="s">
        <v>384</v>
      </c>
      <c r="H48" s="37" t="s">
        <v>384</v>
      </c>
      <c r="I48" s="37" t="s">
        <v>105</v>
      </c>
      <c r="J48" s="37" t="s">
        <v>105</v>
      </c>
      <c r="K48" s="37" t="s">
        <v>105</v>
      </c>
      <c r="L48" s="36">
        <v>2</v>
      </c>
      <c r="M48" s="36">
        <v>2</v>
      </c>
      <c r="N48" s="36">
        <v>3</v>
      </c>
      <c r="O48" s="36">
        <v>4</v>
      </c>
      <c r="P48" s="37" t="s">
        <v>265</v>
      </c>
      <c r="Q48" s="37" t="s">
        <v>413</v>
      </c>
      <c r="R48" s="37" t="s">
        <v>414</v>
      </c>
    </row>
    <row r="49" spans="1:18" ht="55" hidden="1" thickBot="1" x14ac:dyDescent="0.55000000000000004">
      <c r="A49" s="36">
        <v>47</v>
      </c>
      <c r="B49" s="37" t="s">
        <v>415</v>
      </c>
      <c r="C49" s="37" t="s">
        <v>416</v>
      </c>
      <c r="D49" s="37" t="s">
        <v>377</v>
      </c>
      <c r="E49" s="37" t="s">
        <v>274</v>
      </c>
      <c r="F49" s="37" t="s">
        <v>324</v>
      </c>
      <c r="G49" s="37" t="s">
        <v>324</v>
      </c>
      <c r="H49" s="37" t="s">
        <v>384</v>
      </c>
      <c r="I49" s="37" t="s">
        <v>105</v>
      </c>
      <c r="J49" s="37" t="s">
        <v>105</v>
      </c>
      <c r="K49" s="37" t="s">
        <v>105</v>
      </c>
      <c r="L49" s="36">
        <v>2</v>
      </c>
      <c r="M49" s="36">
        <v>2</v>
      </c>
      <c r="N49" s="36">
        <v>3</v>
      </c>
      <c r="O49" s="36">
        <v>4</v>
      </c>
      <c r="P49" s="37" t="s">
        <v>265</v>
      </c>
      <c r="Q49" s="37" t="s">
        <v>417</v>
      </c>
      <c r="R49" s="37" t="s">
        <v>418</v>
      </c>
    </row>
    <row r="50" spans="1:18" ht="68.7" hidden="1" thickBot="1" x14ac:dyDescent="0.55000000000000004">
      <c r="A50" s="36">
        <v>48</v>
      </c>
      <c r="B50" s="37" t="s">
        <v>388</v>
      </c>
      <c r="C50" s="37" t="s">
        <v>388</v>
      </c>
      <c r="D50" s="37" t="s">
        <v>377</v>
      </c>
      <c r="E50" s="37" t="s">
        <v>274</v>
      </c>
      <c r="F50" s="37" t="s">
        <v>324</v>
      </c>
      <c r="G50" s="37" t="s">
        <v>325</v>
      </c>
      <c r="H50" s="37" t="s">
        <v>325</v>
      </c>
      <c r="I50" s="37" t="s">
        <v>105</v>
      </c>
      <c r="J50" s="37" t="s">
        <v>105</v>
      </c>
      <c r="K50" s="37" t="s">
        <v>105</v>
      </c>
      <c r="L50" s="36">
        <v>2</v>
      </c>
      <c r="M50" s="36">
        <v>2</v>
      </c>
      <c r="N50" s="36">
        <v>2</v>
      </c>
      <c r="O50" s="36">
        <v>4</v>
      </c>
      <c r="P50" s="37" t="s">
        <v>265</v>
      </c>
      <c r="Q50" s="37" t="s">
        <v>419</v>
      </c>
      <c r="R50" s="37" t="s">
        <v>420</v>
      </c>
    </row>
    <row r="51" spans="1:18" ht="41.35" hidden="1" thickBot="1" x14ac:dyDescent="0.55000000000000004">
      <c r="A51" s="36">
        <v>49</v>
      </c>
      <c r="B51" s="37" t="s">
        <v>421</v>
      </c>
      <c r="C51" s="37" t="s">
        <v>416</v>
      </c>
      <c r="D51" s="37" t="s">
        <v>377</v>
      </c>
      <c r="E51" s="37" t="s">
        <v>274</v>
      </c>
      <c r="F51" s="37" t="s">
        <v>324</v>
      </c>
      <c r="G51" s="37" t="s">
        <v>324</v>
      </c>
      <c r="H51" s="37" t="s">
        <v>384</v>
      </c>
      <c r="I51" s="37" t="s">
        <v>105</v>
      </c>
      <c r="J51" s="37" t="s">
        <v>105</v>
      </c>
      <c r="K51" s="37" t="s">
        <v>105</v>
      </c>
      <c r="L51" s="36">
        <v>2</v>
      </c>
      <c r="M51" s="36">
        <v>2</v>
      </c>
      <c r="N51" s="36">
        <v>2</v>
      </c>
      <c r="O51" s="36">
        <v>3</v>
      </c>
      <c r="P51" s="37" t="s">
        <v>265</v>
      </c>
      <c r="Q51" s="37" t="s">
        <v>422</v>
      </c>
      <c r="R51" s="37" t="s">
        <v>423</v>
      </c>
    </row>
    <row r="52" spans="1:18" ht="68.7" hidden="1" thickBot="1" x14ac:dyDescent="0.55000000000000004">
      <c r="A52" s="36">
        <v>50</v>
      </c>
      <c r="B52" s="37" t="s">
        <v>416</v>
      </c>
      <c r="C52" s="37" t="s">
        <v>416</v>
      </c>
      <c r="D52" s="37" t="s">
        <v>377</v>
      </c>
      <c r="E52" s="37" t="s">
        <v>274</v>
      </c>
      <c r="F52" s="37" t="s">
        <v>324</v>
      </c>
      <c r="G52" s="37" t="s">
        <v>324</v>
      </c>
      <c r="H52" s="37" t="s">
        <v>384</v>
      </c>
      <c r="I52" s="37" t="s">
        <v>105</v>
      </c>
      <c r="J52" s="37" t="s">
        <v>105</v>
      </c>
      <c r="K52" s="37" t="s">
        <v>105</v>
      </c>
      <c r="L52" s="36">
        <v>2</v>
      </c>
      <c r="M52" s="36">
        <v>2</v>
      </c>
      <c r="N52" s="36">
        <v>2</v>
      </c>
      <c r="O52" s="36">
        <v>3</v>
      </c>
      <c r="P52" s="37" t="s">
        <v>265</v>
      </c>
      <c r="Q52" s="37" t="s">
        <v>424</v>
      </c>
      <c r="R52" s="37" t="s">
        <v>425</v>
      </c>
    </row>
    <row r="53" spans="1:18" ht="41.35" hidden="1" thickBot="1" x14ac:dyDescent="0.55000000000000004">
      <c r="A53" s="36">
        <v>51</v>
      </c>
      <c r="B53" s="37" t="s">
        <v>426</v>
      </c>
      <c r="C53" s="37" t="s">
        <v>388</v>
      </c>
      <c r="D53" s="37" t="s">
        <v>377</v>
      </c>
      <c r="E53" s="37" t="s">
        <v>274</v>
      </c>
      <c r="F53" s="37" t="s">
        <v>324</v>
      </c>
      <c r="G53" s="37" t="s">
        <v>325</v>
      </c>
      <c r="H53" s="37" t="s">
        <v>325</v>
      </c>
      <c r="I53" s="37" t="s">
        <v>105</v>
      </c>
      <c r="J53" s="37" t="s">
        <v>105</v>
      </c>
      <c r="K53" s="37" t="s">
        <v>105</v>
      </c>
      <c r="L53" s="36">
        <v>2</v>
      </c>
      <c r="M53" s="36">
        <v>2</v>
      </c>
      <c r="N53" s="36">
        <v>2</v>
      </c>
      <c r="O53" s="36">
        <v>4</v>
      </c>
      <c r="P53" s="37" t="s">
        <v>265</v>
      </c>
      <c r="Q53" s="37" t="s">
        <v>427</v>
      </c>
      <c r="R53" s="37" t="s">
        <v>428</v>
      </c>
    </row>
    <row r="54" spans="1:18" ht="27.7" hidden="1" thickBot="1" x14ac:dyDescent="0.55000000000000004">
      <c r="A54" s="36">
        <v>52</v>
      </c>
      <c r="B54" s="37" t="s">
        <v>429</v>
      </c>
      <c r="C54" s="37" t="s">
        <v>429</v>
      </c>
      <c r="D54" s="37" t="s">
        <v>338</v>
      </c>
      <c r="E54" s="37" t="s">
        <v>274</v>
      </c>
      <c r="F54" s="37" t="s">
        <v>325</v>
      </c>
      <c r="G54" s="37" t="s">
        <v>325</v>
      </c>
      <c r="H54" s="37" t="s">
        <v>325</v>
      </c>
      <c r="I54" s="37" t="s">
        <v>105</v>
      </c>
      <c r="J54" s="37" t="s">
        <v>105</v>
      </c>
      <c r="K54" s="37" t="s">
        <v>105</v>
      </c>
      <c r="L54" s="36">
        <v>3</v>
      </c>
      <c r="M54" s="36">
        <v>3</v>
      </c>
      <c r="N54" s="36">
        <v>3</v>
      </c>
      <c r="O54" s="36">
        <v>4</v>
      </c>
      <c r="P54" s="37" t="s">
        <v>265</v>
      </c>
      <c r="Q54" s="37" t="s">
        <v>430</v>
      </c>
      <c r="R54" s="37" t="s">
        <v>431</v>
      </c>
    </row>
    <row r="55" spans="1:18" ht="27.7" hidden="1" thickBot="1" x14ac:dyDescent="0.55000000000000004">
      <c r="A55" s="36">
        <v>53</v>
      </c>
      <c r="B55" s="37" t="s">
        <v>432</v>
      </c>
      <c r="C55" s="37" t="s">
        <v>433</v>
      </c>
      <c r="D55" s="37" t="s">
        <v>338</v>
      </c>
      <c r="E55" s="37" t="s">
        <v>274</v>
      </c>
      <c r="F55" s="37" t="s">
        <v>325</v>
      </c>
      <c r="G55" s="37" t="s">
        <v>325</v>
      </c>
      <c r="H55" s="37" t="s">
        <v>325</v>
      </c>
      <c r="I55" s="37" t="s">
        <v>105</v>
      </c>
      <c r="J55" s="37" t="s">
        <v>105</v>
      </c>
      <c r="K55" s="37" t="s">
        <v>105</v>
      </c>
      <c r="L55" s="36">
        <v>3</v>
      </c>
      <c r="M55" s="36">
        <v>3</v>
      </c>
      <c r="N55" s="36">
        <v>3</v>
      </c>
      <c r="O55" s="36">
        <v>3</v>
      </c>
      <c r="P55" s="37" t="s">
        <v>265</v>
      </c>
      <c r="Q55" s="37"/>
      <c r="R55" s="37" t="s">
        <v>434</v>
      </c>
    </row>
    <row r="56" spans="1:18" ht="96" hidden="1" thickBot="1" x14ac:dyDescent="0.55000000000000004">
      <c r="A56" s="36">
        <v>54</v>
      </c>
      <c r="B56" s="37" t="s">
        <v>435</v>
      </c>
      <c r="C56" s="37" t="s">
        <v>436</v>
      </c>
      <c r="D56" s="37" t="s">
        <v>377</v>
      </c>
      <c r="E56" s="37" t="s">
        <v>274</v>
      </c>
      <c r="F56" s="37" t="s">
        <v>324</v>
      </c>
      <c r="G56" s="37" t="s">
        <v>262</v>
      </c>
      <c r="H56" s="37" t="s">
        <v>263</v>
      </c>
      <c r="I56" s="37" t="s">
        <v>105</v>
      </c>
      <c r="J56" s="37" t="s">
        <v>264</v>
      </c>
      <c r="K56" s="37" t="s">
        <v>105</v>
      </c>
      <c r="L56" s="36">
        <v>1</v>
      </c>
      <c r="M56" s="36">
        <v>1</v>
      </c>
      <c r="N56" s="36">
        <v>3</v>
      </c>
      <c r="O56" s="36">
        <v>3</v>
      </c>
      <c r="P56" s="37" t="s">
        <v>265</v>
      </c>
      <c r="Q56" s="37" t="s">
        <v>437</v>
      </c>
      <c r="R56" s="37" t="s">
        <v>438</v>
      </c>
    </row>
    <row r="57" spans="1:18" ht="27.7" hidden="1" thickBot="1" x14ac:dyDescent="0.55000000000000004">
      <c r="A57" s="36">
        <v>55</v>
      </c>
      <c r="B57" s="37" t="s">
        <v>439</v>
      </c>
      <c r="C57" s="37" t="s">
        <v>433</v>
      </c>
      <c r="D57" s="37" t="s">
        <v>338</v>
      </c>
      <c r="E57" s="37" t="s">
        <v>274</v>
      </c>
      <c r="F57" s="37" t="s">
        <v>325</v>
      </c>
      <c r="G57" s="37" t="s">
        <v>325</v>
      </c>
      <c r="H57" s="37" t="s">
        <v>325</v>
      </c>
      <c r="I57" s="37" t="s">
        <v>105</v>
      </c>
      <c r="J57" s="37" t="s">
        <v>105</v>
      </c>
      <c r="K57" s="37" t="s">
        <v>105</v>
      </c>
      <c r="L57" s="36">
        <v>3</v>
      </c>
      <c r="M57" s="36">
        <v>3</v>
      </c>
      <c r="N57" s="36">
        <v>3</v>
      </c>
      <c r="O57" s="36">
        <v>3</v>
      </c>
      <c r="P57" s="37" t="s">
        <v>292</v>
      </c>
      <c r="Q57" s="37"/>
      <c r="R57" s="37" t="s">
        <v>440</v>
      </c>
    </row>
    <row r="58" spans="1:18" ht="27.7" hidden="1" thickBot="1" x14ac:dyDescent="0.55000000000000004">
      <c r="A58" s="36">
        <v>56</v>
      </c>
      <c r="B58" s="37" t="s">
        <v>441</v>
      </c>
      <c r="C58" s="37" t="s">
        <v>429</v>
      </c>
      <c r="D58" s="37" t="s">
        <v>338</v>
      </c>
      <c r="E58" s="37" t="s">
        <v>274</v>
      </c>
      <c r="F58" s="37" t="s">
        <v>325</v>
      </c>
      <c r="G58" s="37" t="s">
        <v>325</v>
      </c>
      <c r="H58" s="37" t="s">
        <v>325</v>
      </c>
      <c r="I58" s="37" t="s">
        <v>105</v>
      </c>
      <c r="J58" s="37" t="s">
        <v>105</v>
      </c>
      <c r="K58" s="37" t="s">
        <v>105</v>
      </c>
      <c r="L58" s="36">
        <v>3</v>
      </c>
      <c r="M58" s="36">
        <v>3</v>
      </c>
      <c r="N58" s="36">
        <v>3</v>
      </c>
      <c r="O58" s="36">
        <v>4</v>
      </c>
      <c r="P58" s="37" t="s">
        <v>265</v>
      </c>
      <c r="Q58" s="37" t="s">
        <v>442</v>
      </c>
      <c r="R58" s="37" t="s">
        <v>443</v>
      </c>
    </row>
    <row r="59" spans="1:18" ht="27.7" hidden="1" thickBot="1" x14ac:dyDescent="0.55000000000000004">
      <c r="A59" s="36">
        <v>57</v>
      </c>
      <c r="B59" s="37" t="s">
        <v>444</v>
      </c>
      <c r="C59" s="37" t="s">
        <v>444</v>
      </c>
      <c r="D59" s="37" t="s">
        <v>338</v>
      </c>
      <c r="E59" s="37" t="s">
        <v>274</v>
      </c>
      <c r="F59" s="37" t="s">
        <v>325</v>
      </c>
      <c r="G59" s="37" t="s">
        <v>262</v>
      </c>
      <c r="H59" s="37" t="s">
        <v>325</v>
      </c>
      <c r="I59" s="37" t="s">
        <v>105</v>
      </c>
      <c r="J59" s="37" t="s">
        <v>264</v>
      </c>
      <c r="K59" s="37" t="s">
        <v>105</v>
      </c>
      <c r="L59" s="36">
        <v>4</v>
      </c>
      <c r="M59" s="36">
        <v>4</v>
      </c>
      <c r="N59" s="36">
        <v>4</v>
      </c>
      <c r="O59" s="36">
        <v>5</v>
      </c>
      <c r="P59" s="37" t="s">
        <v>265</v>
      </c>
      <c r="Q59" s="37" t="s">
        <v>445</v>
      </c>
      <c r="R59" s="37" t="s">
        <v>446</v>
      </c>
    </row>
    <row r="60" spans="1:18" ht="27.7" hidden="1" thickBot="1" x14ac:dyDescent="0.55000000000000004">
      <c r="A60" s="36">
        <v>58</v>
      </c>
      <c r="B60" s="37" t="s">
        <v>447</v>
      </c>
      <c r="C60" s="37" t="s">
        <v>447</v>
      </c>
      <c r="D60" s="37" t="s">
        <v>338</v>
      </c>
      <c r="E60" s="37" t="s">
        <v>274</v>
      </c>
      <c r="F60" s="37" t="s">
        <v>325</v>
      </c>
      <c r="G60" s="37" t="s">
        <v>325</v>
      </c>
      <c r="H60" s="37" t="s">
        <v>325</v>
      </c>
      <c r="I60" s="37" t="s">
        <v>105</v>
      </c>
      <c r="J60" s="37" t="s">
        <v>105</v>
      </c>
      <c r="K60" s="37" t="s">
        <v>105</v>
      </c>
      <c r="L60" s="36">
        <v>3</v>
      </c>
      <c r="M60" s="36">
        <v>3</v>
      </c>
      <c r="N60" s="36">
        <v>3</v>
      </c>
      <c r="O60" s="36">
        <v>4</v>
      </c>
      <c r="P60" s="37" t="s">
        <v>265</v>
      </c>
      <c r="Q60" s="37" t="s">
        <v>448</v>
      </c>
      <c r="R60" s="37" t="s">
        <v>449</v>
      </c>
    </row>
    <row r="61" spans="1:18" ht="27.7" hidden="1" thickBot="1" x14ac:dyDescent="0.55000000000000004">
      <c r="A61" s="36">
        <v>59</v>
      </c>
      <c r="B61" s="37" t="s">
        <v>450</v>
      </c>
      <c r="C61" s="37" t="s">
        <v>447</v>
      </c>
      <c r="D61" s="37" t="s">
        <v>338</v>
      </c>
      <c r="E61" s="37" t="s">
        <v>274</v>
      </c>
      <c r="F61" s="37" t="s">
        <v>325</v>
      </c>
      <c r="G61" s="37" t="s">
        <v>325</v>
      </c>
      <c r="H61" s="37" t="s">
        <v>325</v>
      </c>
      <c r="I61" s="37" t="s">
        <v>105</v>
      </c>
      <c r="J61" s="37" t="s">
        <v>105</v>
      </c>
      <c r="K61" s="37" t="s">
        <v>105</v>
      </c>
      <c r="L61" s="36">
        <v>3</v>
      </c>
      <c r="M61" s="36">
        <v>3</v>
      </c>
      <c r="N61" s="36">
        <v>3</v>
      </c>
      <c r="O61" s="36">
        <v>4</v>
      </c>
      <c r="P61" s="37" t="s">
        <v>265</v>
      </c>
      <c r="Q61" s="37"/>
      <c r="R61" s="37" t="s">
        <v>451</v>
      </c>
    </row>
    <row r="62" spans="1:18" ht="27.7" hidden="1" thickBot="1" x14ac:dyDescent="0.55000000000000004">
      <c r="A62" s="36">
        <v>60</v>
      </c>
      <c r="B62" s="37" t="s">
        <v>452</v>
      </c>
      <c r="C62" s="37" t="s">
        <v>453</v>
      </c>
      <c r="D62" s="37" t="s">
        <v>323</v>
      </c>
      <c r="E62" s="37" t="s">
        <v>274</v>
      </c>
      <c r="F62" s="37" t="s">
        <v>324</v>
      </c>
      <c r="G62" s="37" t="s">
        <v>324</v>
      </c>
      <c r="H62" s="37" t="s">
        <v>324</v>
      </c>
      <c r="I62" s="37" t="s">
        <v>105</v>
      </c>
      <c r="J62" s="37" t="s">
        <v>105</v>
      </c>
      <c r="K62" s="37" t="s">
        <v>105</v>
      </c>
      <c r="L62" s="36">
        <v>3</v>
      </c>
      <c r="M62" s="36">
        <v>3</v>
      </c>
      <c r="N62" s="36">
        <v>3</v>
      </c>
      <c r="O62" s="36">
        <v>3</v>
      </c>
      <c r="P62" s="37" t="s">
        <v>265</v>
      </c>
      <c r="Q62" s="37"/>
      <c r="R62" s="37" t="s">
        <v>454</v>
      </c>
    </row>
    <row r="63" spans="1:18" ht="27.7" hidden="1" thickBot="1" x14ac:dyDescent="0.55000000000000004">
      <c r="A63" s="36">
        <v>61</v>
      </c>
      <c r="B63" s="37" t="s">
        <v>455</v>
      </c>
      <c r="C63" s="37" t="s">
        <v>361</v>
      </c>
      <c r="D63" s="37" t="s">
        <v>338</v>
      </c>
      <c r="E63" s="37" t="s">
        <v>274</v>
      </c>
      <c r="F63" s="37" t="s">
        <v>325</v>
      </c>
      <c r="G63" s="37" t="s">
        <v>325</v>
      </c>
      <c r="H63" s="37" t="s">
        <v>325</v>
      </c>
      <c r="I63" s="37" t="s">
        <v>105</v>
      </c>
      <c r="J63" s="37" t="s">
        <v>105</v>
      </c>
      <c r="K63" s="37" t="s">
        <v>105</v>
      </c>
      <c r="L63" s="36">
        <v>3</v>
      </c>
      <c r="M63" s="36">
        <v>3</v>
      </c>
      <c r="N63" s="36">
        <v>3</v>
      </c>
      <c r="O63" s="36">
        <v>5</v>
      </c>
      <c r="P63" s="37" t="s">
        <v>265</v>
      </c>
      <c r="Q63" s="37" t="s">
        <v>456</v>
      </c>
      <c r="R63" s="37" t="s">
        <v>457</v>
      </c>
    </row>
    <row r="64" spans="1:18" ht="27.7" hidden="1" thickBot="1" x14ac:dyDescent="0.55000000000000004">
      <c r="A64" s="36">
        <v>62</v>
      </c>
      <c r="B64" s="37" t="s">
        <v>458</v>
      </c>
      <c r="C64" s="37" t="s">
        <v>361</v>
      </c>
      <c r="D64" s="37" t="s">
        <v>338</v>
      </c>
      <c r="E64" s="37" t="s">
        <v>274</v>
      </c>
      <c r="F64" s="37" t="s">
        <v>325</v>
      </c>
      <c r="G64" s="37" t="s">
        <v>325</v>
      </c>
      <c r="H64" s="37" t="s">
        <v>325</v>
      </c>
      <c r="I64" s="37" t="s">
        <v>105</v>
      </c>
      <c r="J64" s="37" t="s">
        <v>105</v>
      </c>
      <c r="K64" s="37" t="s">
        <v>105</v>
      </c>
      <c r="L64" s="36">
        <v>3</v>
      </c>
      <c r="M64" s="36">
        <v>3</v>
      </c>
      <c r="N64" s="36">
        <v>3</v>
      </c>
      <c r="O64" s="36">
        <v>5</v>
      </c>
      <c r="P64" s="37" t="s">
        <v>292</v>
      </c>
      <c r="Q64" s="37"/>
      <c r="R64" s="37" t="s">
        <v>459</v>
      </c>
    </row>
    <row r="65" spans="1:18" ht="27.7" hidden="1" thickBot="1" x14ac:dyDescent="0.55000000000000004">
      <c r="A65" s="36">
        <v>63</v>
      </c>
      <c r="B65" s="37" t="s">
        <v>460</v>
      </c>
      <c r="C65" s="37" t="s">
        <v>447</v>
      </c>
      <c r="D65" s="37" t="s">
        <v>338</v>
      </c>
      <c r="E65" s="37" t="s">
        <v>274</v>
      </c>
      <c r="F65" s="37" t="s">
        <v>325</v>
      </c>
      <c r="G65" s="37" t="s">
        <v>325</v>
      </c>
      <c r="H65" s="37" t="s">
        <v>325</v>
      </c>
      <c r="I65" s="37" t="s">
        <v>105</v>
      </c>
      <c r="J65" s="37" t="s">
        <v>105</v>
      </c>
      <c r="K65" s="37" t="s">
        <v>105</v>
      </c>
      <c r="L65" s="36">
        <v>3</v>
      </c>
      <c r="M65" s="36">
        <v>3</v>
      </c>
      <c r="N65" s="36">
        <v>3</v>
      </c>
      <c r="O65" s="36">
        <v>4</v>
      </c>
      <c r="P65" s="37" t="s">
        <v>292</v>
      </c>
      <c r="Q65" s="37" t="s">
        <v>461</v>
      </c>
      <c r="R65" s="37" t="s">
        <v>462</v>
      </c>
    </row>
    <row r="66" spans="1:18" ht="27.7" hidden="1" thickBot="1" x14ac:dyDescent="0.55000000000000004">
      <c r="A66" s="36">
        <v>64</v>
      </c>
      <c r="B66" s="37" t="s">
        <v>453</v>
      </c>
      <c r="C66" s="37" t="s">
        <v>453</v>
      </c>
      <c r="D66" s="37" t="s">
        <v>323</v>
      </c>
      <c r="E66" s="37" t="s">
        <v>274</v>
      </c>
      <c r="F66" s="37" t="s">
        <v>324</v>
      </c>
      <c r="G66" s="37" t="s">
        <v>324</v>
      </c>
      <c r="H66" s="37" t="s">
        <v>324</v>
      </c>
      <c r="I66" s="37" t="s">
        <v>105</v>
      </c>
      <c r="J66" s="37" t="s">
        <v>105</v>
      </c>
      <c r="K66" s="37" t="s">
        <v>105</v>
      </c>
      <c r="L66" s="36">
        <v>3</v>
      </c>
      <c r="M66" s="36">
        <v>3</v>
      </c>
      <c r="N66" s="36">
        <v>3</v>
      </c>
      <c r="O66" s="36">
        <v>5</v>
      </c>
      <c r="P66" s="37" t="s">
        <v>265</v>
      </c>
      <c r="Q66" s="37" t="s">
        <v>463</v>
      </c>
      <c r="R66" s="37" t="s">
        <v>464</v>
      </c>
    </row>
    <row r="67" spans="1:18" ht="14.7" hidden="1" thickBot="1" x14ac:dyDescent="0.55000000000000004">
      <c r="A67" s="36">
        <v>65</v>
      </c>
      <c r="B67" s="37" t="s">
        <v>322</v>
      </c>
      <c r="C67" s="37" t="s">
        <v>322</v>
      </c>
      <c r="D67" s="37" t="s">
        <v>323</v>
      </c>
      <c r="E67" s="37" t="s">
        <v>274</v>
      </c>
      <c r="F67" s="37" t="s">
        <v>324</v>
      </c>
      <c r="G67" s="37" t="s">
        <v>324</v>
      </c>
      <c r="H67" s="37" t="s">
        <v>324</v>
      </c>
      <c r="I67" s="37" t="s">
        <v>105</v>
      </c>
      <c r="J67" s="37" t="s">
        <v>105</v>
      </c>
      <c r="K67" s="37" t="s">
        <v>105</v>
      </c>
      <c r="L67" s="36">
        <v>3</v>
      </c>
      <c r="M67" s="36">
        <v>3</v>
      </c>
      <c r="N67" s="36">
        <v>3</v>
      </c>
      <c r="O67" s="36">
        <v>4</v>
      </c>
      <c r="P67" s="37" t="s">
        <v>292</v>
      </c>
      <c r="Q67" s="37" t="s">
        <v>465</v>
      </c>
      <c r="R67" s="37" t="s">
        <v>466</v>
      </c>
    </row>
    <row r="68" spans="1:18" ht="55" hidden="1" thickBot="1" x14ac:dyDescent="0.55000000000000004">
      <c r="A68" s="36">
        <v>66</v>
      </c>
      <c r="B68" s="37" t="s">
        <v>467</v>
      </c>
      <c r="C68" s="37" t="s">
        <v>322</v>
      </c>
      <c r="D68" s="37" t="s">
        <v>323</v>
      </c>
      <c r="E68" s="37" t="s">
        <v>274</v>
      </c>
      <c r="F68" s="37" t="s">
        <v>324</v>
      </c>
      <c r="G68" s="37" t="s">
        <v>325</v>
      </c>
      <c r="H68" s="37" t="s">
        <v>325</v>
      </c>
      <c r="I68" s="37" t="s">
        <v>105</v>
      </c>
      <c r="J68" s="37" t="s">
        <v>105</v>
      </c>
      <c r="K68" s="37" t="s">
        <v>105</v>
      </c>
      <c r="L68" s="36">
        <v>1</v>
      </c>
      <c r="M68" s="36">
        <v>3</v>
      </c>
      <c r="N68" s="36">
        <v>3</v>
      </c>
      <c r="O68" s="36">
        <v>4</v>
      </c>
      <c r="P68" s="37" t="s">
        <v>292</v>
      </c>
      <c r="Q68" s="37" t="s">
        <v>468</v>
      </c>
      <c r="R68" s="37" t="s">
        <v>469</v>
      </c>
    </row>
    <row r="69" spans="1:18" ht="27.7" hidden="1" thickBot="1" x14ac:dyDescent="0.55000000000000004">
      <c r="A69" s="36">
        <v>67</v>
      </c>
      <c r="B69" s="37" t="s">
        <v>470</v>
      </c>
      <c r="C69" s="37" t="s">
        <v>361</v>
      </c>
      <c r="D69" s="37" t="s">
        <v>338</v>
      </c>
      <c r="E69" s="37" t="s">
        <v>274</v>
      </c>
      <c r="F69" s="37" t="s">
        <v>325</v>
      </c>
      <c r="G69" s="37" t="s">
        <v>325</v>
      </c>
      <c r="H69" s="37" t="s">
        <v>325</v>
      </c>
      <c r="I69" s="37" t="s">
        <v>105</v>
      </c>
      <c r="J69" s="37" t="s">
        <v>105</v>
      </c>
      <c r="K69" s="37" t="s">
        <v>105</v>
      </c>
      <c r="L69" s="36">
        <v>4</v>
      </c>
      <c r="M69" s="36">
        <v>4</v>
      </c>
      <c r="N69" s="36">
        <v>3</v>
      </c>
      <c r="O69" s="36">
        <v>4</v>
      </c>
      <c r="P69" s="37" t="s">
        <v>292</v>
      </c>
      <c r="Q69" s="37"/>
      <c r="R69" s="37" t="s">
        <v>471</v>
      </c>
    </row>
    <row r="70" spans="1:18" ht="27.7" hidden="1" thickBot="1" x14ac:dyDescent="0.55000000000000004">
      <c r="A70" s="36">
        <v>68</v>
      </c>
      <c r="B70" s="37" t="s">
        <v>472</v>
      </c>
      <c r="C70" s="37" t="s">
        <v>365</v>
      </c>
      <c r="D70" s="37" t="s">
        <v>338</v>
      </c>
      <c r="E70" s="37" t="s">
        <v>274</v>
      </c>
      <c r="F70" s="37" t="s">
        <v>325</v>
      </c>
      <c r="G70" s="37" t="s">
        <v>325</v>
      </c>
      <c r="H70" s="37" t="s">
        <v>325</v>
      </c>
      <c r="I70" s="37" t="s">
        <v>105</v>
      </c>
      <c r="J70" s="37" t="s">
        <v>105</v>
      </c>
      <c r="K70" s="37" t="s">
        <v>105</v>
      </c>
      <c r="L70" s="36">
        <v>3</v>
      </c>
      <c r="M70" s="36">
        <v>3</v>
      </c>
      <c r="N70" s="36">
        <v>3</v>
      </c>
      <c r="O70" s="36">
        <v>4</v>
      </c>
      <c r="P70" s="37" t="s">
        <v>292</v>
      </c>
      <c r="Q70" s="37"/>
      <c r="R70" s="37" t="s">
        <v>473</v>
      </c>
    </row>
    <row r="71" spans="1:18" ht="27.7" hidden="1" thickBot="1" x14ac:dyDescent="0.55000000000000004">
      <c r="A71" s="36">
        <v>69</v>
      </c>
      <c r="B71" s="37" t="s">
        <v>474</v>
      </c>
      <c r="C71" s="37" t="s">
        <v>365</v>
      </c>
      <c r="D71" s="37" t="s">
        <v>338</v>
      </c>
      <c r="E71" s="37" t="s">
        <v>274</v>
      </c>
      <c r="F71" s="37" t="s">
        <v>325</v>
      </c>
      <c r="G71" s="37" t="s">
        <v>325</v>
      </c>
      <c r="H71" s="37" t="s">
        <v>325</v>
      </c>
      <c r="I71" s="37" t="s">
        <v>105</v>
      </c>
      <c r="J71" s="37" t="s">
        <v>105</v>
      </c>
      <c r="K71" s="37" t="s">
        <v>105</v>
      </c>
      <c r="L71" s="36">
        <v>3</v>
      </c>
      <c r="M71" s="36">
        <v>3</v>
      </c>
      <c r="N71" s="36">
        <v>3</v>
      </c>
      <c r="O71" s="36">
        <v>4</v>
      </c>
      <c r="P71" s="37" t="s">
        <v>292</v>
      </c>
      <c r="Q71" s="37"/>
      <c r="R71" s="37" t="s">
        <v>475</v>
      </c>
    </row>
    <row r="72" spans="1:18" ht="27.7" hidden="1" thickBot="1" x14ac:dyDescent="0.55000000000000004">
      <c r="A72" s="36">
        <v>70</v>
      </c>
      <c r="B72" s="37" t="s">
        <v>476</v>
      </c>
      <c r="C72" s="37" t="s">
        <v>477</v>
      </c>
      <c r="D72" s="37" t="s">
        <v>338</v>
      </c>
      <c r="E72" s="37" t="s">
        <v>274</v>
      </c>
      <c r="F72" s="37" t="s">
        <v>325</v>
      </c>
      <c r="G72" s="37" t="s">
        <v>325</v>
      </c>
      <c r="H72" s="37" t="s">
        <v>325</v>
      </c>
      <c r="I72" s="37" t="s">
        <v>105</v>
      </c>
      <c r="J72" s="37" t="s">
        <v>105</v>
      </c>
      <c r="K72" s="37" t="s">
        <v>105</v>
      </c>
      <c r="L72" s="36">
        <v>3</v>
      </c>
      <c r="M72" s="36">
        <v>3</v>
      </c>
      <c r="N72" s="36">
        <v>3</v>
      </c>
      <c r="O72" s="36">
        <v>4</v>
      </c>
      <c r="P72" s="37" t="s">
        <v>265</v>
      </c>
      <c r="Q72" s="37"/>
      <c r="R72" s="37" t="s">
        <v>478</v>
      </c>
    </row>
    <row r="73" spans="1:18" ht="27.7" hidden="1" thickBot="1" x14ac:dyDescent="0.55000000000000004">
      <c r="A73" s="36">
        <v>71</v>
      </c>
      <c r="B73" s="37" t="s">
        <v>479</v>
      </c>
      <c r="C73" s="37" t="s">
        <v>477</v>
      </c>
      <c r="D73" s="37" t="s">
        <v>338</v>
      </c>
      <c r="E73" s="37" t="s">
        <v>274</v>
      </c>
      <c r="F73" s="37" t="s">
        <v>325</v>
      </c>
      <c r="G73" s="37" t="s">
        <v>325</v>
      </c>
      <c r="H73" s="37" t="s">
        <v>325</v>
      </c>
      <c r="I73" s="37" t="s">
        <v>105</v>
      </c>
      <c r="J73" s="37" t="s">
        <v>105</v>
      </c>
      <c r="K73" s="37" t="s">
        <v>105</v>
      </c>
      <c r="L73" s="36">
        <v>3</v>
      </c>
      <c r="M73" s="36">
        <v>3</v>
      </c>
      <c r="N73" s="36">
        <v>3</v>
      </c>
      <c r="O73" s="36">
        <v>4</v>
      </c>
      <c r="P73" s="37" t="s">
        <v>265</v>
      </c>
      <c r="Q73" s="37"/>
      <c r="R73" s="37" t="s">
        <v>480</v>
      </c>
    </row>
    <row r="74" spans="1:18" ht="27.7" hidden="1" thickBot="1" x14ac:dyDescent="0.55000000000000004">
      <c r="A74" s="36">
        <v>72</v>
      </c>
      <c r="B74" s="37" t="s">
        <v>365</v>
      </c>
      <c r="C74" s="37" t="s">
        <v>365</v>
      </c>
      <c r="D74" s="37" t="s">
        <v>338</v>
      </c>
      <c r="E74" s="37" t="s">
        <v>274</v>
      </c>
      <c r="F74" s="37" t="s">
        <v>325</v>
      </c>
      <c r="G74" s="37" t="s">
        <v>325</v>
      </c>
      <c r="H74" s="37" t="s">
        <v>325</v>
      </c>
      <c r="I74" s="37" t="s">
        <v>105</v>
      </c>
      <c r="J74" s="37" t="s">
        <v>105</v>
      </c>
      <c r="K74" s="37" t="s">
        <v>105</v>
      </c>
      <c r="L74" s="36">
        <v>3</v>
      </c>
      <c r="M74" s="36">
        <v>3</v>
      </c>
      <c r="N74" s="36">
        <v>3</v>
      </c>
      <c r="O74" s="36">
        <v>5</v>
      </c>
      <c r="P74" s="37" t="s">
        <v>265</v>
      </c>
      <c r="Q74" s="37"/>
      <c r="R74" s="37" t="s">
        <v>481</v>
      </c>
    </row>
    <row r="75" spans="1:18" ht="27.7" hidden="1" thickBot="1" x14ac:dyDescent="0.55000000000000004">
      <c r="A75" s="36">
        <v>73</v>
      </c>
      <c r="B75" s="37" t="s">
        <v>345</v>
      </c>
      <c r="C75" s="37" t="s">
        <v>345</v>
      </c>
      <c r="D75" s="37" t="s">
        <v>338</v>
      </c>
      <c r="E75" s="37" t="s">
        <v>274</v>
      </c>
      <c r="F75" s="37" t="s">
        <v>325</v>
      </c>
      <c r="G75" s="37" t="s">
        <v>325</v>
      </c>
      <c r="H75" s="37" t="s">
        <v>325</v>
      </c>
      <c r="I75" s="37" t="s">
        <v>105</v>
      </c>
      <c r="J75" s="37" t="s">
        <v>105</v>
      </c>
      <c r="K75" s="37" t="s">
        <v>105</v>
      </c>
      <c r="L75" s="36">
        <v>4</v>
      </c>
      <c r="M75" s="36">
        <v>4</v>
      </c>
      <c r="N75" s="36">
        <v>4</v>
      </c>
      <c r="O75" s="36">
        <v>5</v>
      </c>
      <c r="P75" s="37" t="s">
        <v>265</v>
      </c>
      <c r="Q75" s="37"/>
      <c r="R75" s="37" t="s">
        <v>482</v>
      </c>
    </row>
    <row r="76" spans="1:18" ht="14.7" hidden="1" thickBot="1" x14ac:dyDescent="0.55000000000000004">
      <c r="A76" s="36">
        <v>74</v>
      </c>
      <c r="B76" s="37" t="s">
        <v>483</v>
      </c>
      <c r="C76" s="37" t="s">
        <v>484</v>
      </c>
      <c r="D76" s="37" t="s">
        <v>485</v>
      </c>
      <c r="E76" s="37" t="s">
        <v>486</v>
      </c>
      <c r="F76" s="37" t="s">
        <v>487</v>
      </c>
      <c r="G76" s="37" t="s">
        <v>488</v>
      </c>
      <c r="H76" s="37" t="s">
        <v>488</v>
      </c>
      <c r="I76" s="37" t="s">
        <v>105</v>
      </c>
      <c r="J76" s="37" t="s">
        <v>105</v>
      </c>
      <c r="K76" s="37" t="s">
        <v>105</v>
      </c>
      <c r="L76" s="36">
        <v>3</v>
      </c>
      <c r="M76" s="36">
        <v>3</v>
      </c>
      <c r="N76" s="36">
        <v>3</v>
      </c>
      <c r="O76" s="36">
        <v>4</v>
      </c>
      <c r="P76" s="37" t="s">
        <v>265</v>
      </c>
      <c r="Q76" s="37"/>
      <c r="R76" s="37" t="s">
        <v>489</v>
      </c>
    </row>
    <row r="77" spans="1:18" ht="27.7" hidden="1" thickBot="1" x14ac:dyDescent="0.55000000000000004">
      <c r="A77" s="36">
        <v>75</v>
      </c>
      <c r="B77" s="37" t="s">
        <v>490</v>
      </c>
      <c r="C77" s="37" t="s">
        <v>484</v>
      </c>
      <c r="D77" s="37" t="s">
        <v>485</v>
      </c>
      <c r="E77" s="37" t="s">
        <v>486</v>
      </c>
      <c r="F77" s="37" t="s">
        <v>487</v>
      </c>
      <c r="G77" s="37" t="s">
        <v>488</v>
      </c>
      <c r="H77" s="37" t="s">
        <v>488</v>
      </c>
      <c r="I77" s="37" t="s">
        <v>105</v>
      </c>
      <c r="J77" s="37" t="s">
        <v>105</v>
      </c>
      <c r="K77" s="37" t="s">
        <v>105</v>
      </c>
      <c r="L77" s="36">
        <v>4</v>
      </c>
      <c r="M77" s="36">
        <v>4</v>
      </c>
      <c r="N77" s="36">
        <v>4</v>
      </c>
      <c r="O77" s="36">
        <v>5</v>
      </c>
      <c r="P77" s="37" t="s">
        <v>265</v>
      </c>
      <c r="Q77" s="37"/>
      <c r="R77" s="37" t="s">
        <v>491</v>
      </c>
    </row>
    <row r="78" spans="1:18" ht="14.7" hidden="1" thickBot="1" x14ac:dyDescent="0.55000000000000004">
      <c r="A78" s="36">
        <v>76</v>
      </c>
      <c r="B78" s="37" t="s">
        <v>492</v>
      </c>
      <c r="C78" s="37" t="s">
        <v>484</v>
      </c>
      <c r="D78" s="37" t="s">
        <v>485</v>
      </c>
      <c r="E78" s="37" t="s">
        <v>486</v>
      </c>
      <c r="F78" s="37" t="s">
        <v>487</v>
      </c>
      <c r="G78" s="37" t="s">
        <v>493</v>
      </c>
      <c r="H78" s="37" t="s">
        <v>493</v>
      </c>
      <c r="I78" s="37" t="s">
        <v>105</v>
      </c>
      <c r="J78" s="37" t="s">
        <v>105</v>
      </c>
      <c r="K78" s="37" t="s">
        <v>105</v>
      </c>
      <c r="L78" s="36">
        <v>3</v>
      </c>
      <c r="M78" s="36">
        <v>3</v>
      </c>
      <c r="N78" s="36">
        <v>3</v>
      </c>
      <c r="O78" s="36">
        <v>5</v>
      </c>
      <c r="P78" s="37" t="s">
        <v>265</v>
      </c>
      <c r="Q78" s="37"/>
      <c r="R78" s="37" t="s">
        <v>494</v>
      </c>
    </row>
    <row r="79" spans="1:18" ht="14.7" hidden="1" thickBot="1" x14ac:dyDescent="0.55000000000000004">
      <c r="A79" s="36">
        <v>77</v>
      </c>
      <c r="B79" s="37" t="s">
        <v>495</v>
      </c>
      <c r="C79" s="37" t="s">
        <v>484</v>
      </c>
      <c r="D79" s="37" t="s">
        <v>485</v>
      </c>
      <c r="E79" s="37" t="s">
        <v>486</v>
      </c>
      <c r="F79" s="37" t="s">
        <v>487</v>
      </c>
      <c r="G79" s="37" t="s">
        <v>488</v>
      </c>
      <c r="H79" s="37" t="s">
        <v>488</v>
      </c>
      <c r="I79" s="37" t="s">
        <v>105</v>
      </c>
      <c r="J79" s="37" t="s">
        <v>105</v>
      </c>
      <c r="K79" s="37" t="s">
        <v>105</v>
      </c>
      <c r="L79" s="36">
        <v>3</v>
      </c>
      <c r="M79" s="36">
        <v>3</v>
      </c>
      <c r="N79" s="36">
        <v>3</v>
      </c>
      <c r="O79" s="36">
        <v>5</v>
      </c>
      <c r="P79" s="37" t="s">
        <v>292</v>
      </c>
      <c r="Q79" s="37"/>
      <c r="R79" s="37" t="s">
        <v>496</v>
      </c>
    </row>
    <row r="80" spans="1:18" ht="14.7" hidden="1" thickBot="1" x14ac:dyDescent="0.55000000000000004">
      <c r="A80" s="36">
        <v>78</v>
      </c>
      <c r="B80" s="37" t="s">
        <v>497</v>
      </c>
      <c r="C80" s="37" t="s">
        <v>484</v>
      </c>
      <c r="D80" s="37" t="s">
        <v>485</v>
      </c>
      <c r="E80" s="37" t="s">
        <v>486</v>
      </c>
      <c r="F80" s="37" t="s">
        <v>487</v>
      </c>
      <c r="G80" s="37" t="s">
        <v>493</v>
      </c>
      <c r="H80" s="37" t="s">
        <v>493</v>
      </c>
      <c r="I80" s="37" t="s">
        <v>105</v>
      </c>
      <c r="J80" s="37" t="s">
        <v>105</v>
      </c>
      <c r="K80" s="37" t="s">
        <v>105</v>
      </c>
      <c r="L80" s="36">
        <v>4</v>
      </c>
      <c r="M80" s="36">
        <v>4</v>
      </c>
      <c r="N80" s="36">
        <v>4</v>
      </c>
      <c r="O80" s="36">
        <v>7</v>
      </c>
      <c r="P80" s="37" t="s">
        <v>265</v>
      </c>
      <c r="Q80" s="37"/>
      <c r="R80" s="37" t="s">
        <v>498</v>
      </c>
    </row>
    <row r="81" spans="1:18" ht="41.35" hidden="1" thickBot="1" x14ac:dyDescent="0.55000000000000004">
      <c r="A81" s="36">
        <v>79</v>
      </c>
      <c r="B81" s="37" t="s">
        <v>499</v>
      </c>
      <c r="C81" s="37" t="s">
        <v>500</v>
      </c>
      <c r="D81" s="37" t="s">
        <v>501</v>
      </c>
      <c r="E81" s="37" t="s">
        <v>502</v>
      </c>
      <c r="F81" s="37" t="s">
        <v>503</v>
      </c>
      <c r="G81" s="37" t="s">
        <v>493</v>
      </c>
      <c r="H81" s="37" t="s">
        <v>493</v>
      </c>
      <c r="I81" s="37" t="s">
        <v>105</v>
      </c>
      <c r="J81" s="37" t="s">
        <v>105</v>
      </c>
      <c r="K81" s="37" t="s">
        <v>105</v>
      </c>
      <c r="L81" s="36">
        <v>3</v>
      </c>
      <c r="M81" s="36">
        <v>3</v>
      </c>
      <c r="N81" s="36">
        <v>3</v>
      </c>
      <c r="O81" s="36">
        <v>4</v>
      </c>
      <c r="P81" s="37" t="s">
        <v>265</v>
      </c>
      <c r="Q81" s="37"/>
      <c r="R81" s="37" t="s">
        <v>504</v>
      </c>
    </row>
    <row r="82" spans="1:18" ht="41.35" hidden="1" thickBot="1" x14ac:dyDescent="0.55000000000000004">
      <c r="A82" s="36">
        <v>80</v>
      </c>
      <c r="B82" s="37" t="s">
        <v>500</v>
      </c>
      <c r="C82" s="37" t="s">
        <v>500</v>
      </c>
      <c r="D82" s="37" t="s">
        <v>501</v>
      </c>
      <c r="E82" s="37" t="s">
        <v>502</v>
      </c>
      <c r="F82" s="37" t="s">
        <v>503</v>
      </c>
      <c r="G82" s="37" t="s">
        <v>493</v>
      </c>
      <c r="H82" s="37" t="s">
        <v>493</v>
      </c>
      <c r="I82" s="37" t="s">
        <v>105</v>
      </c>
      <c r="J82" s="37" t="s">
        <v>105</v>
      </c>
      <c r="K82" s="37" t="s">
        <v>105</v>
      </c>
      <c r="L82" s="36">
        <v>3</v>
      </c>
      <c r="M82" s="36">
        <v>3</v>
      </c>
      <c r="N82" s="36">
        <v>3</v>
      </c>
      <c r="O82" s="36">
        <v>5</v>
      </c>
      <c r="P82" s="37" t="s">
        <v>265</v>
      </c>
      <c r="Q82" s="37"/>
      <c r="R82" s="37" t="s">
        <v>505</v>
      </c>
    </row>
    <row r="83" spans="1:18" ht="41.35" hidden="1" thickBot="1" x14ac:dyDescent="0.55000000000000004">
      <c r="A83" s="36">
        <v>81</v>
      </c>
      <c r="B83" s="37" t="s">
        <v>506</v>
      </c>
      <c r="C83" s="37" t="s">
        <v>500</v>
      </c>
      <c r="D83" s="37" t="s">
        <v>501</v>
      </c>
      <c r="E83" s="37" t="s">
        <v>502</v>
      </c>
      <c r="F83" s="37" t="s">
        <v>503</v>
      </c>
      <c r="G83" s="37" t="s">
        <v>493</v>
      </c>
      <c r="H83" s="37" t="s">
        <v>493</v>
      </c>
      <c r="I83" s="37" t="s">
        <v>105</v>
      </c>
      <c r="J83" s="37" t="s">
        <v>105</v>
      </c>
      <c r="K83" s="37" t="s">
        <v>105</v>
      </c>
      <c r="L83" s="36">
        <v>3</v>
      </c>
      <c r="M83" s="36">
        <v>3</v>
      </c>
      <c r="N83" s="36">
        <v>3</v>
      </c>
      <c r="O83" s="36">
        <v>4</v>
      </c>
      <c r="P83" s="37" t="s">
        <v>265</v>
      </c>
      <c r="Q83" s="37"/>
      <c r="R83" s="37" t="s">
        <v>507</v>
      </c>
    </row>
    <row r="84" spans="1:18" ht="41.35" hidden="1" thickBot="1" x14ac:dyDescent="0.55000000000000004">
      <c r="A84" s="36">
        <v>82</v>
      </c>
      <c r="B84" s="37" t="s">
        <v>508</v>
      </c>
      <c r="C84" s="37" t="s">
        <v>500</v>
      </c>
      <c r="D84" s="37" t="s">
        <v>501</v>
      </c>
      <c r="E84" s="37" t="s">
        <v>502</v>
      </c>
      <c r="F84" s="37" t="s">
        <v>503</v>
      </c>
      <c r="G84" s="37" t="s">
        <v>493</v>
      </c>
      <c r="H84" s="37" t="s">
        <v>493</v>
      </c>
      <c r="I84" s="37" t="s">
        <v>105</v>
      </c>
      <c r="J84" s="37" t="s">
        <v>105</v>
      </c>
      <c r="K84" s="37" t="s">
        <v>105</v>
      </c>
      <c r="L84" s="36">
        <v>3</v>
      </c>
      <c r="M84" s="36">
        <v>3</v>
      </c>
      <c r="N84" s="36">
        <v>3</v>
      </c>
      <c r="O84" s="36">
        <v>4</v>
      </c>
      <c r="P84" s="37" t="s">
        <v>265</v>
      </c>
      <c r="Q84" s="37"/>
      <c r="R84" s="37" t="s">
        <v>509</v>
      </c>
    </row>
    <row r="85" spans="1:18" ht="41.35" hidden="1" thickBot="1" x14ac:dyDescent="0.55000000000000004">
      <c r="A85" s="36">
        <v>83</v>
      </c>
      <c r="B85" s="37" t="s">
        <v>510</v>
      </c>
      <c r="C85" s="37" t="s">
        <v>510</v>
      </c>
      <c r="D85" s="37" t="s">
        <v>501</v>
      </c>
      <c r="E85" s="37" t="s">
        <v>502</v>
      </c>
      <c r="F85" s="37" t="s">
        <v>503</v>
      </c>
      <c r="G85" s="37" t="s">
        <v>493</v>
      </c>
      <c r="H85" s="37" t="s">
        <v>493</v>
      </c>
      <c r="I85" s="37" t="s">
        <v>105</v>
      </c>
      <c r="J85" s="37" t="s">
        <v>105</v>
      </c>
      <c r="K85" s="37" t="s">
        <v>105</v>
      </c>
      <c r="L85" s="36">
        <v>3</v>
      </c>
      <c r="M85" s="36">
        <v>3</v>
      </c>
      <c r="N85" s="36">
        <v>4</v>
      </c>
      <c r="O85" s="36">
        <v>5</v>
      </c>
      <c r="P85" s="37" t="s">
        <v>265</v>
      </c>
      <c r="Q85" s="37"/>
      <c r="R85" s="37" t="s">
        <v>511</v>
      </c>
    </row>
    <row r="86" spans="1:18" ht="41.35" hidden="1" thickBot="1" x14ac:dyDescent="0.55000000000000004">
      <c r="A86" s="36">
        <v>84</v>
      </c>
      <c r="B86" s="37" t="s">
        <v>512</v>
      </c>
      <c r="C86" s="37" t="s">
        <v>510</v>
      </c>
      <c r="D86" s="37" t="s">
        <v>501</v>
      </c>
      <c r="E86" s="37" t="s">
        <v>502</v>
      </c>
      <c r="F86" s="37" t="s">
        <v>503</v>
      </c>
      <c r="G86" s="37" t="s">
        <v>493</v>
      </c>
      <c r="H86" s="37" t="s">
        <v>493</v>
      </c>
      <c r="I86" s="37" t="s">
        <v>105</v>
      </c>
      <c r="J86" s="37" t="s">
        <v>105</v>
      </c>
      <c r="K86" s="37" t="s">
        <v>105</v>
      </c>
      <c r="L86" s="36">
        <v>3</v>
      </c>
      <c r="M86" s="36">
        <v>3</v>
      </c>
      <c r="N86" s="36">
        <v>3</v>
      </c>
      <c r="O86" s="36">
        <v>5</v>
      </c>
      <c r="P86" s="37" t="s">
        <v>265</v>
      </c>
      <c r="Q86" s="37"/>
      <c r="R86" s="37" t="s">
        <v>513</v>
      </c>
    </row>
    <row r="87" spans="1:18" ht="41.35" hidden="1" thickBot="1" x14ac:dyDescent="0.55000000000000004">
      <c r="A87" s="36">
        <v>85</v>
      </c>
      <c r="B87" s="37" t="s">
        <v>514</v>
      </c>
      <c r="C87" s="37" t="s">
        <v>510</v>
      </c>
      <c r="D87" s="37" t="s">
        <v>501</v>
      </c>
      <c r="E87" s="37" t="s">
        <v>502</v>
      </c>
      <c r="F87" s="37" t="s">
        <v>503</v>
      </c>
      <c r="G87" s="37" t="s">
        <v>515</v>
      </c>
      <c r="H87" s="37" t="s">
        <v>515</v>
      </c>
      <c r="I87" s="37" t="s">
        <v>264</v>
      </c>
      <c r="J87" s="37" t="s">
        <v>105</v>
      </c>
      <c r="K87" s="37" t="s">
        <v>105</v>
      </c>
      <c r="L87" s="36">
        <v>3</v>
      </c>
      <c r="M87" s="36">
        <v>3</v>
      </c>
      <c r="N87" s="36">
        <v>3</v>
      </c>
      <c r="O87" s="36">
        <v>4</v>
      </c>
      <c r="P87" s="37" t="s">
        <v>265</v>
      </c>
      <c r="Q87" s="37"/>
      <c r="R87" s="37" t="s">
        <v>516</v>
      </c>
    </row>
    <row r="88" spans="1:18" ht="41.35" hidden="1" thickBot="1" x14ac:dyDescent="0.55000000000000004">
      <c r="A88" s="36">
        <v>86</v>
      </c>
      <c r="B88" s="37" t="s">
        <v>517</v>
      </c>
      <c r="C88" s="37" t="s">
        <v>518</v>
      </c>
      <c r="D88" s="37" t="s">
        <v>519</v>
      </c>
      <c r="E88" s="37" t="s">
        <v>502</v>
      </c>
      <c r="F88" s="37" t="s">
        <v>520</v>
      </c>
      <c r="G88" s="37" t="s">
        <v>515</v>
      </c>
      <c r="H88" s="37" t="s">
        <v>515</v>
      </c>
      <c r="I88" s="37" t="s">
        <v>264</v>
      </c>
      <c r="J88" s="37" t="s">
        <v>105</v>
      </c>
      <c r="K88" s="37" t="s">
        <v>105</v>
      </c>
      <c r="L88" s="36">
        <v>1</v>
      </c>
      <c r="M88" s="36">
        <v>3</v>
      </c>
      <c r="N88" s="36">
        <v>3</v>
      </c>
      <c r="O88" s="36">
        <v>4</v>
      </c>
      <c r="P88" s="37" t="s">
        <v>265</v>
      </c>
      <c r="Q88" s="37" t="s">
        <v>521</v>
      </c>
      <c r="R88" s="37" t="s">
        <v>522</v>
      </c>
    </row>
    <row r="89" spans="1:18" ht="41.35" hidden="1" thickBot="1" x14ac:dyDescent="0.55000000000000004">
      <c r="A89" s="36">
        <v>87</v>
      </c>
      <c r="B89" s="37" t="s">
        <v>523</v>
      </c>
      <c r="C89" s="37" t="s">
        <v>518</v>
      </c>
      <c r="D89" s="37" t="s">
        <v>519</v>
      </c>
      <c r="E89" s="37" t="s">
        <v>502</v>
      </c>
      <c r="F89" s="37" t="s">
        <v>520</v>
      </c>
      <c r="G89" s="37" t="s">
        <v>515</v>
      </c>
      <c r="H89" s="37" t="s">
        <v>515</v>
      </c>
      <c r="I89" s="37" t="s">
        <v>264</v>
      </c>
      <c r="J89" s="37" t="s">
        <v>105</v>
      </c>
      <c r="K89" s="37" t="s">
        <v>105</v>
      </c>
      <c r="L89" s="36">
        <v>2</v>
      </c>
      <c r="M89" s="36">
        <v>3</v>
      </c>
      <c r="N89" s="36">
        <v>3</v>
      </c>
      <c r="O89" s="36">
        <v>4</v>
      </c>
      <c r="P89" s="37" t="s">
        <v>292</v>
      </c>
      <c r="Q89" s="37" t="s">
        <v>524</v>
      </c>
      <c r="R89" s="37" t="s">
        <v>525</v>
      </c>
    </row>
    <row r="90" spans="1:18" ht="41.35" hidden="1" thickBot="1" x14ac:dyDescent="0.55000000000000004">
      <c r="A90" s="36">
        <v>88</v>
      </c>
      <c r="B90" s="37" t="s">
        <v>526</v>
      </c>
      <c r="C90" s="37" t="s">
        <v>526</v>
      </c>
      <c r="D90" s="37" t="s">
        <v>519</v>
      </c>
      <c r="E90" s="37" t="s">
        <v>502</v>
      </c>
      <c r="F90" s="37" t="s">
        <v>520</v>
      </c>
      <c r="G90" s="37" t="s">
        <v>515</v>
      </c>
      <c r="H90" s="37" t="s">
        <v>515</v>
      </c>
      <c r="I90" s="37" t="s">
        <v>264</v>
      </c>
      <c r="J90" s="37" t="s">
        <v>105</v>
      </c>
      <c r="K90" s="37" t="s">
        <v>105</v>
      </c>
      <c r="L90" s="36">
        <v>2</v>
      </c>
      <c r="M90" s="36">
        <v>3</v>
      </c>
      <c r="N90" s="36">
        <v>3</v>
      </c>
      <c r="O90" s="36">
        <v>4</v>
      </c>
      <c r="P90" s="37" t="s">
        <v>292</v>
      </c>
      <c r="Q90" s="37"/>
      <c r="R90" s="37" t="s">
        <v>527</v>
      </c>
    </row>
    <row r="91" spans="1:18" ht="41.35" hidden="1" thickBot="1" x14ac:dyDescent="0.55000000000000004">
      <c r="A91" s="36">
        <v>89</v>
      </c>
      <c r="B91" s="37" t="s">
        <v>528</v>
      </c>
      <c r="C91" s="37" t="s">
        <v>529</v>
      </c>
      <c r="D91" s="37" t="s">
        <v>530</v>
      </c>
      <c r="E91" s="37" t="s">
        <v>502</v>
      </c>
      <c r="F91" s="37" t="s">
        <v>515</v>
      </c>
      <c r="G91" s="37" t="s">
        <v>515</v>
      </c>
      <c r="H91" s="37" t="s">
        <v>515</v>
      </c>
      <c r="I91" s="37" t="s">
        <v>105</v>
      </c>
      <c r="J91" s="37" t="s">
        <v>105</v>
      </c>
      <c r="K91" s="37" t="s">
        <v>105</v>
      </c>
      <c r="L91" s="36">
        <v>3</v>
      </c>
      <c r="M91" s="36">
        <v>3</v>
      </c>
      <c r="N91" s="36">
        <v>3</v>
      </c>
      <c r="O91" s="36">
        <v>4</v>
      </c>
      <c r="P91" s="37" t="s">
        <v>292</v>
      </c>
      <c r="Q91" s="37"/>
      <c r="R91" s="37" t="s">
        <v>531</v>
      </c>
    </row>
    <row r="92" spans="1:18" ht="41.35" hidden="1" thickBot="1" x14ac:dyDescent="0.55000000000000004">
      <c r="A92" s="36">
        <v>90</v>
      </c>
      <c r="B92" s="37" t="s">
        <v>532</v>
      </c>
      <c r="C92" s="37" t="s">
        <v>533</v>
      </c>
      <c r="D92" s="37" t="s">
        <v>530</v>
      </c>
      <c r="E92" s="37" t="s">
        <v>502</v>
      </c>
      <c r="F92" s="37" t="s">
        <v>487</v>
      </c>
      <c r="G92" s="37" t="s">
        <v>515</v>
      </c>
      <c r="H92" s="37" t="s">
        <v>515</v>
      </c>
      <c r="I92" s="37" t="s">
        <v>105</v>
      </c>
      <c r="J92" s="37" t="s">
        <v>105</v>
      </c>
      <c r="K92" s="37" t="s">
        <v>105</v>
      </c>
      <c r="L92" s="36">
        <v>3</v>
      </c>
      <c r="M92" s="36">
        <v>3</v>
      </c>
      <c r="N92" s="36">
        <v>3</v>
      </c>
      <c r="O92" s="36">
        <v>4</v>
      </c>
      <c r="P92" s="37" t="s">
        <v>292</v>
      </c>
      <c r="Q92" s="37"/>
      <c r="R92" s="37" t="s">
        <v>534</v>
      </c>
    </row>
    <row r="93" spans="1:18" ht="41.35" hidden="1" thickBot="1" x14ac:dyDescent="0.55000000000000004">
      <c r="A93" s="36">
        <v>91</v>
      </c>
      <c r="B93" s="37" t="s">
        <v>535</v>
      </c>
      <c r="C93" s="37" t="s">
        <v>533</v>
      </c>
      <c r="D93" s="37" t="s">
        <v>530</v>
      </c>
      <c r="E93" s="37" t="s">
        <v>502</v>
      </c>
      <c r="F93" s="37" t="s">
        <v>487</v>
      </c>
      <c r="G93" s="37" t="s">
        <v>493</v>
      </c>
      <c r="H93" s="37" t="s">
        <v>493</v>
      </c>
      <c r="I93" s="37" t="s">
        <v>105</v>
      </c>
      <c r="J93" s="37" t="s">
        <v>105</v>
      </c>
      <c r="K93" s="37" t="s">
        <v>105</v>
      </c>
      <c r="L93" s="36">
        <v>3</v>
      </c>
      <c r="M93" s="36">
        <v>4</v>
      </c>
      <c r="N93" s="36">
        <v>4</v>
      </c>
      <c r="O93" s="36">
        <v>5</v>
      </c>
      <c r="P93" s="37" t="s">
        <v>292</v>
      </c>
      <c r="Q93" s="37"/>
      <c r="R93" s="37" t="s">
        <v>536</v>
      </c>
    </row>
    <row r="94" spans="1:18" ht="41.35" hidden="1" thickBot="1" x14ac:dyDescent="0.55000000000000004">
      <c r="A94" s="36">
        <v>92</v>
      </c>
      <c r="B94" s="37" t="s">
        <v>537</v>
      </c>
      <c r="C94" s="37" t="s">
        <v>538</v>
      </c>
      <c r="D94" s="37" t="s">
        <v>530</v>
      </c>
      <c r="E94" s="37" t="s">
        <v>502</v>
      </c>
      <c r="F94" s="37" t="s">
        <v>487</v>
      </c>
      <c r="G94" s="37" t="s">
        <v>493</v>
      </c>
      <c r="H94" s="37" t="s">
        <v>493</v>
      </c>
      <c r="I94" s="37" t="s">
        <v>105</v>
      </c>
      <c r="J94" s="37" t="s">
        <v>105</v>
      </c>
      <c r="K94" s="37" t="s">
        <v>105</v>
      </c>
      <c r="L94" s="36">
        <v>3</v>
      </c>
      <c r="M94" s="36">
        <v>3</v>
      </c>
      <c r="N94" s="36">
        <v>3</v>
      </c>
      <c r="O94" s="36">
        <v>5</v>
      </c>
      <c r="P94" s="37" t="s">
        <v>265</v>
      </c>
      <c r="Q94" s="37" t="s">
        <v>539</v>
      </c>
      <c r="R94" s="37" t="s">
        <v>540</v>
      </c>
    </row>
    <row r="95" spans="1:18" ht="14.7" hidden="1" thickBot="1" x14ac:dyDescent="0.55000000000000004">
      <c r="A95" s="36">
        <v>93</v>
      </c>
      <c r="B95" s="37" t="s">
        <v>541</v>
      </c>
      <c r="C95" s="37" t="s">
        <v>484</v>
      </c>
      <c r="D95" s="37" t="s">
        <v>485</v>
      </c>
      <c r="E95" s="37" t="s">
        <v>486</v>
      </c>
      <c r="F95" s="37" t="s">
        <v>487</v>
      </c>
      <c r="G95" s="37" t="s">
        <v>493</v>
      </c>
      <c r="H95" s="37" t="s">
        <v>493</v>
      </c>
      <c r="I95" s="37" t="s">
        <v>105</v>
      </c>
      <c r="J95" s="37" t="s">
        <v>105</v>
      </c>
      <c r="K95" s="37" t="s">
        <v>105</v>
      </c>
      <c r="L95" s="36">
        <v>4</v>
      </c>
      <c r="M95" s="36">
        <v>4</v>
      </c>
      <c r="N95" s="36">
        <v>4</v>
      </c>
      <c r="O95" s="36">
        <v>5</v>
      </c>
      <c r="P95" s="37" t="s">
        <v>265</v>
      </c>
      <c r="Q95" s="37"/>
      <c r="R95" s="37" t="s">
        <v>542</v>
      </c>
    </row>
    <row r="96" spans="1:18" ht="41.35" hidden="1" thickBot="1" x14ac:dyDescent="0.55000000000000004">
      <c r="A96" s="36">
        <v>94</v>
      </c>
      <c r="B96" s="37" t="s">
        <v>543</v>
      </c>
      <c r="C96" s="37" t="s">
        <v>538</v>
      </c>
      <c r="D96" s="37" t="s">
        <v>530</v>
      </c>
      <c r="E96" s="37" t="s">
        <v>502</v>
      </c>
      <c r="F96" s="37" t="s">
        <v>487</v>
      </c>
      <c r="G96" s="37" t="s">
        <v>488</v>
      </c>
      <c r="H96" s="37" t="s">
        <v>488</v>
      </c>
      <c r="I96" s="37" t="s">
        <v>105</v>
      </c>
      <c r="J96" s="37" t="s">
        <v>105</v>
      </c>
      <c r="K96" s="37" t="s">
        <v>105</v>
      </c>
      <c r="L96" s="36">
        <v>3</v>
      </c>
      <c r="M96" s="36">
        <v>3</v>
      </c>
      <c r="N96" s="36">
        <v>3</v>
      </c>
      <c r="O96" s="36">
        <v>5</v>
      </c>
      <c r="P96" s="37" t="s">
        <v>292</v>
      </c>
      <c r="Q96" s="37"/>
      <c r="R96" s="37" t="s">
        <v>544</v>
      </c>
    </row>
    <row r="97" spans="1:18" ht="14.7" hidden="1" thickBot="1" x14ac:dyDescent="0.55000000000000004">
      <c r="A97" s="36">
        <v>95</v>
      </c>
      <c r="B97" s="37" t="s">
        <v>545</v>
      </c>
      <c r="C97" s="37" t="s">
        <v>546</v>
      </c>
      <c r="D97" s="37" t="s">
        <v>485</v>
      </c>
      <c r="E97" s="37" t="s">
        <v>486</v>
      </c>
      <c r="F97" s="37" t="s">
        <v>487</v>
      </c>
      <c r="G97" s="37" t="s">
        <v>488</v>
      </c>
      <c r="H97" s="37" t="s">
        <v>488</v>
      </c>
      <c r="I97" s="37" t="s">
        <v>105</v>
      </c>
      <c r="J97" s="37" t="s">
        <v>105</v>
      </c>
      <c r="K97" s="37" t="s">
        <v>105</v>
      </c>
      <c r="L97" s="36">
        <v>3</v>
      </c>
      <c r="M97" s="36">
        <v>3</v>
      </c>
      <c r="N97" s="36">
        <v>3</v>
      </c>
      <c r="O97" s="36">
        <v>5</v>
      </c>
      <c r="P97" s="37" t="s">
        <v>292</v>
      </c>
      <c r="Q97" s="37"/>
      <c r="R97" s="37" t="s">
        <v>547</v>
      </c>
    </row>
    <row r="98" spans="1:18" ht="27.7" hidden="1" thickBot="1" x14ac:dyDescent="0.55000000000000004">
      <c r="A98" s="36">
        <v>96</v>
      </c>
      <c r="B98" s="37" t="s">
        <v>548</v>
      </c>
      <c r="C98" s="37" t="s">
        <v>549</v>
      </c>
      <c r="D98" s="37" t="s">
        <v>485</v>
      </c>
      <c r="E98" s="37" t="s">
        <v>486</v>
      </c>
      <c r="F98" s="37" t="s">
        <v>487</v>
      </c>
      <c r="G98" s="37" t="s">
        <v>488</v>
      </c>
      <c r="H98" s="37" t="s">
        <v>550</v>
      </c>
      <c r="I98" s="37" t="s">
        <v>105</v>
      </c>
      <c r="J98" s="37" t="s">
        <v>105</v>
      </c>
      <c r="K98" s="37" t="s">
        <v>105</v>
      </c>
      <c r="L98" s="36">
        <v>3</v>
      </c>
      <c r="M98" s="36">
        <v>3</v>
      </c>
      <c r="N98" s="36">
        <v>3</v>
      </c>
      <c r="O98" s="36">
        <v>4</v>
      </c>
      <c r="P98" s="37" t="s">
        <v>265</v>
      </c>
      <c r="Q98" s="37"/>
      <c r="R98" s="37" t="s">
        <v>551</v>
      </c>
    </row>
    <row r="99" spans="1:18" ht="27.7" hidden="1" thickBot="1" x14ac:dyDescent="0.55000000000000004">
      <c r="A99" s="36">
        <v>97</v>
      </c>
      <c r="B99" s="37" t="s">
        <v>552</v>
      </c>
      <c r="C99" s="37" t="s">
        <v>549</v>
      </c>
      <c r="D99" s="37" t="s">
        <v>485</v>
      </c>
      <c r="E99" s="37" t="s">
        <v>486</v>
      </c>
      <c r="F99" s="37" t="s">
        <v>487</v>
      </c>
      <c r="G99" s="37" t="s">
        <v>488</v>
      </c>
      <c r="H99" s="37" t="s">
        <v>550</v>
      </c>
      <c r="I99" s="37" t="s">
        <v>105</v>
      </c>
      <c r="J99" s="37" t="s">
        <v>105</v>
      </c>
      <c r="K99" s="37" t="s">
        <v>105</v>
      </c>
      <c r="L99" s="36">
        <v>3</v>
      </c>
      <c r="M99" s="36">
        <v>3</v>
      </c>
      <c r="N99" s="36">
        <v>4</v>
      </c>
      <c r="O99" s="36">
        <v>5</v>
      </c>
      <c r="P99" s="37" t="s">
        <v>265</v>
      </c>
      <c r="Q99" s="37"/>
      <c r="R99" s="37" t="s">
        <v>553</v>
      </c>
    </row>
    <row r="100" spans="1:18" ht="27.7" hidden="1" thickBot="1" x14ac:dyDescent="0.55000000000000004">
      <c r="A100" s="36">
        <v>98</v>
      </c>
      <c r="B100" s="37" t="s">
        <v>554</v>
      </c>
      <c r="C100" s="37" t="s">
        <v>549</v>
      </c>
      <c r="D100" s="37" t="s">
        <v>485</v>
      </c>
      <c r="E100" s="37" t="s">
        <v>486</v>
      </c>
      <c r="F100" s="37" t="s">
        <v>487</v>
      </c>
      <c r="G100" s="37" t="s">
        <v>488</v>
      </c>
      <c r="H100" s="37" t="s">
        <v>488</v>
      </c>
      <c r="I100" s="37" t="s">
        <v>105</v>
      </c>
      <c r="J100" s="37" t="s">
        <v>105</v>
      </c>
      <c r="K100" s="37" t="s">
        <v>105</v>
      </c>
      <c r="L100" s="36">
        <v>3</v>
      </c>
      <c r="M100" s="36">
        <v>3</v>
      </c>
      <c r="N100" s="36">
        <v>3</v>
      </c>
      <c r="O100" s="36">
        <v>4</v>
      </c>
      <c r="P100" s="37" t="s">
        <v>292</v>
      </c>
      <c r="Q100" s="37"/>
      <c r="R100" s="37" t="s">
        <v>555</v>
      </c>
    </row>
    <row r="101" spans="1:18" ht="27.7" hidden="1" thickBot="1" x14ac:dyDescent="0.55000000000000004">
      <c r="A101" s="36">
        <v>99</v>
      </c>
      <c r="B101" s="37" t="s">
        <v>556</v>
      </c>
      <c r="C101" s="37" t="s">
        <v>549</v>
      </c>
      <c r="D101" s="37" t="s">
        <v>485</v>
      </c>
      <c r="E101" s="37" t="s">
        <v>486</v>
      </c>
      <c r="F101" s="37" t="s">
        <v>487</v>
      </c>
      <c r="G101" s="37" t="s">
        <v>488</v>
      </c>
      <c r="H101" s="37" t="s">
        <v>550</v>
      </c>
      <c r="I101" s="37" t="s">
        <v>105</v>
      </c>
      <c r="J101" s="37" t="s">
        <v>105</v>
      </c>
      <c r="K101" s="37" t="s">
        <v>105</v>
      </c>
      <c r="L101" s="36">
        <v>3</v>
      </c>
      <c r="M101" s="36">
        <v>3</v>
      </c>
      <c r="N101" s="36">
        <v>4</v>
      </c>
      <c r="O101" s="36">
        <v>5</v>
      </c>
      <c r="P101" s="37" t="s">
        <v>265</v>
      </c>
      <c r="Q101" s="37"/>
      <c r="R101" s="37" t="s">
        <v>557</v>
      </c>
    </row>
    <row r="102" spans="1:18" ht="27.7" hidden="1" thickBot="1" x14ac:dyDescent="0.55000000000000004">
      <c r="A102" s="36">
        <v>100</v>
      </c>
      <c r="B102" s="37" t="s">
        <v>558</v>
      </c>
      <c r="C102" s="37" t="s">
        <v>549</v>
      </c>
      <c r="D102" s="37" t="s">
        <v>485</v>
      </c>
      <c r="E102" s="37" t="s">
        <v>486</v>
      </c>
      <c r="F102" s="37" t="s">
        <v>487</v>
      </c>
      <c r="G102" s="37" t="s">
        <v>488</v>
      </c>
      <c r="H102" s="37" t="s">
        <v>550</v>
      </c>
      <c r="I102" s="37" t="s">
        <v>105</v>
      </c>
      <c r="J102" s="37" t="s">
        <v>105</v>
      </c>
      <c r="K102" s="37" t="s">
        <v>105</v>
      </c>
      <c r="L102" s="36">
        <v>3</v>
      </c>
      <c r="M102" s="36">
        <v>3</v>
      </c>
      <c r="N102" s="36">
        <v>4</v>
      </c>
      <c r="O102" s="36">
        <v>5</v>
      </c>
      <c r="P102" s="37" t="s">
        <v>265</v>
      </c>
      <c r="Q102" s="37"/>
      <c r="R102" s="37" t="s">
        <v>559</v>
      </c>
    </row>
    <row r="103" spans="1:18" ht="27.7" hidden="1" thickBot="1" x14ac:dyDescent="0.55000000000000004">
      <c r="A103" s="36">
        <v>101</v>
      </c>
      <c r="B103" s="37" t="s">
        <v>560</v>
      </c>
      <c r="C103" s="37" t="s">
        <v>561</v>
      </c>
      <c r="D103" s="37" t="s">
        <v>562</v>
      </c>
      <c r="E103" s="37" t="s">
        <v>486</v>
      </c>
      <c r="F103" s="37" t="s">
        <v>358</v>
      </c>
      <c r="G103" s="37" t="s">
        <v>358</v>
      </c>
      <c r="H103" s="37" t="s">
        <v>358</v>
      </c>
      <c r="I103" s="37" t="s">
        <v>105</v>
      </c>
      <c r="J103" s="37" t="s">
        <v>105</v>
      </c>
      <c r="K103" s="37" t="s">
        <v>105</v>
      </c>
      <c r="L103" s="36">
        <v>3</v>
      </c>
      <c r="M103" s="36">
        <v>3</v>
      </c>
      <c r="N103" s="36">
        <v>3</v>
      </c>
      <c r="O103" s="36">
        <v>5</v>
      </c>
      <c r="P103" s="37" t="s">
        <v>265</v>
      </c>
      <c r="Q103" s="37" t="s">
        <v>563</v>
      </c>
      <c r="R103" s="37" t="s">
        <v>564</v>
      </c>
    </row>
    <row r="104" spans="1:18" ht="27.7" hidden="1" thickBot="1" x14ac:dyDescent="0.55000000000000004">
      <c r="A104" s="36">
        <v>102</v>
      </c>
      <c r="B104" s="37" t="s">
        <v>565</v>
      </c>
      <c r="C104" s="37" t="s">
        <v>565</v>
      </c>
      <c r="D104" s="37" t="s">
        <v>562</v>
      </c>
      <c r="E104" s="37" t="s">
        <v>486</v>
      </c>
      <c r="F104" s="37" t="s">
        <v>358</v>
      </c>
      <c r="G104" s="37" t="s">
        <v>358</v>
      </c>
      <c r="H104" s="37" t="s">
        <v>358</v>
      </c>
      <c r="I104" s="37" t="s">
        <v>105</v>
      </c>
      <c r="J104" s="37" t="s">
        <v>105</v>
      </c>
      <c r="K104" s="37" t="s">
        <v>105</v>
      </c>
      <c r="L104" s="36">
        <v>3</v>
      </c>
      <c r="M104" s="36">
        <v>3</v>
      </c>
      <c r="N104" s="36">
        <v>3</v>
      </c>
      <c r="O104" s="36">
        <v>4</v>
      </c>
      <c r="P104" s="37" t="s">
        <v>265</v>
      </c>
      <c r="Q104" s="37" t="s">
        <v>566</v>
      </c>
      <c r="R104" s="37" t="s">
        <v>567</v>
      </c>
    </row>
    <row r="105" spans="1:18" ht="27.7" hidden="1" thickBot="1" x14ac:dyDescent="0.55000000000000004">
      <c r="A105" s="36">
        <v>103</v>
      </c>
      <c r="B105" s="37" t="s">
        <v>568</v>
      </c>
      <c r="C105" s="37" t="s">
        <v>562</v>
      </c>
      <c r="D105" s="37" t="s">
        <v>562</v>
      </c>
      <c r="E105" s="37" t="s">
        <v>486</v>
      </c>
      <c r="F105" s="37" t="s">
        <v>358</v>
      </c>
      <c r="G105" s="37" t="s">
        <v>358</v>
      </c>
      <c r="H105" s="37" t="s">
        <v>358</v>
      </c>
      <c r="I105" s="37" t="s">
        <v>105</v>
      </c>
      <c r="J105" s="37" t="s">
        <v>105</v>
      </c>
      <c r="K105" s="37" t="s">
        <v>105</v>
      </c>
      <c r="L105" s="36">
        <v>2</v>
      </c>
      <c r="M105" s="36">
        <v>2</v>
      </c>
      <c r="N105" s="36">
        <v>2</v>
      </c>
      <c r="O105" s="36">
        <v>3</v>
      </c>
      <c r="P105" s="37" t="s">
        <v>265</v>
      </c>
      <c r="Q105" s="37"/>
      <c r="R105" s="37" t="s">
        <v>569</v>
      </c>
    </row>
    <row r="106" spans="1:18" ht="27.7" hidden="1" thickBot="1" x14ac:dyDescent="0.55000000000000004">
      <c r="A106" s="36">
        <v>104</v>
      </c>
      <c r="B106" s="37" t="s">
        <v>570</v>
      </c>
      <c r="C106" s="37" t="s">
        <v>562</v>
      </c>
      <c r="D106" s="37" t="s">
        <v>562</v>
      </c>
      <c r="E106" s="37" t="s">
        <v>486</v>
      </c>
      <c r="F106" s="37" t="s">
        <v>358</v>
      </c>
      <c r="G106" s="37" t="s">
        <v>358</v>
      </c>
      <c r="H106" s="37" t="s">
        <v>358</v>
      </c>
      <c r="I106" s="37" t="s">
        <v>105</v>
      </c>
      <c r="J106" s="37" t="s">
        <v>105</v>
      </c>
      <c r="K106" s="37" t="s">
        <v>105</v>
      </c>
      <c r="L106" s="36">
        <v>3</v>
      </c>
      <c r="M106" s="36">
        <v>3</v>
      </c>
      <c r="N106" s="36">
        <v>3</v>
      </c>
      <c r="O106" s="36">
        <v>4</v>
      </c>
      <c r="P106" s="37" t="s">
        <v>265</v>
      </c>
      <c r="Q106" s="37" t="s">
        <v>571</v>
      </c>
      <c r="R106" s="37" t="s">
        <v>572</v>
      </c>
    </row>
    <row r="107" spans="1:18" ht="27.7" hidden="1" thickBot="1" x14ac:dyDescent="0.55000000000000004">
      <c r="A107" s="36">
        <v>105</v>
      </c>
      <c r="B107" s="37" t="s">
        <v>573</v>
      </c>
      <c r="C107" s="37" t="s">
        <v>562</v>
      </c>
      <c r="D107" s="37" t="s">
        <v>562</v>
      </c>
      <c r="E107" s="37" t="s">
        <v>486</v>
      </c>
      <c r="F107" s="37" t="s">
        <v>358</v>
      </c>
      <c r="G107" s="37" t="s">
        <v>358</v>
      </c>
      <c r="H107" s="37" t="s">
        <v>358</v>
      </c>
      <c r="I107" s="37" t="s">
        <v>105</v>
      </c>
      <c r="J107" s="37" t="s">
        <v>105</v>
      </c>
      <c r="K107" s="37" t="s">
        <v>105</v>
      </c>
      <c r="L107" s="36">
        <v>3</v>
      </c>
      <c r="M107" s="36">
        <v>3</v>
      </c>
      <c r="N107" s="36">
        <v>3</v>
      </c>
      <c r="O107" s="36">
        <v>4</v>
      </c>
      <c r="P107" s="37" t="s">
        <v>265</v>
      </c>
      <c r="Q107" s="37" t="s">
        <v>574</v>
      </c>
      <c r="R107" s="37" t="s">
        <v>575</v>
      </c>
    </row>
    <row r="108" spans="1:18" ht="27.7" hidden="1" thickBot="1" x14ac:dyDescent="0.55000000000000004">
      <c r="A108" s="36">
        <v>106</v>
      </c>
      <c r="B108" s="37" t="s">
        <v>576</v>
      </c>
      <c r="C108" s="37" t="s">
        <v>561</v>
      </c>
      <c r="D108" s="37" t="s">
        <v>562</v>
      </c>
      <c r="E108" s="37" t="s">
        <v>486</v>
      </c>
      <c r="F108" s="37" t="s">
        <v>358</v>
      </c>
      <c r="G108" s="37" t="s">
        <v>358</v>
      </c>
      <c r="H108" s="37" t="s">
        <v>358</v>
      </c>
      <c r="I108" s="37" t="s">
        <v>105</v>
      </c>
      <c r="J108" s="37" t="s">
        <v>105</v>
      </c>
      <c r="K108" s="37" t="s">
        <v>105</v>
      </c>
      <c r="L108" s="36">
        <v>3</v>
      </c>
      <c r="M108" s="36">
        <v>3</v>
      </c>
      <c r="N108" s="36">
        <v>3</v>
      </c>
      <c r="O108" s="36">
        <v>5</v>
      </c>
      <c r="P108" s="37" t="s">
        <v>265</v>
      </c>
      <c r="Q108" s="37" t="s">
        <v>577</v>
      </c>
      <c r="R108" s="37" t="s">
        <v>578</v>
      </c>
    </row>
    <row r="109" spans="1:18" ht="14.7" hidden="1" thickBot="1" x14ac:dyDescent="0.55000000000000004">
      <c r="A109" s="36">
        <v>107</v>
      </c>
      <c r="B109" s="37" t="s">
        <v>579</v>
      </c>
      <c r="C109" s="37" t="s">
        <v>579</v>
      </c>
      <c r="D109" s="37" t="s">
        <v>485</v>
      </c>
      <c r="E109" s="37" t="s">
        <v>486</v>
      </c>
      <c r="F109" s="37" t="s">
        <v>487</v>
      </c>
      <c r="G109" s="37" t="s">
        <v>488</v>
      </c>
      <c r="H109" s="37" t="s">
        <v>488</v>
      </c>
      <c r="I109" s="37" t="s">
        <v>105</v>
      </c>
      <c r="J109" s="37" t="s">
        <v>105</v>
      </c>
      <c r="K109" s="37" t="s">
        <v>105</v>
      </c>
      <c r="L109" s="36">
        <v>3</v>
      </c>
      <c r="M109" s="36">
        <v>3</v>
      </c>
      <c r="N109" s="36">
        <v>3</v>
      </c>
      <c r="O109" s="36">
        <v>5</v>
      </c>
      <c r="P109" s="37" t="s">
        <v>292</v>
      </c>
      <c r="Q109" s="37"/>
      <c r="R109" s="37" t="s">
        <v>580</v>
      </c>
    </row>
    <row r="110" spans="1:18" ht="14.7" hidden="1" thickBot="1" x14ac:dyDescent="0.55000000000000004">
      <c r="A110" s="36">
        <v>108</v>
      </c>
      <c r="B110" s="37" t="s">
        <v>581</v>
      </c>
      <c r="C110" s="37" t="s">
        <v>579</v>
      </c>
      <c r="D110" s="37" t="s">
        <v>485</v>
      </c>
      <c r="E110" s="37" t="s">
        <v>486</v>
      </c>
      <c r="F110" s="37" t="s">
        <v>487</v>
      </c>
      <c r="G110" s="37" t="s">
        <v>488</v>
      </c>
      <c r="H110" s="37" t="s">
        <v>488</v>
      </c>
      <c r="I110" s="37" t="s">
        <v>105</v>
      </c>
      <c r="J110" s="37" t="s">
        <v>105</v>
      </c>
      <c r="K110" s="37" t="s">
        <v>105</v>
      </c>
      <c r="L110" s="36">
        <v>4</v>
      </c>
      <c r="M110" s="36">
        <v>4</v>
      </c>
      <c r="N110" s="36">
        <v>4</v>
      </c>
      <c r="O110" s="36">
        <v>5</v>
      </c>
      <c r="P110" s="37" t="s">
        <v>292</v>
      </c>
      <c r="Q110" s="37"/>
      <c r="R110" s="37" t="s">
        <v>582</v>
      </c>
    </row>
    <row r="111" spans="1:18" ht="27.7" hidden="1" thickBot="1" x14ac:dyDescent="0.55000000000000004">
      <c r="A111" s="36">
        <v>109</v>
      </c>
      <c r="B111" s="37" t="s">
        <v>583</v>
      </c>
      <c r="C111" s="37" t="s">
        <v>579</v>
      </c>
      <c r="D111" s="37" t="s">
        <v>485</v>
      </c>
      <c r="E111" s="37" t="s">
        <v>486</v>
      </c>
      <c r="F111" s="37" t="s">
        <v>487</v>
      </c>
      <c r="G111" s="37" t="s">
        <v>488</v>
      </c>
      <c r="H111" s="37" t="s">
        <v>488</v>
      </c>
      <c r="I111" s="37" t="s">
        <v>105</v>
      </c>
      <c r="J111" s="37" t="s">
        <v>105</v>
      </c>
      <c r="K111" s="37" t="s">
        <v>105</v>
      </c>
      <c r="L111" s="36">
        <v>3</v>
      </c>
      <c r="M111" s="36">
        <v>3</v>
      </c>
      <c r="N111" s="36">
        <v>3</v>
      </c>
      <c r="O111" s="36">
        <v>5</v>
      </c>
      <c r="P111" s="37" t="s">
        <v>292</v>
      </c>
      <c r="Q111" s="37"/>
      <c r="R111" s="37" t="s">
        <v>584</v>
      </c>
    </row>
    <row r="112" spans="1:18" ht="14.7" hidden="1" thickBot="1" x14ac:dyDescent="0.55000000000000004">
      <c r="A112" s="36">
        <v>110</v>
      </c>
      <c r="B112" s="37" t="s">
        <v>585</v>
      </c>
      <c r="C112" s="37" t="s">
        <v>585</v>
      </c>
      <c r="D112" s="37" t="s">
        <v>485</v>
      </c>
      <c r="E112" s="37" t="s">
        <v>486</v>
      </c>
      <c r="F112" s="37" t="s">
        <v>487</v>
      </c>
      <c r="G112" s="37" t="s">
        <v>488</v>
      </c>
      <c r="H112" s="37" t="s">
        <v>488</v>
      </c>
      <c r="I112" s="37" t="s">
        <v>105</v>
      </c>
      <c r="J112" s="37" t="s">
        <v>105</v>
      </c>
      <c r="K112" s="37" t="s">
        <v>105</v>
      </c>
      <c r="L112" s="36">
        <v>3</v>
      </c>
      <c r="M112" s="36">
        <v>3</v>
      </c>
      <c r="N112" s="36">
        <v>3</v>
      </c>
      <c r="O112" s="36">
        <v>4</v>
      </c>
      <c r="P112" s="37" t="s">
        <v>292</v>
      </c>
      <c r="Q112" s="37"/>
      <c r="R112" s="37" t="s">
        <v>586</v>
      </c>
    </row>
    <row r="113" spans="1:18" ht="27.7" hidden="1" thickBot="1" x14ac:dyDescent="0.55000000000000004">
      <c r="A113" s="36">
        <v>111</v>
      </c>
      <c r="B113" s="37" t="s">
        <v>587</v>
      </c>
      <c r="C113" s="37" t="s">
        <v>585</v>
      </c>
      <c r="D113" s="37" t="s">
        <v>485</v>
      </c>
      <c r="E113" s="37" t="s">
        <v>486</v>
      </c>
      <c r="F113" s="37" t="s">
        <v>487</v>
      </c>
      <c r="G113" s="37" t="s">
        <v>488</v>
      </c>
      <c r="H113" s="37" t="s">
        <v>488</v>
      </c>
      <c r="I113" s="37" t="s">
        <v>105</v>
      </c>
      <c r="J113" s="37" t="s">
        <v>105</v>
      </c>
      <c r="K113" s="37" t="s">
        <v>105</v>
      </c>
      <c r="L113" s="36">
        <v>3</v>
      </c>
      <c r="M113" s="36">
        <v>3</v>
      </c>
      <c r="N113" s="36">
        <v>3</v>
      </c>
      <c r="O113" s="36">
        <v>4</v>
      </c>
      <c r="P113" s="37" t="s">
        <v>292</v>
      </c>
      <c r="Q113" s="37"/>
      <c r="R113" s="37" t="s">
        <v>588</v>
      </c>
    </row>
    <row r="114" spans="1:18" ht="27.7" hidden="1" thickBot="1" x14ac:dyDescent="0.55000000000000004">
      <c r="A114" s="36">
        <v>112</v>
      </c>
      <c r="B114" s="37" t="s">
        <v>589</v>
      </c>
      <c r="C114" s="37" t="s">
        <v>589</v>
      </c>
      <c r="D114" s="37" t="s">
        <v>485</v>
      </c>
      <c r="E114" s="37" t="s">
        <v>486</v>
      </c>
      <c r="F114" s="37" t="s">
        <v>487</v>
      </c>
      <c r="G114" s="37" t="s">
        <v>488</v>
      </c>
      <c r="H114" s="37" t="s">
        <v>488</v>
      </c>
      <c r="I114" s="37" t="s">
        <v>105</v>
      </c>
      <c r="J114" s="37" t="s">
        <v>105</v>
      </c>
      <c r="K114" s="37" t="s">
        <v>105</v>
      </c>
      <c r="L114" s="36">
        <v>6</v>
      </c>
      <c r="M114" s="36">
        <v>6</v>
      </c>
      <c r="N114" s="36">
        <v>6</v>
      </c>
      <c r="O114" s="36">
        <v>7</v>
      </c>
      <c r="P114" s="37" t="s">
        <v>292</v>
      </c>
      <c r="Q114" s="37"/>
      <c r="R114" s="37" t="s">
        <v>590</v>
      </c>
    </row>
    <row r="115" spans="1:18" ht="27.7" hidden="1" thickBot="1" x14ac:dyDescent="0.55000000000000004">
      <c r="A115" s="36">
        <v>113</v>
      </c>
      <c r="B115" s="37" t="s">
        <v>591</v>
      </c>
      <c r="C115" s="37" t="s">
        <v>546</v>
      </c>
      <c r="D115" s="37" t="s">
        <v>485</v>
      </c>
      <c r="E115" s="37" t="s">
        <v>486</v>
      </c>
      <c r="F115" s="37" t="s">
        <v>487</v>
      </c>
      <c r="G115" s="37" t="s">
        <v>488</v>
      </c>
      <c r="H115" s="37" t="s">
        <v>488</v>
      </c>
      <c r="I115" s="37" t="s">
        <v>105</v>
      </c>
      <c r="J115" s="37" t="s">
        <v>105</v>
      </c>
      <c r="K115" s="37" t="s">
        <v>105</v>
      </c>
      <c r="L115" s="36">
        <v>3</v>
      </c>
      <c r="M115" s="36">
        <v>3</v>
      </c>
      <c r="N115" s="36">
        <v>3</v>
      </c>
      <c r="O115" s="36">
        <v>5</v>
      </c>
      <c r="P115" s="37" t="s">
        <v>292</v>
      </c>
      <c r="Q115" s="37"/>
      <c r="R115" s="37" t="s">
        <v>592</v>
      </c>
    </row>
    <row r="116" spans="1:18" ht="27.7" hidden="1" thickBot="1" x14ac:dyDescent="0.55000000000000004">
      <c r="A116" s="36">
        <v>114</v>
      </c>
      <c r="B116" s="37" t="s">
        <v>593</v>
      </c>
      <c r="C116" s="37" t="s">
        <v>594</v>
      </c>
      <c r="D116" s="37" t="s">
        <v>485</v>
      </c>
      <c r="E116" s="37" t="s">
        <v>486</v>
      </c>
      <c r="F116" s="37" t="s">
        <v>487</v>
      </c>
      <c r="G116" s="37" t="s">
        <v>488</v>
      </c>
      <c r="H116" s="37" t="s">
        <v>488</v>
      </c>
      <c r="I116" s="37" t="s">
        <v>105</v>
      </c>
      <c r="J116" s="37" t="s">
        <v>105</v>
      </c>
      <c r="K116" s="37" t="s">
        <v>105</v>
      </c>
      <c r="L116" s="36">
        <v>4</v>
      </c>
      <c r="M116" s="36">
        <v>4</v>
      </c>
      <c r="N116" s="36">
        <v>4</v>
      </c>
      <c r="O116" s="36">
        <v>5</v>
      </c>
      <c r="P116" s="37" t="s">
        <v>292</v>
      </c>
      <c r="Q116" s="37"/>
      <c r="R116" s="37" t="s">
        <v>595</v>
      </c>
    </row>
    <row r="117" spans="1:18" ht="41.35" hidden="1" thickBot="1" x14ac:dyDescent="0.55000000000000004">
      <c r="A117" s="36">
        <v>115</v>
      </c>
      <c r="B117" s="37" t="s">
        <v>596</v>
      </c>
      <c r="C117" s="37" t="s">
        <v>533</v>
      </c>
      <c r="D117" s="37" t="s">
        <v>530</v>
      </c>
      <c r="E117" s="37" t="s">
        <v>502</v>
      </c>
      <c r="F117" s="37" t="s">
        <v>487</v>
      </c>
      <c r="G117" s="37" t="s">
        <v>488</v>
      </c>
      <c r="H117" s="37" t="s">
        <v>515</v>
      </c>
      <c r="I117" s="37" t="s">
        <v>105</v>
      </c>
      <c r="J117" s="37" t="s">
        <v>105</v>
      </c>
      <c r="K117" s="37" t="s">
        <v>105</v>
      </c>
      <c r="L117" s="36">
        <v>4</v>
      </c>
      <c r="M117" s="36">
        <v>4</v>
      </c>
      <c r="N117" s="36">
        <v>4</v>
      </c>
      <c r="O117" s="36">
        <v>4</v>
      </c>
      <c r="P117" s="37" t="s">
        <v>292</v>
      </c>
      <c r="Q117" s="37"/>
      <c r="R117" s="37" t="s">
        <v>597</v>
      </c>
    </row>
    <row r="118" spans="1:18" ht="41.35" hidden="1" thickBot="1" x14ac:dyDescent="0.55000000000000004">
      <c r="A118" s="36">
        <v>116</v>
      </c>
      <c r="B118" s="37" t="s">
        <v>598</v>
      </c>
      <c r="C118" s="37" t="s">
        <v>533</v>
      </c>
      <c r="D118" s="37" t="s">
        <v>530</v>
      </c>
      <c r="E118" s="37" t="s">
        <v>502</v>
      </c>
      <c r="F118" s="37" t="s">
        <v>487</v>
      </c>
      <c r="G118" s="37" t="s">
        <v>488</v>
      </c>
      <c r="H118" s="37" t="s">
        <v>488</v>
      </c>
      <c r="I118" s="37" t="s">
        <v>105</v>
      </c>
      <c r="J118" s="37" t="s">
        <v>105</v>
      </c>
      <c r="K118" s="37" t="s">
        <v>105</v>
      </c>
      <c r="L118" s="36">
        <v>3</v>
      </c>
      <c r="M118" s="36">
        <v>3</v>
      </c>
      <c r="N118" s="36">
        <v>3</v>
      </c>
      <c r="O118" s="36">
        <v>4</v>
      </c>
      <c r="P118" s="37" t="s">
        <v>292</v>
      </c>
      <c r="Q118" s="37"/>
      <c r="R118" s="37" t="s">
        <v>599</v>
      </c>
    </row>
    <row r="119" spans="1:18" ht="41.35" hidden="1" thickBot="1" x14ac:dyDescent="0.55000000000000004">
      <c r="A119" s="36">
        <v>117</v>
      </c>
      <c r="B119" s="37" t="s">
        <v>538</v>
      </c>
      <c r="C119" s="37" t="s">
        <v>538</v>
      </c>
      <c r="D119" s="37" t="s">
        <v>530</v>
      </c>
      <c r="E119" s="37" t="s">
        <v>502</v>
      </c>
      <c r="F119" s="37" t="s">
        <v>487</v>
      </c>
      <c r="G119" s="37" t="s">
        <v>493</v>
      </c>
      <c r="H119" s="37" t="s">
        <v>493</v>
      </c>
      <c r="I119" s="37" t="s">
        <v>105</v>
      </c>
      <c r="J119" s="37" t="s">
        <v>105</v>
      </c>
      <c r="K119" s="37" t="s">
        <v>105</v>
      </c>
      <c r="L119" s="36">
        <v>4</v>
      </c>
      <c r="M119" s="36">
        <v>4</v>
      </c>
      <c r="N119" s="36">
        <v>4</v>
      </c>
      <c r="O119" s="36">
        <v>6</v>
      </c>
      <c r="P119" s="37" t="s">
        <v>292</v>
      </c>
      <c r="Q119" s="37"/>
      <c r="R119" s="37" t="s">
        <v>600</v>
      </c>
    </row>
    <row r="120" spans="1:18" ht="41.35" hidden="1" thickBot="1" x14ac:dyDescent="0.55000000000000004">
      <c r="A120" s="36">
        <v>118</v>
      </c>
      <c r="B120" s="37" t="s">
        <v>601</v>
      </c>
      <c r="C120" s="37" t="s">
        <v>601</v>
      </c>
      <c r="D120" s="37" t="s">
        <v>530</v>
      </c>
      <c r="E120" s="37" t="s">
        <v>502</v>
      </c>
      <c r="F120" s="37" t="s">
        <v>487</v>
      </c>
      <c r="G120" s="37" t="s">
        <v>515</v>
      </c>
      <c r="H120" s="37" t="s">
        <v>515</v>
      </c>
      <c r="I120" s="37" t="s">
        <v>105</v>
      </c>
      <c r="J120" s="37" t="s">
        <v>105</v>
      </c>
      <c r="K120" s="37" t="s">
        <v>105</v>
      </c>
      <c r="L120" s="36">
        <v>3</v>
      </c>
      <c r="M120" s="36">
        <v>3</v>
      </c>
      <c r="N120" s="36">
        <v>3</v>
      </c>
      <c r="O120" s="36">
        <v>4</v>
      </c>
      <c r="P120" s="37" t="s">
        <v>292</v>
      </c>
      <c r="Q120" s="37"/>
      <c r="R120" s="37" t="s">
        <v>602</v>
      </c>
    </row>
    <row r="121" spans="1:18" ht="41.35" hidden="1" thickBot="1" x14ac:dyDescent="0.55000000000000004">
      <c r="A121" s="36">
        <v>119</v>
      </c>
      <c r="B121" s="37" t="s">
        <v>529</v>
      </c>
      <c r="C121" s="37" t="s">
        <v>529</v>
      </c>
      <c r="D121" s="37" t="s">
        <v>530</v>
      </c>
      <c r="E121" s="37" t="s">
        <v>502</v>
      </c>
      <c r="F121" s="37" t="s">
        <v>515</v>
      </c>
      <c r="G121" s="37" t="s">
        <v>515</v>
      </c>
      <c r="H121" s="37" t="s">
        <v>515</v>
      </c>
      <c r="I121" s="37" t="s">
        <v>105</v>
      </c>
      <c r="J121" s="37" t="s">
        <v>105</v>
      </c>
      <c r="K121" s="37" t="s">
        <v>105</v>
      </c>
      <c r="L121" s="36">
        <v>4</v>
      </c>
      <c r="M121" s="36">
        <v>4</v>
      </c>
      <c r="N121" s="36">
        <v>4</v>
      </c>
      <c r="O121" s="36">
        <v>5</v>
      </c>
      <c r="P121" s="37" t="s">
        <v>292</v>
      </c>
      <c r="Q121" s="37" t="s">
        <v>603</v>
      </c>
      <c r="R121" s="37" t="s">
        <v>604</v>
      </c>
    </row>
    <row r="122" spans="1:18" ht="41.35" hidden="1" thickBot="1" x14ac:dyDescent="0.55000000000000004">
      <c r="A122" s="36">
        <v>120</v>
      </c>
      <c r="B122" s="37" t="s">
        <v>605</v>
      </c>
      <c r="C122" s="37" t="s">
        <v>526</v>
      </c>
      <c r="D122" s="37" t="s">
        <v>519</v>
      </c>
      <c r="E122" s="37" t="s">
        <v>502</v>
      </c>
      <c r="F122" s="37" t="s">
        <v>520</v>
      </c>
      <c r="G122" s="37" t="s">
        <v>515</v>
      </c>
      <c r="H122" s="37" t="s">
        <v>515</v>
      </c>
      <c r="I122" s="37" t="s">
        <v>264</v>
      </c>
      <c r="J122" s="37" t="s">
        <v>105</v>
      </c>
      <c r="K122" s="37" t="s">
        <v>105</v>
      </c>
      <c r="L122" s="36">
        <v>2</v>
      </c>
      <c r="M122" s="36">
        <v>3</v>
      </c>
      <c r="N122" s="36">
        <v>3</v>
      </c>
      <c r="O122" s="36">
        <v>5</v>
      </c>
      <c r="P122" s="37" t="s">
        <v>292</v>
      </c>
      <c r="Q122" s="37"/>
      <c r="R122" s="37" t="s">
        <v>606</v>
      </c>
    </row>
    <row r="123" spans="1:18" ht="41.35" hidden="1" thickBot="1" x14ac:dyDescent="0.55000000000000004">
      <c r="A123" s="36">
        <v>121</v>
      </c>
      <c r="B123" s="37" t="s">
        <v>607</v>
      </c>
      <c r="C123" s="37" t="s">
        <v>608</v>
      </c>
      <c r="D123" s="37" t="s">
        <v>519</v>
      </c>
      <c r="E123" s="37" t="s">
        <v>502</v>
      </c>
      <c r="F123" s="37" t="s">
        <v>515</v>
      </c>
      <c r="G123" s="37" t="s">
        <v>515</v>
      </c>
      <c r="H123" s="37" t="s">
        <v>515</v>
      </c>
      <c r="I123" s="37" t="s">
        <v>105</v>
      </c>
      <c r="J123" s="37" t="s">
        <v>105</v>
      </c>
      <c r="K123" s="37" t="s">
        <v>105</v>
      </c>
      <c r="L123" s="36">
        <v>3</v>
      </c>
      <c r="M123" s="36">
        <v>3</v>
      </c>
      <c r="N123" s="36">
        <v>3</v>
      </c>
      <c r="O123" s="36">
        <v>5</v>
      </c>
      <c r="P123" s="37" t="s">
        <v>292</v>
      </c>
      <c r="Q123" s="37"/>
      <c r="R123" s="37" t="s">
        <v>609</v>
      </c>
    </row>
    <row r="124" spans="1:18" ht="41.35" hidden="1" thickBot="1" x14ac:dyDescent="0.55000000000000004">
      <c r="A124" s="36">
        <v>122</v>
      </c>
      <c r="B124" s="37" t="s">
        <v>610</v>
      </c>
      <c r="C124" s="37" t="s">
        <v>611</v>
      </c>
      <c r="D124" s="37" t="s">
        <v>519</v>
      </c>
      <c r="E124" s="37" t="s">
        <v>502</v>
      </c>
      <c r="F124" s="37" t="s">
        <v>515</v>
      </c>
      <c r="G124" s="37" t="s">
        <v>515</v>
      </c>
      <c r="H124" s="37" t="s">
        <v>515</v>
      </c>
      <c r="I124" s="37" t="s">
        <v>105</v>
      </c>
      <c r="J124" s="37" t="s">
        <v>105</v>
      </c>
      <c r="K124" s="37" t="s">
        <v>105</v>
      </c>
      <c r="L124" s="36">
        <v>3</v>
      </c>
      <c r="M124" s="36">
        <v>3</v>
      </c>
      <c r="N124" s="36">
        <v>3</v>
      </c>
      <c r="O124" s="36">
        <v>5</v>
      </c>
      <c r="P124" s="37" t="s">
        <v>292</v>
      </c>
      <c r="Q124" s="37"/>
      <c r="R124" s="37" t="s">
        <v>612</v>
      </c>
    </row>
    <row r="125" spans="1:18" ht="41.35" hidden="1" thickBot="1" x14ac:dyDescent="0.55000000000000004">
      <c r="A125" s="36">
        <v>123</v>
      </c>
      <c r="B125" s="37" t="s">
        <v>613</v>
      </c>
      <c r="C125" s="37" t="s">
        <v>614</v>
      </c>
      <c r="D125" s="37" t="s">
        <v>519</v>
      </c>
      <c r="E125" s="37" t="s">
        <v>502</v>
      </c>
      <c r="F125" s="37" t="s">
        <v>487</v>
      </c>
      <c r="G125" s="37" t="s">
        <v>515</v>
      </c>
      <c r="H125" s="37" t="s">
        <v>515</v>
      </c>
      <c r="I125" s="37" t="s">
        <v>105</v>
      </c>
      <c r="J125" s="37" t="s">
        <v>105</v>
      </c>
      <c r="K125" s="37" t="s">
        <v>105</v>
      </c>
      <c r="L125" s="36">
        <v>3</v>
      </c>
      <c r="M125" s="36">
        <v>3</v>
      </c>
      <c r="N125" s="36">
        <v>3</v>
      </c>
      <c r="O125" s="36">
        <v>5</v>
      </c>
      <c r="P125" s="37" t="s">
        <v>292</v>
      </c>
      <c r="Q125" s="37"/>
      <c r="R125" s="37" t="s">
        <v>615</v>
      </c>
    </row>
    <row r="126" spans="1:18" ht="41.35" hidden="1" thickBot="1" x14ac:dyDescent="0.55000000000000004">
      <c r="A126" s="36">
        <v>124</v>
      </c>
      <c r="B126" s="37" t="s">
        <v>616</v>
      </c>
      <c r="C126" s="37" t="s">
        <v>614</v>
      </c>
      <c r="D126" s="37" t="s">
        <v>530</v>
      </c>
      <c r="E126" s="37" t="s">
        <v>502</v>
      </c>
      <c r="F126" s="37" t="s">
        <v>515</v>
      </c>
      <c r="G126" s="37" t="s">
        <v>515</v>
      </c>
      <c r="H126" s="37" t="s">
        <v>515</v>
      </c>
      <c r="I126" s="37" t="s">
        <v>105</v>
      </c>
      <c r="J126" s="37" t="s">
        <v>105</v>
      </c>
      <c r="K126" s="37" t="s">
        <v>105</v>
      </c>
      <c r="L126" s="36">
        <v>4</v>
      </c>
      <c r="M126" s="36">
        <v>4</v>
      </c>
      <c r="N126" s="36">
        <v>4</v>
      </c>
      <c r="O126" s="36">
        <v>5</v>
      </c>
      <c r="P126" s="37" t="s">
        <v>292</v>
      </c>
      <c r="Q126" s="37"/>
      <c r="R126" s="37" t="s">
        <v>617</v>
      </c>
    </row>
    <row r="127" spans="1:18" ht="41.35" hidden="1" thickBot="1" x14ac:dyDescent="0.55000000000000004">
      <c r="A127" s="36">
        <v>125</v>
      </c>
      <c r="B127" s="37" t="s">
        <v>618</v>
      </c>
      <c r="C127" s="37" t="s">
        <v>618</v>
      </c>
      <c r="D127" s="37" t="s">
        <v>519</v>
      </c>
      <c r="E127" s="37" t="s">
        <v>502</v>
      </c>
      <c r="F127" s="37" t="s">
        <v>515</v>
      </c>
      <c r="G127" s="37" t="s">
        <v>515</v>
      </c>
      <c r="H127" s="37" t="s">
        <v>515</v>
      </c>
      <c r="I127" s="37" t="s">
        <v>105</v>
      </c>
      <c r="J127" s="37" t="s">
        <v>105</v>
      </c>
      <c r="K127" s="37" t="s">
        <v>105</v>
      </c>
      <c r="L127" s="36">
        <v>4</v>
      </c>
      <c r="M127" s="36">
        <v>4</v>
      </c>
      <c r="N127" s="36">
        <v>4</v>
      </c>
      <c r="O127" s="36">
        <v>5</v>
      </c>
      <c r="P127" s="37" t="s">
        <v>292</v>
      </c>
      <c r="Q127" s="37"/>
      <c r="R127" s="37" t="s">
        <v>619</v>
      </c>
    </row>
    <row r="128" spans="1:18" ht="41.35" hidden="1" thickBot="1" x14ac:dyDescent="0.55000000000000004">
      <c r="A128" s="36">
        <v>126</v>
      </c>
      <c r="B128" s="37" t="s">
        <v>620</v>
      </c>
      <c r="C128" s="37" t="s">
        <v>621</v>
      </c>
      <c r="D128" s="37" t="s">
        <v>519</v>
      </c>
      <c r="E128" s="37" t="s">
        <v>502</v>
      </c>
      <c r="F128" s="37" t="s">
        <v>487</v>
      </c>
      <c r="G128" s="37" t="s">
        <v>515</v>
      </c>
      <c r="H128" s="37" t="s">
        <v>515</v>
      </c>
      <c r="I128" s="37" t="s">
        <v>105</v>
      </c>
      <c r="J128" s="37" t="s">
        <v>105</v>
      </c>
      <c r="K128" s="37" t="s">
        <v>105</v>
      </c>
      <c r="L128" s="36">
        <v>3</v>
      </c>
      <c r="M128" s="36">
        <v>3</v>
      </c>
      <c r="N128" s="36">
        <v>3</v>
      </c>
      <c r="O128" s="36">
        <v>4</v>
      </c>
      <c r="P128" s="37" t="s">
        <v>292</v>
      </c>
      <c r="Q128" s="37"/>
      <c r="R128" s="37" t="s">
        <v>622</v>
      </c>
    </row>
    <row r="129" spans="1:18" ht="41.35" hidden="1" thickBot="1" x14ac:dyDescent="0.55000000000000004">
      <c r="A129" s="36">
        <v>127</v>
      </c>
      <c r="B129" s="37" t="s">
        <v>623</v>
      </c>
      <c r="C129" s="37" t="s">
        <v>624</v>
      </c>
      <c r="D129" s="37" t="s">
        <v>530</v>
      </c>
      <c r="E129" s="37" t="s">
        <v>502</v>
      </c>
      <c r="F129" s="37" t="s">
        <v>487</v>
      </c>
      <c r="G129" s="37" t="s">
        <v>515</v>
      </c>
      <c r="H129" s="37" t="s">
        <v>515</v>
      </c>
      <c r="I129" s="37" t="s">
        <v>105</v>
      </c>
      <c r="J129" s="37" t="s">
        <v>105</v>
      </c>
      <c r="K129" s="37" t="s">
        <v>105</v>
      </c>
      <c r="L129" s="36">
        <v>3</v>
      </c>
      <c r="M129" s="36">
        <v>3</v>
      </c>
      <c r="N129" s="36">
        <v>3</v>
      </c>
      <c r="O129" s="36">
        <v>5</v>
      </c>
      <c r="P129" s="37" t="s">
        <v>292</v>
      </c>
      <c r="Q129" s="37"/>
      <c r="R129" s="37" t="s">
        <v>625</v>
      </c>
    </row>
    <row r="130" spans="1:18" ht="41.35" hidden="1" thickBot="1" x14ac:dyDescent="0.55000000000000004">
      <c r="A130" s="36">
        <v>128</v>
      </c>
      <c r="B130" s="37" t="s">
        <v>626</v>
      </c>
      <c r="C130" s="37" t="s">
        <v>601</v>
      </c>
      <c r="D130" s="37" t="s">
        <v>530</v>
      </c>
      <c r="E130" s="37" t="s">
        <v>502</v>
      </c>
      <c r="F130" s="37" t="s">
        <v>487</v>
      </c>
      <c r="G130" s="37" t="s">
        <v>515</v>
      </c>
      <c r="H130" s="37" t="s">
        <v>515</v>
      </c>
      <c r="I130" s="37" t="s">
        <v>105</v>
      </c>
      <c r="J130" s="37" t="s">
        <v>105</v>
      </c>
      <c r="K130" s="37" t="s">
        <v>105</v>
      </c>
      <c r="L130" s="36">
        <v>3</v>
      </c>
      <c r="M130" s="36">
        <v>3</v>
      </c>
      <c r="N130" s="36">
        <v>3</v>
      </c>
      <c r="O130" s="36">
        <v>4</v>
      </c>
      <c r="P130" s="37" t="s">
        <v>292</v>
      </c>
      <c r="Q130" s="37"/>
      <c r="R130" s="37" t="s">
        <v>627</v>
      </c>
    </row>
    <row r="131" spans="1:18" ht="41.35" hidden="1" thickBot="1" x14ac:dyDescent="0.55000000000000004">
      <c r="A131" s="36">
        <v>129</v>
      </c>
      <c r="B131" s="37" t="s">
        <v>628</v>
      </c>
      <c r="C131" s="37" t="s">
        <v>624</v>
      </c>
      <c r="D131" s="37" t="s">
        <v>530</v>
      </c>
      <c r="E131" s="37" t="s">
        <v>502</v>
      </c>
      <c r="F131" s="37" t="s">
        <v>487</v>
      </c>
      <c r="G131" s="37" t="s">
        <v>488</v>
      </c>
      <c r="H131" s="37" t="s">
        <v>488</v>
      </c>
      <c r="I131" s="37" t="s">
        <v>105</v>
      </c>
      <c r="J131" s="37" t="s">
        <v>105</v>
      </c>
      <c r="K131" s="37" t="s">
        <v>105</v>
      </c>
      <c r="L131" s="36">
        <v>3</v>
      </c>
      <c r="M131" s="36">
        <v>3</v>
      </c>
      <c r="N131" s="36">
        <v>3</v>
      </c>
      <c r="O131" s="36">
        <v>5</v>
      </c>
      <c r="P131" s="37" t="s">
        <v>292</v>
      </c>
      <c r="Q131" s="37"/>
      <c r="R131" s="37" t="s">
        <v>629</v>
      </c>
    </row>
    <row r="132" spans="1:18" ht="27.7" hidden="1" thickBot="1" x14ac:dyDescent="0.55000000000000004">
      <c r="A132" s="36">
        <v>130</v>
      </c>
      <c r="B132" s="37" t="s">
        <v>630</v>
      </c>
      <c r="C132" s="37" t="s">
        <v>594</v>
      </c>
      <c r="D132" s="37" t="s">
        <v>485</v>
      </c>
      <c r="E132" s="37" t="s">
        <v>486</v>
      </c>
      <c r="F132" s="37" t="s">
        <v>487</v>
      </c>
      <c r="G132" s="37" t="s">
        <v>488</v>
      </c>
      <c r="H132" s="37" t="s">
        <v>488</v>
      </c>
      <c r="I132" s="37" t="s">
        <v>105</v>
      </c>
      <c r="J132" s="37" t="s">
        <v>105</v>
      </c>
      <c r="K132" s="37" t="s">
        <v>105</v>
      </c>
      <c r="L132" s="36">
        <v>4</v>
      </c>
      <c r="M132" s="36">
        <v>4</v>
      </c>
      <c r="N132" s="36">
        <v>4</v>
      </c>
      <c r="O132" s="36">
        <v>5</v>
      </c>
      <c r="P132" s="37" t="s">
        <v>292</v>
      </c>
      <c r="Q132" s="37"/>
      <c r="R132" s="37" t="s">
        <v>631</v>
      </c>
    </row>
    <row r="133" spans="1:18" ht="14.7" hidden="1" thickBot="1" x14ac:dyDescent="0.55000000000000004">
      <c r="A133" s="36">
        <v>131</v>
      </c>
      <c r="B133" s="37" t="s">
        <v>632</v>
      </c>
      <c r="C133" s="37" t="s">
        <v>589</v>
      </c>
      <c r="D133" s="37" t="s">
        <v>485</v>
      </c>
      <c r="E133" s="37" t="s">
        <v>486</v>
      </c>
      <c r="F133" s="37" t="s">
        <v>487</v>
      </c>
      <c r="G133" s="37" t="s">
        <v>488</v>
      </c>
      <c r="H133" s="37" t="s">
        <v>488</v>
      </c>
      <c r="I133" s="37" t="s">
        <v>105</v>
      </c>
      <c r="J133" s="37" t="s">
        <v>105</v>
      </c>
      <c r="K133" s="37" t="s">
        <v>105</v>
      </c>
      <c r="L133" s="36">
        <v>3</v>
      </c>
      <c r="M133" s="36">
        <v>3</v>
      </c>
      <c r="N133" s="36">
        <v>3</v>
      </c>
      <c r="O133" s="36">
        <v>4</v>
      </c>
      <c r="P133" s="37" t="s">
        <v>292</v>
      </c>
      <c r="Q133" s="37"/>
      <c r="R133" s="37" t="s">
        <v>633</v>
      </c>
    </row>
    <row r="134" spans="1:18" ht="27.7" hidden="1" thickBot="1" x14ac:dyDescent="0.55000000000000004">
      <c r="A134" s="36">
        <v>132</v>
      </c>
      <c r="B134" s="37" t="s">
        <v>634</v>
      </c>
      <c r="C134" s="37" t="s">
        <v>635</v>
      </c>
      <c r="D134" s="37" t="s">
        <v>485</v>
      </c>
      <c r="E134" s="37" t="s">
        <v>486</v>
      </c>
      <c r="F134" s="37" t="s">
        <v>487</v>
      </c>
      <c r="G134" s="37" t="s">
        <v>488</v>
      </c>
      <c r="H134" s="37" t="s">
        <v>488</v>
      </c>
      <c r="I134" s="37" t="s">
        <v>105</v>
      </c>
      <c r="J134" s="37" t="s">
        <v>105</v>
      </c>
      <c r="K134" s="37" t="s">
        <v>105</v>
      </c>
      <c r="L134" s="36">
        <v>3</v>
      </c>
      <c r="M134" s="36">
        <v>3</v>
      </c>
      <c r="N134" s="36">
        <v>3</v>
      </c>
      <c r="O134" s="36">
        <v>5</v>
      </c>
      <c r="P134" s="37" t="s">
        <v>292</v>
      </c>
      <c r="Q134" s="37"/>
      <c r="R134" s="37" t="s">
        <v>636</v>
      </c>
    </row>
    <row r="135" spans="1:18" ht="41.35" hidden="1" thickBot="1" x14ac:dyDescent="0.55000000000000004">
      <c r="A135" s="36">
        <v>133</v>
      </c>
      <c r="B135" s="37" t="s">
        <v>637</v>
      </c>
      <c r="C135" s="37" t="s">
        <v>624</v>
      </c>
      <c r="D135" s="37" t="s">
        <v>530</v>
      </c>
      <c r="E135" s="37" t="s">
        <v>502</v>
      </c>
      <c r="F135" s="37" t="s">
        <v>487</v>
      </c>
      <c r="G135" s="37" t="s">
        <v>488</v>
      </c>
      <c r="H135" s="37" t="s">
        <v>488</v>
      </c>
      <c r="I135" s="37" t="s">
        <v>105</v>
      </c>
      <c r="J135" s="37" t="s">
        <v>105</v>
      </c>
      <c r="K135" s="37" t="s">
        <v>105</v>
      </c>
      <c r="L135" s="36">
        <v>3</v>
      </c>
      <c r="M135" s="36">
        <v>3</v>
      </c>
      <c r="N135" s="36">
        <v>3</v>
      </c>
      <c r="O135" s="36">
        <v>4</v>
      </c>
      <c r="P135" s="37" t="s">
        <v>292</v>
      </c>
      <c r="Q135" s="37"/>
      <c r="R135" s="37" t="s">
        <v>638</v>
      </c>
    </row>
    <row r="136" spans="1:18" ht="41.35" hidden="1" thickBot="1" x14ac:dyDescent="0.55000000000000004">
      <c r="A136" s="36">
        <v>134</v>
      </c>
      <c r="B136" s="37" t="s">
        <v>639</v>
      </c>
      <c r="C136" s="37" t="s">
        <v>621</v>
      </c>
      <c r="D136" s="37" t="s">
        <v>519</v>
      </c>
      <c r="E136" s="37" t="s">
        <v>502</v>
      </c>
      <c r="F136" s="37" t="s">
        <v>487</v>
      </c>
      <c r="G136" s="37" t="s">
        <v>515</v>
      </c>
      <c r="H136" s="37" t="s">
        <v>515</v>
      </c>
      <c r="I136" s="37" t="s">
        <v>105</v>
      </c>
      <c r="J136" s="37" t="s">
        <v>105</v>
      </c>
      <c r="K136" s="37" t="s">
        <v>105</v>
      </c>
      <c r="L136" s="36">
        <v>3</v>
      </c>
      <c r="M136" s="36">
        <v>3</v>
      </c>
      <c r="N136" s="36">
        <v>3</v>
      </c>
      <c r="O136" s="36">
        <v>4</v>
      </c>
      <c r="P136" s="37" t="s">
        <v>292</v>
      </c>
      <c r="Q136" s="37"/>
      <c r="R136" s="37" t="s">
        <v>640</v>
      </c>
    </row>
    <row r="137" spans="1:18" ht="27.7" hidden="1" thickBot="1" x14ac:dyDescent="0.55000000000000004">
      <c r="A137" s="36">
        <v>135</v>
      </c>
      <c r="B137" s="37" t="s">
        <v>641</v>
      </c>
      <c r="C137" s="37" t="s">
        <v>642</v>
      </c>
      <c r="D137" s="37" t="s">
        <v>635</v>
      </c>
      <c r="E137" s="37" t="s">
        <v>486</v>
      </c>
      <c r="F137" s="37" t="s">
        <v>487</v>
      </c>
      <c r="G137" s="37" t="s">
        <v>488</v>
      </c>
      <c r="H137" s="37" t="s">
        <v>488</v>
      </c>
      <c r="I137" s="37" t="s">
        <v>105</v>
      </c>
      <c r="J137" s="37" t="s">
        <v>105</v>
      </c>
      <c r="K137" s="37" t="s">
        <v>105</v>
      </c>
      <c r="L137" s="36">
        <v>3</v>
      </c>
      <c r="M137" s="36">
        <v>3</v>
      </c>
      <c r="N137" s="36">
        <v>3</v>
      </c>
      <c r="O137" s="36">
        <v>5</v>
      </c>
      <c r="P137" s="37" t="s">
        <v>292</v>
      </c>
      <c r="Q137" s="37"/>
      <c r="R137" s="37" t="s">
        <v>643</v>
      </c>
    </row>
    <row r="138" spans="1:18" ht="14.7" hidden="1" thickBot="1" x14ac:dyDescent="0.55000000000000004">
      <c r="A138" s="36">
        <v>136</v>
      </c>
      <c r="B138" s="37" t="s">
        <v>644</v>
      </c>
      <c r="C138" s="37" t="s">
        <v>635</v>
      </c>
      <c r="D138" s="37" t="s">
        <v>485</v>
      </c>
      <c r="E138" s="37" t="s">
        <v>486</v>
      </c>
      <c r="F138" s="37" t="s">
        <v>487</v>
      </c>
      <c r="G138" s="37" t="s">
        <v>488</v>
      </c>
      <c r="H138" s="37" t="s">
        <v>488</v>
      </c>
      <c r="I138" s="37" t="s">
        <v>105</v>
      </c>
      <c r="J138" s="37" t="s">
        <v>105</v>
      </c>
      <c r="K138" s="37" t="s">
        <v>105</v>
      </c>
      <c r="L138" s="36">
        <v>3</v>
      </c>
      <c r="M138" s="36">
        <v>3</v>
      </c>
      <c r="N138" s="36">
        <v>3</v>
      </c>
      <c r="O138" s="36">
        <v>6</v>
      </c>
      <c r="P138" s="37" t="s">
        <v>292</v>
      </c>
      <c r="Q138" s="37"/>
      <c r="R138" s="37" t="s">
        <v>645</v>
      </c>
    </row>
    <row r="139" spans="1:18" ht="14.7" hidden="1" thickBot="1" x14ac:dyDescent="0.55000000000000004">
      <c r="A139" s="36">
        <v>137</v>
      </c>
      <c r="B139" s="37" t="s">
        <v>646</v>
      </c>
      <c r="C139" s="37" t="s">
        <v>635</v>
      </c>
      <c r="D139" s="37" t="s">
        <v>485</v>
      </c>
      <c r="E139" s="37" t="s">
        <v>486</v>
      </c>
      <c r="F139" s="37" t="s">
        <v>487</v>
      </c>
      <c r="G139" s="37" t="s">
        <v>488</v>
      </c>
      <c r="H139" s="37" t="s">
        <v>488</v>
      </c>
      <c r="I139" s="37" t="s">
        <v>105</v>
      </c>
      <c r="J139" s="37" t="s">
        <v>105</v>
      </c>
      <c r="K139" s="37" t="s">
        <v>105</v>
      </c>
      <c r="L139" s="36">
        <v>3</v>
      </c>
      <c r="M139" s="36">
        <v>3</v>
      </c>
      <c r="N139" s="36">
        <v>3</v>
      </c>
      <c r="O139" s="36">
        <v>4</v>
      </c>
      <c r="P139" s="37" t="s">
        <v>292</v>
      </c>
      <c r="Q139" s="37"/>
      <c r="R139" s="37" t="s">
        <v>647</v>
      </c>
    </row>
    <row r="140" spans="1:18" ht="14.7" hidden="1" thickBot="1" x14ac:dyDescent="0.55000000000000004">
      <c r="A140" s="36">
        <v>138</v>
      </c>
      <c r="B140" s="37" t="s">
        <v>648</v>
      </c>
      <c r="C140" s="37" t="s">
        <v>589</v>
      </c>
      <c r="D140" s="37" t="s">
        <v>485</v>
      </c>
      <c r="E140" s="37" t="s">
        <v>486</v>
      </c>
      <c r="F140" s="37" t="s">
        <v>487</v>
      </c>
      <c r="G140" s="37" t="s">
        <v>488</v>
      </c>
      <c r="H140" s="37" t="s">
        <v>488</v>
      </c>
      <c r="I140" s="37" t="s">
        <v>105</v>
      </c>
      <c r="J140" s="37" t="s">
        <v>105</v>
      </c>
      <c r="K140" s="37" t="s">
        <v>105</v>
      </c>
      <c r="L140" s="36">
        <v>3</v>
      </c>
      <c r="M140" s="36">
        <v>3</v>
      </c>
      <c r="N140" s="36">
        <v>3</v>
      </c>
      <c r="O140" s="36">
        <v>5</v>
      </c>
      <c r="P140" s="37" t="s">
        <v>292</v>
      </c>
      <c r="Q140" s="37"/>
      <c r="R140" s="37" t="s">
        <v>649</v>
      </c>
    </row>
    <row r="141" spans="1:18" ht="27.7" hidden="1" thickBot="1" x14ac:dyDescent="0.55000000000000004">
      <c r="A141" s="36">
        <v>139</v>
      </c>
      <c r="B141" s="37" t="s">
        <v>650</v>
      </c>
      <c r="C141" s="37" t="s">
        <v>651</v>
      </c>
      <c r="D141" s="37" t="s">
        <v>485</v>
      </c>
      <c r="E141" s="37" t="s">
        <v>486</v>
      </c>
      <c r="F141" s="37" t="s">
        <v>487</v>
      </c>
      <c r="G141" s="37" t="s">
        <v>488</v>
      </c>
      <c r="H141" s="37" t="s">
        <v>488</v>
      </c>
      <c r="I141" s="37" t="s">
        <v>105</v>
      </c>
      <c r="J141" s="37" t="s">
        <v>105</v>
      </c>
      <c r="K141" s="37" t="s">
        <v>105</v>
      </c>
      <c r="L141" s="36">
        <v>3</v>
      </c>
      <c r="M141" s="36">
        <v>3</v>
      </c>
      <c r="N141" s="36">
        <v>3</v>
      </c>
      <c r="O141" s="36">
        <v>5</v>
      </c>
      <c r="P141" s="37" t="s">
        <v>292</v>
      </c>
      <c r="Q141" s="37"/>
      <c r="R141" s="37" t="s">
        <v>652</v>
      </c>
    </row>
    <row r="142" spans="1:18" ht="27.7" hidden="1" thickBot="1" x14ac:dyDescent="0.55000000000000004">
      <c r="A142" s="36">
        <v>140</v>
      </c>
      <c r="B142" s="37" t="s">
        <v>653</v>
      </c>
      <c r="C142" s="37" t="s">
        <v>651</v>
      </c>
      <c r="D142" s="37" t="s">
        <v>485</v>
      </c>
      <c r="E142" s="37" t="s">
        <v>486</v>
      </c>
      <c r="F142" s="37" t="s">
        <v>487</v>
      </c>
      <c r="G142" s="37" t="s">
        <v>488</v>
      </c>
      <c r="H142" s="37" t="s">
        <v>488</v>
      </c>
      <c r="I142" s="37" t="s">
        <v>105</v>
      </c>
      <c r="J142" s="37" t="s">
        <v>105</v>
      </c>
      <c r="K142" s="37" t="s">
        <v>105</v>
      </c>
      <c r="L142" s="36">
        <v>3</v>
      </c>
      <c r="M142" s="36">
        <v>3</v>
      </c>
      <c r="N142" s="36">
        <v>3</v>
      </c>
      <c r="O142" s="36">
        <v>4</v>
      </c>
      <c r="P142" s="37" t="s">
        <v>292</v>
      </c>
      <c r="Q142" s="37"/>
      <c r="R142" s="37" t="s">
        <v>654</v>
      </c>
    </row>
    <row r="143" spans="1:18" ht="14.7" hidden="1" thickBot="1" x14ac:dyDescent="0.55000000000000004">
      <c r="A143" s="36">
        <v>141</v>
      </c>
      <c r="B143" s="37" t="s">
        <v>655</v>
      </c>
      <c r="C143" s="37" t="s">
        <v>656</v>
      </c>
      <c r="D143" s="37" t="s">
        <v>657</v>
      </c>
      <c r="E143" s="37" t="s">
        <v>486</v>
      </c>
      <c r="F143" s="37" t="s">
        <v>658</v>
      </c>
      <c r="G143" s="37" t="s">
        <v>658</v>
      </c>
      <c r="H143" s="37" t="s">
        <v>658</v>
      </c>
      <c r="I143" s="37" t="s">
        <v>105</v>
      </c>
      <c r="J143" s="37" t="s">
        <v>105</v>
      </c>
      <c r="K143" s="37" t="s">
        <v>105</v>
      </c>
      <c r="L143" s="36">
        <v>3</v>
      </c>
      <c r="M143" s="36">
        <v>3</v>
      </c>
      <c r="N143" s="36">
        <v>3</v>
      </c>
      <c r="O143" s="36">
        <v>5</v>
      </c>
      <c r="P143" s="37" t="s">
        <v>292</v>
      </c>
      <c r="Q143" s="37"/>
      <c r="R143" s="37" t="s">
        <v>659</v>
      </c>
    </row>
    <row r="144" spans="1:18" ht="27.7" hidden="1" thickBot="1" x14ac:dyDescent="0.55000000000000004">
      <c r="A144" s="36">
        <v>142</v>
      </c>
      <c r="B144" s="37" t="s">
        <v>660</v>
      </c>
      <c r="C144" s="37" t="s">
        <v>656</v>
      </c>
      <c r="D144" s="37" t="s">
        <v>657</v>
      </c>
      <c r="E144" s="37" t="s">
        <v>486</v>
      </c>
      <c r="F144" s="37" t="s">
        <v>487</v>
      </c>
      <c r="G144" s="37" t="s">
        <v>488</v>
      </c>
      <c r="H144" s="37" t="s">
        <v>488</v>
      </c>
      <c r="I144" s="37" t="s">
        <v>105</v>
      </c>
      <c r="J144" s="37" t="s">
        <v>105</v>
      </c>
      <c r="K144" s="37" t="s">
        <v>105</v>
      </c>
      <c r="L144" s="36">
        <v>3</v>
      </c>
      <c r="M144" s="36">
        <v>3</v>
      </c>
      <c r="N144" s="36">
        <v>3</v>
      </c>
      <c r="O144" s="36">
        <v>5</v>
      </c>
      <c r="P144" s="37" t="s">
        <v>265</v>
      </c>
      <c r="Q144" s="37"/>
      <c r="R144" s="37" t="s">
        <v>661</v>
      </c>
    </row>
    <row r="145" spans="1:18" ht="27.7" hidden="1" thickBot="1" x14ac:dyDescent="0.55000000000000004">
      <c r="A145" s="36">
        <v>143</v>
      </c>
      <c r="B145" s="37" t="s">
        <v>662</v>
      </c>
      <c r="C145" s="37" t="s">
        <v>656</v>
      </c>
      <c r="D145" s="37" t="s">
        <v>657</v>
      </c>
      <c r="E145" s="37" t="s">
        <v>486</v>
      </c>
      <c r="F145" s="37" t="s">
        <v>658</v>
      </c>
      <c r="G145" s="37" t="s">
        <v>658</v>
      </c>
      <c r="H145" s="37" t="s">
        <v>658</v>
      </c>
      <c r="I145" s="37" t="s">
        <v>105</v>
      </c>
      <c r="J145" s="37" t="s">
        <v>105</v>
      </c>
      <c r="K145" s="37" t="s">
        <v>105</v>
      </c>
      <c r="L145" s="36">
        <v>3</v>
      </c>
      <c r="M145" s="36">
        <v>3</v>
      </c>
      <c r="N145" s="36">
        <v>3</v>
      </c>
      <c r="O145" s="36">
        <v>5</v>
      </c>
      <c r="P145" s="37" t="s">
        <v>265</v>
      </c>
      <c r="Q145" s="37"/>
      <c r="R145" s="37" t="s">
        <v>663</v>
      </c>
    </row>
    <row r="146" spans="1:18" ht="27.7" hidden="1" thickBot="1" x14ac:dyDescent="0.55000000000000004">
      <c r="A146" s="36">
        <v>144</v>
      </c>
      <c r="B146" s="37" t="s">
        <v>664</v>
      </c>
      <c r="C146" s="37" t="s">
        <v>656</v>
      </c>
      <c r="D146" s="37" t="s">
        <v>657</v>
      </c>
      <c r="E146" s="37" t="s">
        <v>486</v>
      </c>
      <c r="F146" s="37" t="s">
        <v>658</v>
      </c>
      <c r="G146" s="37" t="s">
        <v>658</v>
      </c>
      <c r="H146" s="37" t="s">
        <v>658</v>
      </c>
      <c r="I146" s="37" t="s">
        <v>105</v>
      </c>
      <c r="J146" s="37" t="s">
        <v>105</v>
      </c>
      <c r="K146" s="37" t="s">
        <v>105</v>
      </c>
      <c r="L146" s="36">
        <v>3</v>
      </c>
      <c r="M146" s="36">
        <v>3</v>
      </c>
      <c r="N146" s="36">
        <v>3</v>
      </c>
      <c r="O146" s="36">
        <v>4</v>
      </c>
      <c r="P146" s="37" t="s">
        <v>292</v>
      </c>
      <c r="Q146" s="37"/>
      <c r="R146" s="37" t="s">
        <v>665</v>
      </c>
    </row>
    <row r="147" spans="1:18" ht="27.7" hidden="1" thickBot="1" x14ac:dyDescent="0.55000000000000004">
      <c r="A147" s="36">
        <v>145</v>
      </c>
      <c r="B147" s="37" t="s">
        <v>666</v>
      </c>
      <c r="C147" s="37" t="s">
        <v>667</v>
      </c>
      <c r="D147" s="37" t="s">
        <v>657</v>
      </c>
      <c r="E147" s="37" t="s">
        <v>486</v>
      </c>
      <c r="F147" s="37" t="s">
        <v>658</v>
      </c>
      <c r="G147" s="37" t="s">
        <v>658</v>
      </c>
      <c r="H147" s="37" t="s">
        <v>658</v>
      </c>
      <c r="I147" s="37" t="s">
        <v>105</v>
      </c>
      <c r="J147" s="37" t="s">
        <v>105</v>
      </c>
      <c r="K147" s="37" t="s">
        <v>105</v>
      </c>
      <c r="L147" s="36">
        <v>3</v>
      </c>
      <c r="M147" s="36">
        <v>3</v>
      </c>
      <c r="N147" s="36">
        <v>3</v>
      </c>
      <c r="O147" s="36">
        <v>3</v>
      </c>
      <c r="P147" s="37" t="s">
        <v>292</v>
      </c>
      <c r="Q147" s="37"/>
      <c r="R147" s="37" t="s">
        <v>668</v>
      </c>
    </row>
    <row r="148" spans="1:18" ht="27.7" hidden="1" thickBot="1" x14ac:dyDescent="0.55000000000000004">
      <c r="A148" s="36">
        <v>146</v>
      </c>
      <c r="B148" s="37" t="s">
        <v>667</v>
      </c>
      <c r="C148" s="37" t="s">
        <v>667</v>
      </c>
      <c r="D148" s="37" t="s">
        <v>657</v>
      </c>
      <c r="E148" s="37" t="s">
        <v>486</v>
      </c>
      <c r="F148" s="37" t="s">
        <v>487</v>
      </c>
      <c r="G148" s="37" t="s">
        <v>488</v>
      </c>
      <c r="H148" s="37" t="s">
        <v>488</v>
      </c>
      <c r="I148" s="37" t="s">
        <v>105</v>
      </c>
      <c r="J148" s="37" t="s">
        <v>105</v>
      </c>
      <c r="K148" s="37" t="s">
        <v>105</v>
      </c>
      <c r="L148" s="36">
        <v>3</v>
      </c>
      <c r="M148" s="36">
        <v>3</v>
      </c>
      <c r="N148" s="36">
        <v>3</v>
      </c>
      <c r="O148" s="36">
        <v>5</v>
      </c>
      <c r="P148" s="37" t="s">
        <v>292</v>
      </c>
      <c r="Q148" s="37"/>
      <c r="R148" s="37" t="s">
        <v>669</v>
      </c>
    </row>
    <row r="149" spans="1:18" ht="27.7" hidden="1" thickBot="1" x14ac:dyDescent="0.55000000000000004">
      <c r="A149" s="36">
        <v>147</v>
      </c>
      <c r="B149" s="37" t="s">
        <v>670</v>
      </c>
      <c r="C149" s="37" t="s">
        <v>667</v>
      </c>
      <c r="D149" s="37" t="s">
        <v>657</v>
      </c>
      <c r="E149" s="37" t="s">
        <v>486</v>
      </c>
      <c r="F149" s="37" t="s">
        <v>658</v>
      </c>
      <c r="G149" s="37" t="s">
        <v>658</v>
      </c>
      <c r="H149" s="37" t="s">
        <v>658</v>
      </c>
      <c r="I149" s="37" t="s">
        <v>105</v>
      </c>
      <c r="J149" s="37" t="s">
        <v>105</v>
      </c>
      <c r="K149" s="37" t="s">
        <v>105</v>
      </c>
      <c r="L149" s="36">
        <v>4</v>
      </c>
      <c r="M149" s="36">
        <v>4</v>
      </c>
      <c r="N149" s="36">
        <v>4</v>
      </c>
      <c r="O149" s="36">
        <v>5</v>
      </c>
      <c r="P149" s="37" t="s">
        <v>292</v>
      </c>
      <c r="Q149" s="37"/>
      <c r="R149" s="37" t="s">
        <v>671</v>
      </c>
    </row>
    <row r="150" spans="1:18" ht="27.7" hidden="1" thickBot="1" x14ac:dyDescent="0.55000000000000004">
      <c r="A150" s="36">
        <v>148</v>
      </c>
      <c r="B150" s="37" t="s">
        <v>672</v>
      </c>
      <c r="C150" s="37" t="s">
        <v>657</v>
      </c>
      <c r="D150" s="37" t="s">
        <v>657</v>
      </c>
      <c r="E150" s="37" t="s">
        <v>486</v>
      </c>
      <c r="F150" s="37" t="s">
        <v>658</v>
      </c>
      <c r="G150" s="37" t="s">
        <v>658</v>
      </c>
      <c r="H150" s="37" t="s">
        <v>658</v>
      </c>
      <c r="I150" s="37" t="s">
        <v>105</v>
      </c>
      <c r="J150" s="37" t="s">
        <v>105</v>
      </c>
      <c r="K150" s="37" t="s">
        <v>105</v>
      </c>
      <c r="L150" s="36">
        <v>3</v>
      </c>
      <c r="M150" s="36">
        <v>3</v>
      </c>
      <c r="N150" s="36">
        <v>3</v>
      </c>
      <c r="O150" s="36">
        <v>5</v>
      </c>
      <c r="P150" s="37" t="s">
        <v>292</v>
      </c>
      <c r="Q150" s="37"/>
      <c r="R150" s="37" t="s">
        <v>673</v>
      </c>
    </row>
    <row r="151" spans="1:18" ht="27.7" hidden="1" thickBot="1" x14ac:dyDescent="0.55000000000000004">
      <c r="A151" s="36">
        <v>149</v>
      </c>
      <c r="B151" s="37" t="s">
        <v>674</v>
      </c>
      <c r="C151" s="37" t="s">
        <v>657</v>
      </c>
      <c r="D151" s="37" t="s">
        <v>657</v>
      </c>
      <c r="E151" s="37" t="s">
        <v>486</v>
      </c>
      <c r="F151" s="37" t="s">
        <v>675</v>
      </c>
      <c r="G151" s="37" t="s">
        <v>675</v>
      </c>
      <c r="H151" s="37" t="s">
        <v>658</v>
      </c>
      <c r="I151" s="37" t="s">
        <v>105</v>
      </c>
      <c r="J151" s="37" t="s">
        <v>105</v>
      </c>
      <c r="K151" s="37" t="s">
        <v>105</v>
      </c>
      <c r="L151" s="36">
        <v>3</v>
      </c>
      <c r="M151" s="36">
        <v>3</v>
      </c>
      <c r="N151" s="36">
        <v>4</v>
      </c>
      <c r="O151" s="36">
        <v>6</v>
      </c>
      <c r="P151" s="37" t="s">
        <v>265</v>
      </c>
      <c r="Q151" s="37"/>
      <c r="R151" s="37" t="s">
        <v>676</v>
      </c>
    </row>
    <row r="152" spans="1:18" ht="27.7" hidden="1" thickBot="1" x14ac:dyDescent="0.55000000000000004">
      <c r="A152" s="36">
        <v>150</v>
      </c>
      <c r="B152" s="37" t="s">
        <v>677</v>
      </c>
      <c r="C152" s="37" t="s">
        <v>678</v>
      </c>
      <c r="D152" s="37" t="s">
        <v>657</v>
      </c>
      <c r="E152" s="37" t="s">
        <v>486</v>
      </c>
      <c r="F152" s="37" t="s">
        <v>675</v>
      </c>
      <c r="G152" s="37" t="s">
        <v>675</v>
      </c>
      <c r="H152" s="37" t="s">
        <v>675</v>
      </c>
      <c r="I152" s="37" t="s">
        <v>105</v>
      </c>
      <c r="J152" s="37" t="s">
        <v>105</v>
      </c>
      <c r="K152" s="37" t="s">
        <v>105</v>
      </c>
      <c r="L152" s="36">
        <v>3</v>
      </c>
      <c r="M152" s="36">
        <v>3</v>
      </c>
      <c r="N152" s="36">
        <v>3</v>
      </c>
      <c r="O152" s="36">
        <v>4</v>
      </c>
      <c r="P152" s="37" t="s">
        <v>265</v>
      </c>
      <c r="Q152" s="37"/>
      <c r="R152" s="37" t="s">
        <v>679</v>
      </c>
    </row>
    <row r="153" spans="1:18" ht="27.7" hidden="1" thickBot="1" x14ac:dyDescent="0.55000000000000004">
      <c r="A153" s="36">
        <v>151</v>
      </c>
      <c r="B153" s="37" t="s">
        <v>680</v>
      </c>
      <c r="C153" s="37" t="s">
        <v>678</v>
      </c>
      <c r="D153" s="37" t="s">
        <v>657</v>
      </c>
      <c r="E153" s="37" t="s">
        <v>486</v>
      </c>
      <c r="F153" s="37" t="s">
        <v>675</v>
      </c>
      <c r="G153" s="37" t="s">
        <v>675</v>
      </c>
      <c r="H153" s="37" t="s">
        <v>675</v>
      </c>
      <c r="I153" s="37" t="s">
        <v>105</v>
      </c>
      <c r="J153" s="37" t="s">
        <v>105</v>
      </c>
      <c r="K153" s="37" t="s">
        <v>105</v>
      </c>
      <c r="L153" s="36">
        <v>3</v>
      </c>
      <c r="M153" s="36">
        <v>3</v>
      </c>
      <c r="N153" s="36">
        <v>3</v>
      </c>
      <c r="O153" s="36">
        <v>4</v>
      </c>
      <c r="P153" s="37" t="s">
        <v>265</v>
      </c>
      <c r="Q153" s="37"/>
      <c r="R153" s="37" t="s">
        <v>681</v>
      </c>
    </row>
    <row r="154" spans="1:18" ht="27.7" hidden="1" thickBot="1" x14ac:dyDescent="0.55000000000000004">
      <c r="A154" s="36">
        <v>152</v>
      </c>
      <c r="B154" s="37" t="s">
        <v>682</v>
      </c>
      <c r="C154" s="37" t="s">
        <v>682</v>
      </c>
      <c r="D154" s="37" t="s">
        <v>682</v>
      </c>
      <c r="E154" s="37" t="s">
        <v>683</v>
      </c>
      <c r="F154" s="37" t="s">
        <v>675</v>
      </c>
      <c r="G154" s="37" t="s">
        <v>675</v>
      </c>
      <c r="H154" s="37" t="s">
        <v>675</v>
      </c>
      <c r="I154" s="37" t="s">
        <v>105</v>
      </c>
      <c r="J154" s="37" t="s">
        <v>105</v>
      </c>
      <c r="K154" s="37" t="s">
        <v>105</v>
      </c>
      <c r="L154" s="36">
        <v>4</v>
      </c>
      <c r="M154" s="36">
        <v>4</v>
      </c>
      <c r="N154" s="36">
        <v>4</v>
      </c>
      <c r="O154" s="36">
        <v>5</v>
      </c>
      <c r="P154" s="37" t="s">
        <v>265</v>
      </c>
      <c r="Q154" s="37"/>
      <c r="R154" s="37" t="s">
        <v>684</v>
      </c>
    </row>
    <row r="155" spans="1:18" ht="27.7" hidden="1" thickBot="1" x14ac:dyDescent="0.55000000000000004">
      <c r="A155" s="36">
        <v>153</v>
      </c>
      <c r="B155" s="37" t="s">
        <v>685</v>
      </c>
      <c r="C155" s="37" t="s">
        <v>682</v>
      </c>
      <c r="D155" s="37" t="s">
        <v>682</v>
      </c>
      <c r="E155" s="37" t="s">
        <v>683</v>
      </c>
      <c r="F155" s="37" t="s">
        <v>675</v>
      </c>
      <c r="G155" s="37" t="s">
        <v>675</v>
      </c>
      <c r="H155" s="37" t="s">
        <v>675</v>
      </c>
      <c r="I155" s="37" t="s">
        <v>105</v>
      </c>
      <c r="J155" s="37" t="s">
        <v>105</v>
      </c>
      <c r="K155" s="37" t="s">
        <v>105</v>
      </c>
      <c r="L155" s="36">
        <v>3</v>
      </c>
      <c r="M155" s="36">
        <v>3</v>
      </c>
      <c r="N155" s="36">
        <v>3</v>
      </c>
      <c r="O155" s="36">
        <v>5</v>
      </c>
      <c r="P155" s="37" t="s">
        <v>265</v>
      </c>
      <c r="Q155" s="37"/>
      <c r="R155" s="37" t="s">
        <v>686</v>
      </c>
    </row>
    <row r="156" spans="1:18" ht="41.35" hidden="1" thickBot="1" x14ac:dyDescent="0.55000000000000004">
      <c r="A156" s="36">
        <v>154</v>
      </c>
      <c r="B156" s="37" t="s">
        <v>687</v>
      </c>
      <c r="C156" s="37" t="s">
        <v>688</v>
      </c>
      <c r="D156" s="37" t="s">
        <v>688</v>
      </c>
      <c r="E156" s="37" t="s">
        <v>683</v>
      </c>
      <c r="F156" s="37" t="s">
        <v>689</v>
      </c>
      <c r="G156" s="37" t="s">
        <v>689</v>
      </c>
      <c r="H156" s="37" t="s">
        <v>690</v>
      </c>
      <c r="I156" s="37" t="s">
        <v>105</v>
      </c>
      <c r="J156" s="37" t="s">
        <v>105</v>
      </c>
      <c r="K156" s="37" t="s">
        <v>105</v>
      </c>
      <c r="L156" s="36">
        <v>3</v>
      </c>
      <c r="M156" s="36">
        <v>3</v>
      </c>
      <c r="N156" s="36">
        <v>3</v>
      </c>
      <c r="O156" s="36">
        <v>4</v>
      </c>
      <c r="P156" s="37" t="s">
        <v>265</v>
      </c>
      <c r="Q156" s="37"/>
      <c r="R156" s="37" t="s">
        <v>691</v>
      </c>
    </row>
    <row r="157" spans="1:18" ht="41.35" hidden="1" thickBot="1" x14ac:dyDescent="0.55000000000000004">
      <c r="A157" s="36">
        <v>155</v>
      </c>
      <c r="B157" s="37" t="s">
        <v>692</v>
      </c>
      <c r="C157" s="37" t="s">
        <v>693</v>
      </c>
      <c r="D157" s="37" t="s">
        <v>694</v>
      </c>
      <c r="E157" s="37" t="s">
        <v>683</v>
      </c>
      <c r="F157" s="37" t="s">
        <v>689</v>
      </c>
      <c r="G157" s="37" t="s">
        <v>689</v>
      </c>
      <c r="H157" s="37" t="s">
        <v>690</v>
      </c>
      <c r="I157" s="37" t="s">
        <v>105</v>
      </c>
      <c r="J157" s="37" t="s">
        <v>105</v>
      </c>
      <c r="K157" s="37" t="s">
        <v>105</v>
      </c>
      <c r="L157" s="36">
        <v>4</v>
      </c>
      <c r="M157" s="36">
        <v>4</v>
      </c>
      <c r="N157" s="36">
        <v>4</v>
      </c>
      <c r="O157" s="36">
        <v>5</v>
      </c>
      <c r="P157" s="37" t="s">
        <v>265</v>
      </c>
      <c r="Q157" s="37"/>
      <c r="R157" s="37" t="s">
        <v>695</v>
      </c>
    </row>
    <row r="158" spans="1:18" ht="27.7" hidden="1" thickBot="1" x14ac:dyDescent="0.55000000000000004">
      <c r="A158" s="36">
        <v>156</v>
      </c>
      <c r="B158" s="37" t="s">
        <v>696</v>
      </c>
      <c r="C158" s="37" t="s">
        <v>697</v>
      </c>
      <c r="D158" s="37" t="s">
        <v>697</v>
      </c>
      <c r="E158" s="37" t="s">
        <v>683</v>
      </c>
      <c r="F158" s="37" t="s">
        <v>698</v>
      </c>
      <c r="G158" s="37" t="s">
        <v>698</v>
      </c>
      <c r="H158" s="37" t="s">
        <v>699</v>
      </c>
      <c r="I158" s="37" t="s">
        <v>105</v>
      </c>
      <c r="J158" s="37" t="s">
        <v>105</v>
      </c>
      <c r="K158" s="37" t="s">
        <v>105</v>
      </c>
      <c r="L158" s="36">
        <v>3</v>
      </c>
      <c r="M158" s="36">
        <v>3</v>
      </c>
      <c r="N158" s="36">
        <v>3</v>
      </c>
      <c r="O158" s="36">
        <v>4</v>
      </c>
      <c r="P158" s="37" t="s">
        <v>265</v>
      </c>
      <c r="Q158" s="37"/>
      <c r="R158" s="37" t="s">
        <v>700</v>
      </c>
    </row>
    <row r="159" spans="1:18" ht="27.7" hidden="1" thickBot="1" x14ac:dyDescent="0.55000000000000004">
      <c r="A159" s="36">
        <v>157</v>
      </c>
      <c r="B159" s="37" t="s">
        <v>701</v>
      </c>
      <c r="C159" s="37" t="s">
        <v>697</v>
      </c>
      <c r="D159" s="37" t="s">
        <v>697</v>
      </c>
      <c r="E159" s="37" t="s">
        <v>683</v>
      </c>
      <c r="F159" s="37" t="s">
        <v>698</v>
      </c>
      <c r="G159" s="37" t="s">
        <v>698</v>
      </c>
      <c r="H159" s="37" t="s">
        <v>699</v>
      </c>
      <c r="I159" s="37" t="s">
        <v>105</v>
      </c>
      <c r="J159" s="37" t="s">
        <v>105</v>
      </c>
      <c r="K159" s="37" t="s">
        <v>105</v>
      </c>
      <c r="L159" s="36">
        <v>4</v>
      </c>
      <c r="M159" s="36">
        <v>4</v>
      </c>
      <c r="N159" s="36">
        <v>4</v>
      </c>
      <c r="O159" s="36">
        <v>5</v>
      </c>
      <c r="P159" s="37" t="s">
        <v>265</v>
      </c>
      <c r="Q159" s="37"/>
      <c r="R159" s="37" t="s">
        <v>702</v>
      </c>
    </row>
    <row r="160" spans="1:18" ht="27.7" hidden="1" thickBot="1" x14ac:dyDescent="0.55000000000000004">
      <c r="A160" s="36">
        <v>158</v>
      </c>
      <c r="B160" s="37" t="s">
        <v>703</v>
      </c>
      <c r="C160" s="37" t="s">
        <v>704</v>
      </c>
      <c r="D160" s="37" t="s">
        <v>697</v>
      </c>
      <c r="E160" s="37" t="s">
        <v>683</v>
      </c>
      <c r="F160" s="37" t="s">
        <v>698</v>
      </c>
      <c r="G160" s="37" t="s">
        <v>698</v>
      </c>
      <c r="H160" s="37" t="s">
        <v>699</v>
      </c>
      <c r="I160" s="37" t="s">
        <v>105</v>
      </c>
      <c r="J160" s="37" t="s">
        <v>105</v>
      </c>
      <c r="K160" s="37" t="s">
        <v>105</v>
      </c>
      <c r="L160" s="36">
        <v>4</v>
      </c>
      <c r="M160" s="36">
        <v>4</v>
      </c>
      <c r="N160" s="36">
        <v>4</v>
      </c>
      <c r="O160" s="36">
        <v>5</v>
      </c>
      <c r="P160" s="37" t="s">
        <v>265</v>
      </c>
      <c r="Q160" s="37"/>
      <c r="R160" s="37" t="s">
        <v>705</v>
      </c>
    </row>
    <row r="161" spans="1:18" ht="27.7" hidden="1" thickBot="1" x14ac:dyDescent="0.55000000000000004">
      <c r="A161" s="36">
        <v>159</v>
      </c>
      <c r="B161" s="37" t="s">
        <v>706</v>
      </c>
      <c r="C161" s="37" t="s">
        <v>704</v>
      </c>
      <c r="D161" s="37" t="s">
        <v>697</v>
      </c>
      <c r="E161" s="37" t="s">
        <v>683</v>
      </c>
      <c r="F161" s="37" t="s">
        <v>698</v>
      </c>
      <c r="G161" s="37" t="s">
        <v>698</v>
      </c>
      <c r="H161" s="37" t="s">
        <v>699</v>
      </c>
      <c r="I161" s="37" t="s">
        <v>105</v>
      </c>
      <c r="J161" s="37" t="s">
        <v>105</v>
      </c>
      <c r="K161" s="37" t="s">
        <v>105</v>
      </c>
      <c r="L161" s="36">
        <v>3</v>
      </c>
      <c r="M161" s="36">
        <v>3</v>
      </c>
      <c r="N161" s="36">
        <v>3</v>
      </c>
      <c r="O161" s="36">
        <v>4</v>
      </c>
      <c r="P161" s="37" t="s">
        <v>265</v>
      </c>
      <c r="Q161" s="37" t="s">
        <v>707</v>
      </c>
      <c r="R161" s="37" t="s">
        <v>708</v>
      </c>
    </row>
    <row r="162" spans="1:18" ht="27.7" hidden="1" thickBot="1" x14ac:dyDescent="0.55000000000000004">
      <c r="A162" s="36">
        <v>160</v>
      </c>
      <c r="B162" s="37" t="s">
        <v>709</v>
      </c>
      <c r="C162" s="37" t="s">
        <v>710</v>
      </c>
      <c r="D162" s="37" t="s">
        <v>711</v>
      </c>
      <c r="E162" s="37" t="s">
        <v>683</v>
      </c>
      <c r="F162" s="37" t="s">
        <v>689</v>
      </c>
      <c r="G162" s="37" t="s">
        <v>689</v>
      </c>
      <c r="H162" s="37" t="s">
        <v>712</v>
      </c>
      <c r="I162" s="37" t="s">
        <v>105</v>
      </c>
      <c r="J162" s="37" t="s">
        <v>105</v>
      </c>
      <c r="K162" s="37" t="s">
        <v>88</v>
      </c>
      <c r="L162" s="36">
        <v>3</v>
      </c>
      <c r="M162" s="36">
        <v>3</v>
      </c>
      <c r="N162" s="36">
        <v>3</v>
      </c>
      <c r="O162" s="36">
        <v>5</v>
      </c>
      <c r="P162" s="37" t="s">
        <v>265</v>
      </c>
      <c r="Q162" s="37" t="s">
        <v>713</v>
      </c>
      <c r="R162" s="37" t="s">
        <v>714</v>
      </c>
    </row>
    <row r="163" spans="1:18" ht="27.7" hidden="1" thickBot="1" x14ac:dyDescent="0.55000000000000004">
      <c r="A163" s="36">
        <v>161</v>
      </c>
      <c r="B163" s="37" t="s">
        <v>715</v>
      </c>
      <c r="C163" s="37" t="s">
        <v>710</v>
      </c>
      <c r="D163" s="37" t="s">
        <v>711</v>
      </c>
      <c r="E163" s="37" t="s">
        <v>683</v>
      </c>
      <c r="F163" s="37" t="s">
        <v>689</v>
      </c>
      <c r="G163" s="37" t="s">
        <v>689</v>
      </c>
      <c r="H163" s="37" t="s">
        <v>712</v>
      </c>
      <c r="I163" s="37" t="s">
        <v>105</v>
      </c>
      <c r="J163" s="37" t="s">
        <v>105</v>
      </c>
      <c r="K163" s="37" t="s">
        <v>88</v>
      </c>
      <c r="L163" s="36">
        <v>3</v>
      </c>
      <c r="M163" s="36">
        <v>3</v>
      </c>
      <c r="N163" s="36">
        <v>3</v>
      </c>
      <c r="O163" s="36">
        <v>4</v>
      </c>
      <c r="P163" s="37" t="s">
        <v>265</v>
      </c>
      <c r="Q163" s="37"/>
      <c r="R163" s="37" t="s">
        <v>716</v>
      </c>
    </row>
    <row r="164" spans="1:18" ht="27.7" hidden="1" thickBot="1" x14ac:dyDescent="0.55000000000000004">
      <c r="A164" s="36">
        <v>162</v>
      </c>
      <c r="B164" s="37" t="s">
        <v>717</v>
      </c>
      <c r="C164" s="37" t="s">
        <v>718</v>
      </c>
      <c r="D164" s="37" t="s">
        <v>711</v>
      </c>
      <c r="E164" s="37" t="s">
        <v>683</v>
      </c>
      <c r="F164" s="37" t="s">
        <v>689</v>
      </c>
      <c r="G164" s="37" t="s">
        <v>689</v>
      </c>
      <c r="H164" s="37" t="s">
        <v>712</v>
      </c>
      <c r="I164" s="37" t="s">
        <v>105</v>
      </c>
      <c r="J164" s="37" t="s">
        <v>88</v>
      </c>
      <c r="K164" s="37" t="s">
        <v>88</v>
      </c>
      <c r="L164" s="36">
        <v>3</v>
      </c>
      <c r="M164" s="36">
        <v>3</v>
      </c>
      <c r="N164" s="36">
        <v>3</v>
      </c>
      <c r="O164" s="36">
        <v>4</v>
      </c>
      <c r="P164" s="37" t="s">
        <v>265</v>
      </c>
      <c r="Q164" s="37" t="s">
        <v>719</v>
      </c>
      <c r="R164" s="37" t="s">
        <v>720</v>
      </c>
    </row>
    <row r="165" spans="1:18" ht="27.7" hidden="1" thickBot="1" x14ac:dyDescent="0.55000000000000004">
      <c r="A165" s="36">
        <v>163</v>
      </c>
      <c r="B165" s="37" t="s">
        <v>721</v>
      </c>
      <c r="C165" s="37" t="s">
        <v>718</v>
      </c>
      <c r="D165" s="37" t="s">
        <v>711</v>
      </c>
      <c r="E165" s="37" t="s">
        <v>683</v>
      </c>
      <c r="F165" s="37" t="s">
        <v>689</v>
      </c>
      <c r="G165" s="37" t="s">
        <v>689</v>
      </c>
      <c r="H165" s="37" t="s">
        <v>712</v>
      </c>
      <c r="I165" s="37" t="s">
        <v>88</v>
      </c>
      <c r="J165" s="37" t="s">
        <v>88</v>
      </c>
      <c r="K165" s="37" t="s">
        <v>88</v>
      </c>
      <c r="L165" s="36">
        <v>3</v>
      </c>
      <c r="M165" s="36">
        <v>3</v>
      </c>
      <c r="N165" s="36">
        <v>3</v>
      </c>
      <c r="O165" s="36">
        <v>4</v>
      </c>
      <c r="P165" s="37" t="s">
        <v>265</v>
      </c>
      <c r="Q165" s="37" t="s">
        <v>722</v>
      </c>
      <c r="R165" s="37" t="s">
        <v>723</v>
      </c>
    </row>
    <row r="166" spans="1:18" ht="27.7" hidden="1" thickBot="1" x14ac:dyDescent="0.55000000000000004">
      <c r="A166" s="36">
        <v>164</v>
      </c>
      <c r="B166" s="37" t="s">
        <v>724</v>
      </c>
      <c r="C166" s="37" t="s">
        <v>725</v>
      </c>
      <c r="D166" s="37" t="s">
        <v>726</v>
      </c>
      <c r="E166" s="37" t="s">
        <v>683</v>
      </c>
      <c r="F166" s="37" t="s">
        <v>689</v>
      </c>
      <c r="G166" s="37" t="s">
        <v>689</v>
      </c>
      <c r="H166" s="37" t="s">
        <v>712</v>
      </c>
      <c r="I166" s="37" t="s">
        <v>88</v>
      </c>
      <c r="J166" s="37" t="s">
        <v>88</v>
      </c>
      <c r="K166" s="37" t="s">
        <v>88</v>
      </c>
      <c r="L166" s="36">
        <v>3</v>
      </c>
      <c r="M166" s="36">
        <v>3</v>
      </c>
      <c r="N166" s="36">
        <v>3</v>
      </c>
      <c r="O166" s="36">
        <v>4</v>
      </c>
      <c r="P166" s="37" t="s">
        <v>265</v>
      </c>
      <c r="Q166" s="37"/>
      <c r="R166" s="37" t="s">
        <v>727</v>
      </c>
    </row>
    <row r="167" spans="1:18" ht="27.7" hidden="1" thickBot="1" x14ac:dyDescent="0.55000000000000004">
      <c r="A167" s="36">
        <v>165</v>
      </c>
      <c r="B167" s="37" t="s">
        <v>728</v>
      </c>
      <c r="C167" s="37" t="s">
        <v>725</v>
      </c>
      <c r="D167" s="37" t="s">
        <v>726</v>
      </c>
      <c r="E167" s="37" t="s">
        <v>683</v>
      </c>
      <c r="F167" s="37" t="s">
        <v>689</v>
      </c>
      <c r="G167" s="37" t="s">
        <v>689</v>
      </c>
      <c r="H167" s="37" t="s">
        <v>712</v>
      </c>
      <c r="I167" s="37" t="s">
        <v>88</v>
      </c>
      <c r="J167" s="37" t="s">
        <v>88</v>
      </c>
      <c r="K167" s="37" t="s">
        <v>88</v>
      </c>
      <c r="L167" s="36">
        <v>4</v>
      </c>
      <c r="M167" s="36">
        <v>4</v>
      </c>
      <c r="N167" s="36">
        <v>4</v>
      </c>
      <c r="O167" s="36">
        <v>5</v>
      </c>
      <c r="P167" s="37" t="s">
        <v>265</v>
      </c>
      <c r="Q167" s="37"/>
      <c r="R167" s="37" t="s">
        <v>729</v>
      </c>
    </row>
    <row r="168" spans="1:18" ht="27.7" hidden="1" thickBot="1" x14ac:dyDescent="0.55000000000000004">
      <c r="A168" s="36">
        <v>166</v>
      </c>
      <c r="B168" s="37" t="s">
        <v>730</v>
      </c>
      <c r="C168" s="37" t="s">
        <v>725</v>
      </c>
      <c r="D168" s="37" t="s">
        <v>726</v>
      </c>
      <c r="E168" s="37" t="s">
        <v>683</v>
      </c>
      <c r="F168" s="37" t="s">
        <v>689</v>
      </c>
      <c r="G168" s="37" t="s">
        <v>689</v>
      </c>
      <c r="H168" s="37" t="s">
        <v>712</v>
      </c>
      <c r="I168" s="37" t="s">
        <v>88</v>
      </c>
      <c r="J168" s="37" t="s">
        <v>88</v>
      </c>
      <c r="K168" s="37" t="s">
        <v>88</v>
      </c>
      <c r="L168" s="36">
        <v>4</v>
      </c>
      <c r="M168" s="36">
        <v>4</v>
      </c>
      <c r="N168" s="36">
        <v>4</v>
      </c>
      <c r="O168" s="36">
        <v>4</v>
      </c>
      <c r="P168" s="37" t="s">
        <v>265</v>
      </c>
      <c r="Q168" s="37"/>
      <c r="R168" s="37" t="s">
        <v>731</v>
      </c>
    </row>
    <row r="169" spans="1:18" ht="27.7" hidden="1" thickBot="1" x14ac:dyDescent="0.55000000000000004">
      <c r="A169" s="36">
        <v>167</v>
      </c>
      <c r="B169" s="37" t="s">
        <v>732</v>
      </c>
      <c r="C169" s="37" t="s">
        <v>733</v>
      </c>
      <c r="D169" s="37" t="s">
        <v>726</v>
      </c>
      <c r="E169" s="37" t="s">
        <v>683</v>
      </c>
      <c r="F169" s="37" t="s">
        <v>689</v>
      </c>
      <c r="G169" s="37" t="s">
        <v>689</v>
      </c>
      <c r="H169" s="37" t="s">
        <v>712</v>
      </c>
      <c r="I169" s="37" t="s">
        <v>88</v>
      </c>
      <c r="J169" s="37" t="s">
        <v>88</v>
      </c>
      <c r="K169" s="37" t="s">
        <v>88</v>
      </c>
      <c r="L169" s="36">
        <v>4</v>
      </c>
      <c r="M169" s="36">
        <v>4</v>
      </c>
      <c r="N169" s="36">
        <v>4</v>
      </c>
      <c r="O169" s="36">
        <v>5</v>
      </c>
      <c r="P169" s="37" t="s">
        <v>265</v>
      </c>
      <c r="Q169" s="37"/>
      <c r="R169" s="37" t="s">
        <v>734</v>
      </c>
    </row>
    <row r="170" spans="1:18" ht="27.7" hidden="1" thickBot="1" x14ac:dyDescent="0.55000000000000004">
      <c r="A170" s="36">
        <v>168</v>
      </c>
      <c r="B170" s="37" t="s">
        <v>735</v>
      </c>
      <c r="C170" s="37" t="s">
        <v>733</v>
      </c>
      <c r="D170" s="37" t="s">
        <v>726</v>
      </c>
      <c r="E170" s="37" t="s">
        <v>683</v>
      </c>
      <c r="F170" s="37" t="s">
        <v>689</v>
      </c>
      <c r="G170" s="37" t="s">
        <v>689</v>
      </c>
      <c r="H170" s="37" t="s">
        <v>712</v>
      </c>
      <c r="I170" s="37" t="s">
        <v>105</v>
      </c>
      <c r="J170" s="37" t="s">
        <v>88</v>
      </c>
      <c r="K170" s="37" t="s">
        <v>88</v>
      </c>
      <c r="L170" s="36">
        <v>3</v>
      </c>
      <c r="M170" s="36">
        <v>3</v>
      </c>
      <c r="N170" s="36">
        <v>3</v>
      </c>
      <c r="O170" s="36">
        <v>4</v>
      </c>
      <c r="P170" s="37" t="s">
        <v>265</v>
      </c>
      <c r="Q170" s="37"/>
      <c r="R170" s="37" t="s">
        <v>736</v>
      </c>
    </row>
    <row r="171" spans="1:18" ht="27.7" hidden="1" thickBot="1" x14ac:dyDescent="0.55000000000000004">
      <c r="A171" s="36">
        <v>169</v>
      </c>
      <c r="B171" s="37" t="s">
        <v>737</v>
      </c>
      <c r="C171" s="37" t="s">
        <v>737</v>
      </c>
      <c r="D171" s="37" t="s">
        <v>738</v>
      </c>
      <c r="E171" s="37" t="s">
        <v>683</v>
      </c>
      <c r="F171" s="37" t="s">
        <v>689</v>
      </c>
      <c r="G171" s="37" t="s">
        <v>689</v>
      </c>
      <c r="H171" s="37" t="s">
        <v>712</v>
      </c>
      <c r="I171" s="37" t="s">
        <v>105</v>
      </c>
      <c r="J171" s="37" t="s">
        <v>88</v>
      </c>
      <c r="K171" s="37" t="s">
        <v>88</v>
      </c>
      <c r="L171" s="36">
        <v>3</v>
      </c>
      <c r="M171" s="36">
        <v>3</v>
      </c>
      <c r="N171" s="36">
        <v>3</v>
      </c>
      <c r="O171" s="36">
        <v>4</v>
      </c>
      <c r="P171" s="37" t="s">
        <v>265</v>
      </c>
      <c r="Q171" s="37" t="s">
        <v>739</v>
      </c>
      <c r="R171" s="37" t="s">
        <v>740</v>
      </c>
    </row>
    <row r="172" spans="1:18" ht="27.7" hidden="1" thickBot="1" x14ac:dyDescent="0.55000000000000004">
      <c r="A172" s="36">
        <v>170</v>
      </c>
      <c r="B172" s="37" t="s">
        <v>741</v>
      </c>
      <c r="C172" s="37" t="s">
        <v>742</v>
      </c>
      <c r="D172" s="37" t="s">
        <v>738</v>
      </c>
      <c r="E172" s="37" t="s">
        <v>683</v>
      </c>
      <c r="F172" s="37" t="s">
        <v>689</v>
      </c>
      <c r="G172" s="37" t="s">
        <v>689</v>
      </c>
      <c r="H172" s="37" t="s">
        <v>712</v>
      </c>
      <c r="I172" s="37" t="s">
        <v>105</v>
      </c>
      <c r="J172" s="37" t="s">
        <v>88</v>
      </c>
      <c r="K172" s="37" t="s">
        <v>88</v>
      </c>
      <c r="L172" s="36">
        <v>3</v>
      </c>
      <c r="M172" s="36">
        <v>3</v>
      </c>
      <c r="N172" s="36">
        <v>3</v>
      </c>
      <c r="O172" s="36">
        <v>4</v>
      </c>
      <c r="P172" s="37" t="s">
        <v>265</v>
      </c>
      <c r="Q172" s="37" t="s">
        <v>743</v>
      </c>
      <c r="R172" s="37" t="s">
        <v>744</v>
      </c>
    </row>
    <row r="173" spans="1:18" ht="27.7" hidden="1" thickBot="1" x14ac:dyDescent="0.55000000000000004">
      <c r="A173" s="36">
        <v>171</v>
      </c>
      <c r="B173" s="37" t="s">
        <v>738</v>
      </c>
      <c r="C173" s="37" t="s">
        <v>742</v>
      </c>
      <c r="D173" s="37" t="s">
        <v>738</v>
      </c>
      <c r="E173" s="37" t="s">
        <v>683</v>
      </c>
      <c r="F173" s="37" t="s">
        <v>689</v>
      </c>
      <c r="G173" s="37" t="s">
        <v>689</v>
      </c>
      <c r="H173" s="37" t="s">
        <v>712</v>
      </c>
      <c r="I173" s="37" t="s">
        <v>105</v>
      </c>
      <c r="J173" s="37" t="s">
        <v>105</v>
      </c>
      <c r="K173" s="37" t="s">
        <v>88</v>
      </c>
      <c r="L173" s="36">
        <v>4</v>
      </c>
      <c r="M173" s="36">
        <v>4</v>
      </c>
      <c r="N173" s="36">
        <v>4</v>
      </c>
      <c r="O173" s="36">
        <v>5</v>
      </c>
      <c r="P173" s="37" t="s">
        <v>265</v>
      </c>
      <c r="Q173" s="37" t="s">
        <v>745</v>
      </c>
      <c r="R173" s="37" t="s">
        <v>746</v>
      </c>
    </row>
    <row r="174" spans="1:18" ht="27.7" hidden="1" thickBot="1" x14ac:dyDescent="0.55000000000000004">
      <c r="A174" s="36">
        <v>172</v>
      </c>
      <c r="B174" s="37" t="s">
        <v>747</v>
      </c>
      <c r="C174" s="37" t="s">
        <v>742</v>
      </c>
      <c r="D174" s="37" t="s">
        <v>738</v>
      </c>
      <c r="E174" s="37" t="s">
        <v>683</v>
      </c>
      <c r="F174" s="37" t="s">
        <v>689</v>
      </c>
      <c r="G174" s="37" t="s">
        <v>689</v>
      </c>
      <c r="H174" s="37" t="s">
        <v>712</v>
      </c>
      <c r="I174" s="37" t="s">
        <v>105</v>
      </c>
      <c r="J174" s="37" t="s">
        <v>105</v>
      </c>
      <c r="K174" s="37" t="s">
        <v>88</v>
      </c>
      <c r="L174" s="36">
        <v>3</v>
      </c>
      <c r="M174" s="36">
        <v>3</v>
      </c>
      <c r="N174" s="36">
        <v>3</v>
      </c>
      <c r="O174" s="36">
        <v>4</v>
      </c>
      <c r="P174" s="37" t="s">
        <v>265</v>
      </c>
      <c r="Q174" s="37"/>
      <c r="R174" s="37" t="s">
        <v>748</v>
      </c>
    </row>
    <row r="175" spans="1:18" ht="27.7" hidden="1" thickBot="1" x14ac:dyDescent="0.55000000000000004">
      <c r="A175" s="36">
        <v>173</v>
      </c>
      <c r="B175" s="37" t="s">
        <v>749</v>
      </c>
      <c r="C175" s="37" t="s">
        <v>750</v>
      </c>
      <c r="D175" s="37" t="s">
        <v>751</v>
      </c>
      <c r="E175" s="37" t="s">
        <v>683</v>
      </c>
      <c r="F175" s="37" t="s">
        <v>689</v>
      </c>
      <c r="G175" s="37" t="s">
        <v>689</v>
      </c>
      <c r="H175" s="37" t="s">
        <v>752</v>
      </c>
      <c r="I175" s="37" t="s">
        <v>105</v>
      </c>
      <c r="J175" s="37" t="s">
        <v>105</v>
      </c>
      <c r="K175" s="37" t="s">
        <v>105</v>
      </c>
      <c r="L175" s="36">
        <v>3</v>
      </c>
      <c r="M175" s="36">
        <v>3</v>
      </c>
      <c r="N175" s="36">
        <v>3</v>
      </c>
      <c r="O175" s="36">
        <v>4</v>
      </c>
      <c r="P175" s="37" t="s">
        <v>265</v>
      </c>
      <c r="Q175" s="37" t="s">
        <v>753</v>
      </c>
      <c r="R175" s="37" t="s">
        <v>754</v>
      </c>
    </row>
    <row r="176" spans="1:18" ht="27.7" hidden="1" thickBot="1" x14ac:dyDescent="0.55000000000000004">
      <c r="A176" s="36">
        <v>174</v>
      </c>
      <c r="B176" s="37" t="s">
        <v>755</v>
      </c>
      <c r="C176" s="37" t="s">
        <v>751</v>
      </c>
      <c r="D176" s="37" t="s">
        <v>751</v>
      </c>
      <c r="E176" s="37" t="s">
        <v>683</v>
      </c>
      <c r="F176" s="37" t="s">
        <v>689</v>
      </c>
      <c r="G176" s="37" t="s">
        <v>689</v>
      </c>
      <c r="H176" s="37" t="s">
        <v>690</v>
      </c>
      <c r="I176" s="37" t="s">
        <v>105</v>
      </c>
      <c r="J176" s="37" t="s">
        <v>105</v>
      </c>
      <c r="K176" s="37" t="s">
        <v>105</v>
      </c>
      <c r="L176" s="36">
        <v>3</v>
      </c>
      <c r="M176" s="36">
        <v>3</v>
      </c>
      <c r="N176" s="36">
        <v>3</v>
      </c>
      <c r="O176" s="36">
        <v>4</v>
      </c>
      <c r="P176" s="37" t="s">
        <v>292</v>
      </c>
      <c r="Q176" s="37"/>
      <c r="R176" s="37" t="s">
        <v>756</v>
      </c>
    </row>
    <row r="177" spans="1:18" ht="27.7" hidden="1" thickBot="1" x14ac:dyDescent="0.55000000000000004">
      <c r="A177" s="36">
        <v>175</v>
      </c>
      <c r="B177" s="37" t="s">
        <v>757</v>
      </c>
      <c r="C177" s="37" t="s">
        <v>751</v>
      </c>
      <c r="D177" s="37" t="s">
        <v>751</v>
      </c>
      <c r="E177" s="37" t="s">
        <v>683</v>
      </c>
      <c r="F177" s="37" t="s">
        <v>689</v>
      </c>
      <c r="G177" s="37" t="s">
        <v>689</v>
      </c>
      <c r="H177" s="37" t="s">
        <v>690</v>
      </c>
      <c r="I177" s="37" t="s">
        <v>105</v>
      </c>
      <c r="J177" s="37" t="s">
        <v>105</v>
      </c>
      <c r="K177" s="37" t="s">
        <v>105</v>
      </c>
      <c r="L177" s="36">
        <v>3</v>
      </c>
      <c r="M177" s="36">
        <v>3</v>
      </c>
      <c r="N177" s="36">
        <v>3</v>
      </c>
      <c r="O177" s="36">
        <v>4</v>
      </c>
      <c r="P177" s="37" t="s">
        <v>292</v>
      </c>
      <c r="Q177" s="37"/>
      <c r="R177" s="37" t="s">
        <v>758</v>
      </c>
    </row>
    <row r="178" spans="1:18" ht="27.7" hidden="1" thickBot="1" x14ac:dyDescent="0.55000000000000004">
      <c r="A178" s="36">
        <v>176</v>
      </c>
      <c r="B178" s="37" t="s">
        <v>759</v>
      </c>
      <c r="C178" s="37" t="s">
        <v>760</v>
      </c>
      <c r="D178" s="37" t="s">
        <v>726</v>
      </c>
      <c r="E178" s="37" t="s">
        <v>683</v>
      </c>
      <c r="F178" s="37" t="s">
        <v>689</v>
      </c>
      <c r="G178" s="37" t="s">
        <v>689</v>
      </c>
      <c r="H178" s="37" t="s">
        <v>690</v>
      </c>
      <c r="I178" s="37" t="s">
        <v>105</v>
      </c>
      <c r="J178" s="37" t="s">
        <v>105</v>
      </c>
      <c r="K178" s="37" t="s">
        <v>105</v>
      </c>
      <c r="L178" s="36">
        <v>3</v>
      </c>
      <c r="M178" s="36">
        <v>3</v>
      </c>
      <c r="N178" s="36">
        <v>3</v>
      </c>
      <c r="O178" s="36">
        <v>3</v>
      </c>
      <c r="P178" s="37" t="s">
        <v>292</v>
      </c>
      <c r="Q178" s="37"/>
      <c r="R178" s="37" t="s">
        <v>761</v>
      </c>
    </row>
    <row r="179" spans="1:18" ht="27.7" hidden="1" thickBot="1" x14ac:dyDescent="0.55000000000000004">
      <c r="A179" s="36">
        <v>177</v>
      </c>
      <c r="B179" s="37" t="s">
        <v>762</v>
      </c>
      <c r="C179" s="37" t="s">
        <v>760</v>
      </c>
      <c r="D179" s="37" t="s">
        <v>726</v>
      </c>
      <c r="E179" s="37" t="s">
        <v>683</v>
      </c>
      <c r="F179" s="37" t="s">
        <v>689</v>
      </c>
      <c r="G179" s="37" t="s">
        <v>689</v>
      </c>
      <c r="H179" s="37" t="s">
        <v>690</v>
      </c>
      <c r="I179" s="37" t="s">
        <v>105</v>
      </c>
      <c r="J179" s="37" t="s">
        <v>105</v>
      </c>
      <c r="K179" s="37" t="s">
        <v>105</v>
      </c>
      <c r="L179" s="36">
        <v>3</v>
      </c>
      <c r="M179" s="36">
        <v>3</v>
      </c>
      <c r="N179" s="36">
        <v>3</v>
      </c>
      <c r="O179" s="36">
        <v>4</v>
      </c>
      <c r="P179" s="37" t="s">
        <v>292</v>
      </c>
      <c r="Q179" s="37" t="s">
        <v>763</v>
      </c>
      <c r="R179" s="37" t="s">
        <v>764</v>
      </c>
    </row>
    <row r="180" spans="1:18" ht="27.7" hidden="1" thickBot="1" x14ac:dyDescent="0.55000000000000004">
      <c r="A180" s="36">
        <v>178</v>
      </c>
      <c r="B180" s="37" t="s">
        <v>765</v>
      </c>
      <c r="C180" s="37" t="s">
        <v>766</v>
      </c>
      <c r="D180" s="37" t="s">
        <v>726</v>
      </c>
      <c r="E180" s="37" t="s">
        <v>683</v>
      </c>
      <c r="F180" s="37" t="s">
        <v>689</v>
      </c>
      <c r="G180" s="37" t="s">
        <v>689</v>
      </c>
      <c r="H180" s="37" t="s">
        <v>712</v>
      </c>
      <c r="I180" s="37" t="s">
        <v>105</v>
      </c>
      <c r="J180" s="37" t="s">
        <v>88</v>
      </c>
      <c r="K180" s="37" t="s">
        <v>88</v>
      </c>
      <c r="L180" s="36">
        <v>3</v>
      </c>
      <c r="M180" s="36">
        <v>3</v>
      </c>
      <c r="N180" s="36">
        <v>3</v>
      </c>
      <c r="O180" s="36">
        <v>4</v>
      </c>
      <c r="P180" s="37" t="s">
        <v>292</v>
      </c>
      <c r="Q180" s="37"/>
      <c r="R180" s="37" t="s">
        <v>767</v>
      </c>
    </row>
    <row r="181" spans="1:18" ht="27.7" hidden="1" thickBot="1" x14ac:dyDescent="0.55000000000000004">
      <c r="A181" s="36">
        <v>179</v>
      </c>
      <c r="B181" s="37" t="s">
        <v>768</v>
      </c>
      <c r="C181" s="37" t="s">
        <v>737</v>
      </c>
      <c r="D181" s="37" t="s">
        <v>738</v>
      </c>
      <c r="E181" s="37" t="s">
        <v>683</v>
      </c>
      <c r="F181" s="37" t="s">
        <v>689</v>
      </c>
      <c r="G181" s="37" t="s">
        <v>689</v>
      </c>
      <c r="H181" s="37" t="s">
        <v>712</v>
      </c>
      <c r="I181" s="37" t="s">
        <v>105</v>
      </c>
      <c r="J181" s="37" t="s">
        <v>88</v>
      </c>
      <c r="K181" s="37" t="s">
        <v>88</v>
      </c>
      <c r="L181" s="36">
        <v>3</v>
      </c>
      <c r="M181" s="36">
        <v>3</v>
      </c>
      <c r="N181" s="36">
        <v>3</v>
      </c>
      <c r="O181" s="36">
        <v>4</v>
      </c>
      <c r="P181" s="37" t="s">
        <v>292</v>
      </c>
      <c r="Q181" s="37"/>
      <c r="R181" s="37" t="s">
        <v>769</v>
      </c>
    </row>
    <row r="182" spans="1:18" ht="27.7" hidden="1" thickBot="1" x14ac:dyDescent="0.55000000000000004">
      <c r="A182" s="36">
        <v>180</v>
      </c>
      <c r="B182" s="37" t="s">
        <v>733</v>
      </c>
      <c r="C182" s="37" t="s">
        <v>733</v>
      </c>
      <c r="D182" s="37" t="s">
        <v>726</v>
      </c>
      <c r="E182" s="37" t="s">
        <v>683</v>
      </c>
      <c r="F182" s="37" t="s">
        <v>689</v>
      </c>
      <c r="G182" s="37" t="s">
        <v>689</v>
      </c>
      <c r="H182" s="37" t="s">
        <v>712</v>
      </c>
      <c r="I182" s="37" t="s">
        <v>105</v>
      </c>
      <c r="J182" s="37" t="s">
        <v>88</v>
      </c>
      <c r="K182" s="37" t="s">
        <v>88</v>
      </c>
      <c r="L182" s="36">
        <v>4</v>
      </c>
      <c r="M182" s="36">
        <v>4</v>
      </c>
      <c r="N182" s="36">
        <v>4</v>
      </c>
      <c r="O182" s="36">
        <v>6</v>
      </c>
      <c r="P182" s="37" t="s">
        <v>265</v>
      </c>
      <c r="Q182" s="37"/>
      <c r="R182" s="37" t="s">
        <v>770</v>
      </c>
    </row>
    <row r="183" spans="1:18" ht="27.7" hidden="1" thickBot="1" x14ac:dyDescent="0.55000000000000004">
      <c r="A183" s="36">
        <v>181</v>
      </c>
      <c r="B183" s="37" t="s">
        <v>771</v>
      </c>
      <c r="C183" s="37" t="s">
        <v>766</v>
      </c>
      <c r="D183" s="37" t="s">
        <v>726</v>
      </c>
      <c r="E183" s="37" t="s">
        <v>683</v>
      </c>
      <c r="F183" s="37" t="s">
        <v>689</v>
      </c>
      <c r="G183" s="37" t="s">
        <v>689</v>
      </c>
      <c r="H183" s="37" t="s">
        <v>712</v>
      </c>
      <c r="I183" s="37" t="s">
        <v>88</v>
      </c>
      <c r="J183" s="37" t="s">
        <v>88</v>
      </c>
      <c r="K183" s="37" t="s">
        <v>88</v>
      </c>
      <c r="L183" s="36">
        <v>5</v>
      </c>
      <c r="M183" s="36">
        <v>5</v>
      </c>
      <c r="N183" s="36">
        <v>5</v>
      </c>
      <c r="O183" s="36">
        <v>6</v>
      </c>
      <c r="P183" s="37" t="s">
        <v>292</v>
      </c>
      <c r="Q183" s="37" t="s">
        <v>772</v>
      </c>
      <c r="R183" s="37" t="s">
        <v>773</v>
      </c>
    </row>
    <row r="184" spans="1:18" ht="27.7" hidden="1" thickBot="1" x14ac:dyDescent="0.55000000000000004">
      <c r="A184" s="36">
        <v>182</v>
      </c>
      <c r="B184" s="37" t="s">
        <v>725</v>
      </c>
      <c r="C184" s="37" t="s">
        <v>725</v>
      </c>
      <c r="D184" s="37" t="s">
        <v>726</v>
      </c>
      <c r="E184" s="37" t="s">
        <v>683</v>
      </c>
      <c r="F184" s="37" t="s">
        <v>689</v>
      </c>
      <c r="G184" s="37" t="s">
        <v>689</v>
      </c>
      <c r="H184" s="37" t="s">
        <v>712</v>
      </c>
      <c r="I184" s="37" t="s">
        <v>88</v>
      </c>
      <c r="J184" s="37" t="s">
        <v>88</v>
      </c>
      <c r="K184" s="37" t="s">
        <v>88</v>
      </c>
      <c r="L184" s="36">
        <v>5</v>
      </c>
      <c r="M184" s="36">
        <v>5</v>
      </c>
      <c r="N184" s="36">
        <v>5</v>
      </c>
      <c r="O184" s="36">
        <v>6</v>
      </c>
      <c r="P184" s="37" t="s">
        <v>292</v>
      </c>
      <c r="Q184" s="37"/>
      <c r="R184" s="37" t="s">
        <v>774</v>
      </c>
    </row>
    <row r="185" spans="1:18" ht="27.7" hidden="1" thickBot="1" x14ac:dyDescent="0.55000000000000004">
      <c r="A185" s="36">
        <v>183</v>
      </c>
      <c r="B185" s="37" t="s">
        <v>775</v>
      </c>
      <c r="C185" s="37" t="s">
        <v>725</v>
      </c>
      <c r="D185" s="37" t="s">
        <v>726</v>
      </c>
      <c r="E185" s="37" t="s">
        <v>683</v>
      </c>
      <c r="F185" s="37" t="s">
        <v>689</v>
      </c>
      <c r="G185" s="37" t="s">
        <v>689</v>
      </c>
      <c r="H185" s="37" t="s">
        <v>712</v>
      </c>
      <c r="I185" s="37" t="s">
        <v>88</v>
      </c>
      <c r="J185" s="37" t="s">
        <v>88</v>
      </c>
      <c r="K185" s="37" t="s">
        <v>88</v>
      </c>
      <c r="L185" s="36">
        <v>3</v>
      </c>
      <c r="M185" s="36">
        <v>3</v>
      </c>
      <c r="N185" s="36">
        <v>3</v>
      </c>
      <c r="O185" s="36">
        <v>4</v>
      </c>
      <c r="P185" s="37" t="s">
        <v>292</v>
      </c>
      <c r="Q185" s="37"/>
      <c r="R185" s="37" t="s">
        <v>776</v>
      </c>
    </row>
    <row r="186" spans="1:18" ht="27.7" hidden="1" thickBot="1" x14ac:dyDescent="0.55000000000000004">
      <c r="A186" s="36">
        <v>184</v>
      </c>
      <c r="B186" s="37" t="s">
        <v>711</v>
      </c>
      <c r="C186" s="37" t="s">
        <v>711</v>
      </c>
      <c r="D186" s="37" t="s">
        <v>726</v>
      </c>
      <c r="E186" s="37" t="s">
        <v>683</v>
      </c>
      <c r="F186" s="37" t="s">
        <v>689</v>
      </c>
      <c r="G186" s="37" t="s">
        <v>689</v>
      </c>
      <c r="H186" s="37" t="s">
        <v>712</v>
      </c>
      <c r="I186" s="37" t="s">
        <v>105</v>
      </c>
      <c r="J186" s="37" t="s">
        <v>88</v>
      </c>
      <c r="K186" s="37" t="s">
        <v>88</v>
      </c>
      <c r="L186" s="36">
        <v>3</v>
      </c>
      <c r="M186" s="36">
        <v>3</v>
      </c>
      <c r="N186" s="36">
        <v>3</v>
      </c>
      <c r="O186" s="36">
        <v>4</v>
      </c>
      <c r="P186" s="37" t="s">
        <v>292</v>
      </c>
      <c r="Q186" s="37"/>
      <c r="R186" s="37" t="s">
        <v>777</v>
      </c>
    </row>
    <row r="187" spans="1:18" ht="27.7" hidden="1" thickBot="1" x14ac:dyDescent="0.55000000000000004">
      <c r="A187" s="36">
        <v>185</v>
      </c>
      <c r="B187" s="37" t="s">
        <v>778</v>
      </c>
      <c r="C187" s="37" t="s">
        <v>710</v>
      </c>
      <c r="D187" s="37" t="s">
        <v>711</v>
      </c>
      <c r="E187" s="37" t="s">
        <v>683</v>
      </c>
      <c r="F187" s="37" t="s">
        <v>689</v>
      </c>
      <c r="G187" s="37" t="s">
        <v>689</v>
      </c>
      <c r="H187" s="37" t="s">
        <v>712</v>
      </c>
      <c r="I187" s="37" t="s">
        <v>105</v>
      </c>
      <c r="J187" s="37" t="s">
        <v>88</v>
      </c>
      <c r="K187" s="37" t="s">
        <v>88</v>
      </c>
      <c r="L187" s="36">
        <v>3</v>
      </c>
      <c r="M187" s="36">
        <v>3</v>
      </c>
      <c r="N187" s="36">
        <v>3</v>
      </c>
      <c r="O187" s="36">
        <v>4</v>
      </c>
      <c r="P187" s="37" t="s">
        <v>292</v>
      </c>
      <c r="Q187" s="37"/>
      <c r="R187" s="37" t="s">
        <v>779</v>
      </c>
    </row>
    <row r="188" spans="1:18" ht="27.7" hidden="1" thickBot="1" x14ac:dyDescent="0.55000000000000004">
      <c r="A188" s="36">
        <v>186</v>
      </c>
      <c r="B188" s="37" t="s">
        <v>780</v>
      </c>
      <c r="C188" s="37" t="s">
        <v>710</v>
      </c>
      <c r="D188" s="37" t="s">
        <v>711</v>
      </c>
      <c r="E188" s="37" t="s">
        <v>683</v>
      </c>
      <c r="F188" s="37" t="s">
        <v>689</v>
      </c>
      <c r="G188" s="37" t="s">
        <v>689</v>
      </c>
      <c r="H188" s="37" t="s">
        <v>712</v>
      </c>
      <c r="I188" s="37" t="s">
        <v>105</v>
      </c>
      <c r="J188" s="37" t="s">
        <v>105</v>
      </c>
      <c r="K188" s="37" t="s">
        <v>88</v>
      </c>
      <c r="L188" s="36">
        <v>3</v>
      </c>
      <c r="M188" s="36">
        <v>3</v>
      </c>
      <c r="N188" s="36">
        <v>3</v>
      </c>
      <c r="O188" s="36">
        <v>4</v>
      </c>
      <c r="P188" s="37" t="s">
        <v>292</v>
      </c>
      <c r="Q188" s="37"/>
      <c r="R188" s="37" t="s">
        <v>781</v>
      </c>
    </row>
    <row r="189" spans="1:18" ht="27.7" hidden="1" thickBot="1" x14ac:dyDescent="0.55000000000000004">
      <c r="A189" s="36">
        <v>187</v>
      </c>
      <c r="B189" s="37" t="s">
        <v>782</v>
      </c>
      <c r="C189" s="37" t="s">
        <v>704</v>
      </c>
      <c r="D189" s="37" t="s">
        <v>697</v>
      </c>
      <c r="E189" s="37" t="s">
        <v>683</v>
      </c>
      <c r="F189" s="37" t="s">
        <v>698</v>
      </c>
      <c r="G189" s="37" t="s">
        <v>698</v>
      </c>
      <c r="H189" s="37" t="s">
        <v>699</v>
      </c>
      <c r="I189" s="37" t="s">
        <v>105</v>
      </c>
      <c r="J189" s="37" t="s">
        <v>105</v>
      </c>
      <c r="K189" s="37" t="s">
        <v>105</v>
      </c>
      <c r="L189" s="36">
        <v>3</v>
      </c>
      <c r="M189" s="36">
        <v>3</v>
      </c>
      <c r="N189" s="36">
        <v>3</v>
      </c>
      <c r="O189" s="36">
        <v>4</v>
      </c>
      <c r="P189" s="37" t="s">
        <v>292</v>
      </c>
      <c r="Q189" s="37"/>
      <c r="R189" s="37" t="s">
        <v>783</v>
      </c>
    </row>
    <row r="190" spans="1:18" ht="27.7" hidden="1" thickBot="1" x14ac:dyDescent="0.55000000000000004">
      <c r="A190" s="36">
        <v>188</v>
      </c>
      <c r="B190" s="37" t="s">
        <v>784</v>
      </c>
      <c r="C190" s="37" t="s">
        <v>704</v>
      </c>
      <c r="D190" s="37" t="s">
        <v>697</v>
      </c>
      <c r="E190" s="37" t="s">
        <v>683</v>
      </c>
      <c r="F190" s="37" t="s">
        <v>698</v>
      </c>
      <c r="G190" s="37" t="s">
        <v>698</v>
      </c>
      <c r="H190" s="37" t="s">
        <v>699</v>
      </c>
      <c r="I190" s="37" t="s">
        <v>105</v>
      </c>
      <c r="J190" s="37" t="s">
        <v>105</v>
      </c>
      <c r="K190" s="37" t="s">
        <v>105</v>
      </c>
      <c r="L190" s="36">
        <v>3</v>
      </c>
      <c r="M190" s="36">
        <v>3</v>
      </c>
      <c r="N190" s="36">
        <v>3</v>
      </c>
      <c r="O190" s="36">
        <v>4</v>
      </c>
      <c r="P190" s="37" t="s">
        <v>292</v>
      </c>
      <c r="Q190" s="37"/>
      <c r="R190" s="37" t="s">
        <v>785</v>
      </c>
    </row>
    <row r="191" spans="1:18" ht="27.7" hidden="1" thickBot="1" x14ac:dyDescent="0.55000000000000004">
      <c r="A191" s="36">
        <v>189</v>
      </c>
      <c r="B191" s="37" t="s">
        <v>786</v>
      </c>
      <c r="C191" s="37" t="s">
        <v>693</v>
      </c>
      <c r="D191" s="37" t="s">
        <v>694</v>
      </c>
      <c r="E191" s="37" t="s">
        <v>683</v>
      </c>
      <c r="F191" s="37" t="s">
        <v>698</v>
      </c>
      <c r="G191" s="37" t="s">
        <v>698</v>
      </c>
      <c r="H191" s="37" t="s">
        <v>690</v>
      </c>
      <c r="I191" s="37" t="s">
        <v>105</v>
      </c>
      <c r="J191" s="37" t="s">
        <v>105</v>
      </c>
      <c r="K191" s="37" t="s">
        <v>105</v>
      </c>
      <c r="L191" s="36">
        <v>3</v>
      </c>
      <c r="M191" s="36">
        <v>3</v>
      </c>
      <c r="N191" s="36">
        <v>3</v>
      </c>
      <c r="O191" s="36">
        <v>4</v>
      </c>
      <c r="P191" s="37" t="s">
        <v>292</v>
      </c>
      <c r="Q191" s="37"/>
      <c r="R191" s="37" t="s">
        <v>787</v>
      </c>
    </row>
    <row r="192" spans="1:18" ht="14.7" hidden="1" thickBot="1" x14ac:dyDescent="0.55000000000000004">
      <c r="A192" s="36">
        <v>190</v>
      </c>
      <c r="B192" s="37" t="s">
        <v>694</v>
      </c>
      <c r="C192" s="37" t="s">
        <v>694</v>
      </c>
      <c r="D192" s="37" t="s">
        <v>694</v>
      </c>
      <c r="E192" s="37" t="s">
        <v>683</v>
      </c>
      <c r="F192" s="37" t="s">
        <v>689</v>
      </c>
      <c r="G192" s="37" t="s">
        <v>689</v>
      </c>
      <c r="H192" s="37" t="s">
        <v>690</v>
      </c>
      <c r="I192" s="37" t="s">
        <v>105</v>
      </c>
      <c r="J192" s="37" t="s">
        <v>105</v>
      </c>
      <c r="K192" s="37" t="s">
        <v>105</v>
      </c>
      <c r="L192" s="36">
        <v>4</v>
      </c>
      <c r="M192" s="36">
        <v>4</v>
      </c>
      <c r="N192" s="36">
        <v>4</v>
      </c>
      <c r="O192" s="36">
        <v>5</v>
      </c>
      <c r="P192" s="37" t="s">
        <v>292</v>
      </c>
      <c r="Q192" s="37"/>
      <c r="R192" s="37" t="s">
        <v>788</v>
      </c>
    </row>
    <row r="193" spans="1:18" ht="27.7" hidden="1" thickBot="1" x14ac:dyDescent="0.55000000000000004">
      <c r="A193" s="36">
        <v>191</v>
      </c>
      <c r="B193" s="37" t="s">
        <v>789</v>
      </c>
      <c r="C193" s="37" t="s">
        <v>694</v>
      </c>
      <c r="D193" s="37" t="s">
        <v>694</v>
      </c>
      <c r="E193" s="37" t="s">
        <v>683</v>
      </c>
      <c r="F193" s="37" t="s">
        <v>689</v>
      </c>
      <c r="G193" s="37" t="s">
        <v>689</v>
      </c>
      <c r="H193" s="37" t="s">
        <v>690</v>
      </c>
      <c r="I193" s="37" t="s">
        <v>105</v>
      </c>
      <c r="J193" s="37" t="s">
        <v>105</v>
      </c>
      <c r="K193" s="37" t="s">
        <v>105</v>
      </c>
      <c r="L193" s="36">
        <v>3</v>
      </c>
      <c r="M193" s="36">
        <v>3</v>
      </c>
      <c r="N193" s="36">
        <v>3</v>
      </c>
      <c r="O193" s="36">
        <v>4</v>
      </c>
      <c r="P193" s="37" t="s">
        <v>292</v>
      </c>
      <c r="Q193" s="37"/>
      <c r="R193" s="37" t="s">
        <v>790</v>
      </c>
    </row>
    <row r="194" spans="1:18" ht="27.7" hidden="1" thickBot="1" x14ac:dyDescent="0.55000000000000004">
      <c r="A194" s="36">
        <v>192</v>
      </c>
      <c r="B194" s="37" t="s">
        <v>791</v>
      </c>
      <c r="C194" s="37" t="s">
        <v>694</v>
      </c>
      <c r="D194" s="37" t="s">
        <v>694</v>
      </c>
      <c r="E194" s="37" t="s">
        <v>683</v>
      </c>
      <c r="F194" s="37" t="s">
        <v>689</v>
      </c>
      <c r="G194" s="37" t="s">
        <v>689</v>
      </c>
      <c r="H194" s="37" t="s">
        <v>690</v>
      </c>
      <c r="I194" s="37" t="s">
        <v>105</v>
      </c>
      <c r="J194" s="37" t="s">
        <v>105</v>
      </c>
      <c r="K194" s="37" t="s">
        <v>105</v>
      </c>
      <c r="L194" s="36">
        <v>3</v>
      </c>
      <c r="M194" s="36">
        <v>3</v>
      </c>
      <c r="N194" s="36">
        <v>3</v>
      </c>
      <c r="O194" s="36">
        <v>4</v>
      </c>
      <c r="P194" s="37" t="s">
        <v>292</v>
      </c>
      <c r="Q194" s="37"/>
      <c r="R194" s="37" t="s">
        <v>792</v>
      </c>
    </row>
    <row r="195" spans="1:18" ht="27.7" hidden="1" thickBot="1" x14ac:dyDescent="0.55000000000000004">
      <c r="A195" s="36">
        <v>193</v>
      </c>
      <c r="B195" s="37" t="s">
        <v>793</v>
      </c>
      <c r="C195" s="37" t="s">
        <v>711</v>
      </c>
      <c r="D195" s="37" t="s">
        <v>711</v>
      </c>
      <c r="E195" s="37" t="s">
        <v>683</v>
      </c>
      <c r="F195" s="37" t="s">
        <v>689</v>
      </c>
      <c r="G195" s="37" t="s">
        <v>689</v>
      </c>
      <c r="H195" s="37" t="s">
        <v>712</v>
      </c>
      <c r="I195" s="37" t="s">
        <v>105</v>
      </c>
      <c r="J195" s="37" t="s">
        <v>105</v>
      </c>
      <c r="K195" s="37" t="s">
        <v>88</v>
      </c>
      <c r="L195" s="36">
        <v>3</v>
      </c>
      <c r="M195" s="36">
        <v>3</v>
      </c>
      <c r="N195" s="36">
        <v>3</v>
      </c>
      <c r="O195" s="36">
        <v>4</v>
      </c>
      <c r="P195" s="37" t="s">
        <v>292</v>
      </c>
      <c r="Q195" s="37"/>
      <c r="R195" s="37" t="s">
        <v>794</v>
      </c>
    </row>
    <row r="196" spans="1:18" ht="27.7" hidden="1" thickBot="1" x14ac:dyDescent="0.55000000000000004">
      <c r="A196" s="36">
        <v>194</v>
      </c>
      <c r="B196" s="37" t="s">
        <v>795</v>
      </c>
      <c r="C196" s="37" t="s">
        <v>711</v>
      </c>
      <c r="D196" s="37" t="s">
        <v>711</v>
      </c>
      <c r="E196" s="37" t="s">
        <v>683</v>
      </c>
      <c r="F196" s="37" t="s">
        <v>689</v>
      </c>
      <c r="G196" s="37" t="s">
        <v>689</v>
      </c>
      <c r="H196" s="37" t="s">
        <v>712</v>
      </c>
      <c r="I196" s="37" t="s">
        <v>105</v>
      </c>
      <c r="J196" s="37" t="s">
        <v>105</v>
      </c>
      <c r="K196" s="37" t="s">
        <v>88</v>
      </c>
      <c r="L196" s="36">
        <v>3</v>
      </c>
      <c r="M196" s="36">
        <v>3</v>
      </c>
      <c r="N196" s="36">
        <v>3</v>
      </c>
      <c r="O196" s="36">
        <v>4</v>
      </c>
      <c r="P196" s="37" t="s">
        <v>292</v>
      </c>
      <c r="Q196" s="37"/>
      <c r="R196" s="37" t="s">
        <v>796</v>
      </c>
    </row>
    <row r="197" spans="1:18" ht="27.7" hidden="1" thickBot="1" x14ac:dyDescent="0.55000000000000004">
      <c r="A197" s="36">
        <v>195</v>
      </c>
      <c r="B197" s="37" t="s">
        <v>797</v>
      </c>
      <c r="C197" s="37" t="s">
        <v>711</v>
      </c>
      <c r="D197" s="37" t="s">
        <v>711</v>
      </c>
      <c r="E197" s="37" t="s">
        <v>683</v>
      </c>
      <c r="F197" s="37" t="s">
        <v>689</v>
      </c>
      <c r="G197" s="37" t="s">
        <v>689</v>
      </c>
      <c r="H197" s="37" t="s">
        <v>712</v>
      </c>
      <c r="I197" s="37" t="s">
        <v>105</v>
      </c>
      <c r="J197" s="37" t="s">
        <v>105</v>
      </c>
      <c r="K197" s="37" t="s">
        <v>88</v>
      </c>
      <c r="L197" s="36">
        <v>3</v>
      </c>
      <c r="M197" s="36">
        <v>3</v>
      </c>
      <c r="N197" s="36">
        <v>3</v>
      </c>
      <c r="O197" s="36">
        <v>4</v>
      </c>
      <c r="P197" s="37" t="s">
        <v>292</v>
      </c>
      <c r="Q197" s="37"/>
      <c r="R197" s="37" t="s">
        <v>798</v>
      </c>
    </row>
    <row r="198" spans="1:18" ht="27.7" hidden="1" thickBot="1" x14ac:dyDescent="0.55000000000000004">
      <c r="A198" s="36">
        <v>196</v>
      </c>
      <c r="B198" s="37" t="s">
        <v>799</v>
      </c>
      <c r="C198" s="37" t="s">
        <v>766</v>
      </c>
      <c r="D198" s="37" t="s">
        <v>726</v>
      </c>
      <c r="E198" s="37" t="s">
        <v>683</v>
      </c>
      <c r="F198" s="37" t="s">
        <v>689</v>
      </c>
      <c r="G198" s="37" t="s">
        <v>689</v>
      </c>
      <c r="H198" s="37" t="s">
        <v>712</v>
      </c>
      <c r="I198" s="37" t="s">
        <v>105</v>
      </c>
      <c r="J198" s="37" t="s">
        <v>88</v>
      </c>
      <c r="K198" s="37" t="s">
        <v>88</v>
      </c>
      <c r="L198" s="36">
        <v>3</v>
      </c>
      <c r="M198" s="36">
        <v>3</v>
      </c>
      <c r="N198" s="36">
        <v>3</v>
      </c>
      <c r="O198" s="36">
        <v>4</v>
      </c>
      <c r="P198" s="37" t="s">
        <v>292</v>
      </c>
      <c r="Q198" s="37"/>
      <c r="R198" s="37" t="s">
        <v>800</v>
      </c>
    </row>
    <row r="199" spans="1:18" ht="27.7" hidden="1" thickBot="1" x14ac:dyDescent="0.55000000000000004">
      <c r="A199" s="36">
        <v>197</v>
      </c>
      <c r="B199" s="37" t="s">
        <v>760</v>
      </c>
      <c r="C199" s="37" t="s">
        <v>760</v>
      </c>
      <c r="D199" s="37" t="s">
        <v>726</v>
      </c>
      <c r="E199" s="37" t="s">
        <v>683</v>
      </c>
      <c r="F199" s="37" t="s">
        <v>689</v>
      </c>
      <c r="G199" s="37" t="s">
        <v>689</v>
      </c>
      <c r="H199" s="37" t="s">
        <v>690</v>
      </c>
      <c r="I199" s="37" t="s">
        <v>105</v>
      </c>
      <c r="J199" s="37" t="s">
        <v>105</v>
      </c>
      <c r="K199" s="37" t="s">
        <v>105</v>
      </c>
      <c r="L199" s="36">
        <v>4</v>
      </c>
      <c r="M199" s="36">
        <v>4</v>
      </c>
      <c r="N199" s="36">
        <v>4</v>
      </c>
      <c r="O199" s="36">
        <v>5</v>
      </c>
      <c r="P199" s="37" t="s">
        <v>292</v>
      </c>
      <c r="Q199" s="37" t="s">
        <v>801</v>
      </c>
      <c r="R199" s="37" t="s">
        <v>802</v>
      </c>
    </row>
    <row r="200" spans="1:18" ht="27.7" hidden="1" thickBot="1" x14ac:dyDescent="0.55000000000000004">
      <c r="A200" s="36">
        <v>198</v>
      </c>
      <c r="B200" s="37" t="s">
        <v>803</v>
      </c>
      <c r="C200" s="37" t="s">
        <v>688</v>
      </c>
      <c r="D200" s="37" t="s">
        <v>688</v>
      </c>
      <c r="E200" s="37" t="s">
        <v>683</v>
      </c>
      <c r="F200" s="37" t="s">
        <v>689</v>
      </c>
      <c r="G200" s="37" t="s">
        <v>689</v>
      </c>
      <c r="H200" s="37" t="s">
        <v>690</v>
      </c>
      <c r="I200" s="37" t="s">
        <v>105</v>
      </c>
      <c r="J200" s="37" t="s">
        <v>105</v>
      </c>
      <c r="K200" s="37" t="s">
        <v>105</v>
      </c>
      <c r="L200" s="36">
        <v>3</v>
      </c>
      <c r="M200" s="36">
        <v>3</v>
      </c>
      <c r="N200" s="36">
        <v>3</v>
      </c>
      <c r="O200" s="36">
        <v>4</v>
      </c>
      <c r="P200" s="37" t="s">
        <v>292</v>
      </c>
      <c r="Q200" s="37"/>
      <c r="R200" s="37" t="s">
        <v>804</v>
      </c>
    </row>
    <row r="201" spans="1:18" ht="14.7" hidden="1" thickBot="1" x14ac:dyDescent="0.55000000000000004">
      <c r="A201" s="36">
        <v>199</v>
      </c>
      <c r="B201" s="37" t="s">
        <v>805</v>
      </c>
      <c r="C201" s="37" t="s">
        <v>688</v>
      </c>
      <c r="D201" s="37" t="s">
        <v>688</v>
      </c>
      <c r="E201" s="37" t="s">
        <v>683</v>
      </c>
      <c r="F201" s="37" t="s">
        <v>689</v>
      </c>
      <c r="G201" s="37" t="s">
        <v>689</v>
      </c>
      <c r="H201" s="37" t="s">
        <v>690</v>
      </c>
      <c r="I201" s="37" t="s">
        <v>105</v>
      </c>
      <c r="J201" s="37" t="s">
        <v>105</v>
      </c>
      <c r="K201" s="37" t="s">
        <v>105</v>
      </c>
      <c r="L201" s="36">
        <v>3</v>
      </c>
      <c r="M201" s="36">
        <v>3</v>
      </c>
      <c r="N201" s="36">
        <v>3</v>
      </c>
      <c r="O201" s="36">
        <v>5</v>
      </c>
      <c r="P201" s="37" t="s">
        <v>292</v>
      </c>
      <c r="Q201" s="37"/>
      <c r="R201" s="37" t="s">
        <v>806</v>
      </c>
    </row>
    <row r="202" spans="1:18" ht="14.7" hidden="1" thickBot="1" x14ac:dyDescent="0.55000000000000004">
      <c r="A202" s="36">
        <v>200</v>
      </c>
      <c r="B202" s="37" t="s">
        <v>807</v>
      </c>
      <c r="C202" s="37" t="s">
        <v>688</v>
      </c>
      <c r="D202" s="37" t="s">
        <v>688</v>
      </c>
      <c r="E202" s="37" t="s">
        <v>683</v>
      </c>
      <c r="F202" s="37" t="s">
        <v>689</v>
      </c>
      <c r="G202" s="37" t="s">
        <v>689</v>
      </c>
      <c r="H202" s="37" t="s">
        <v>690</v>
      </c>
      <c r="I202" s="37" t="s">
        <v>105</v>
      </c>
      <c r="J202" s="37" t="s">
        <v>105</v>
      </c>
      <c r="K202" s="37" t="s">
        <v>105</v>
      </c>
      <c r="L202" s="36">
        <v>3</v>
      </c>
      <c r="M202" s="36">
        <v>3</v>
      </c>
      <c r="N202" s="36">
        <v>3</v>
      </c>
      <c r="O202" s="36">
        <v>4</v>
      </c>
      <c r="P202" s="37" t="s">
        <v>292</v>
      </c>
      <c r="Q202" s="37"/>
      <c r="R202" s="37" t="s">
        <v>808</v>
      </c>
    </row>
    <row r="203" spans="1:18" ht="14.7" hidden="1" thickBot="1" x14ac:dyDescent="0.55000000000000004">
      <c r="A203" s="36">
        <v>201</v>
      </c>
      <c r="B203" s="37" t="s">
        <v>809</v>
      </c>
      <c r="C203" s="37" t="s">
        <v>682</v>
      </c>
      <c r="D203" s="37" t="s">
        <v>682</v>
      </c>
      <c r="E203" s="37" t="s">
        <v>683</v>
      </c>
      <c r="F203" s="37" t="s">
        <v>675</v>
      </c>
      <c r="G203" s="37" t="s">
        <v>675</v>
      </c>
      <c r="H203" s="37" t="s">
        <v>675</v>
      </c>
      <c r="I203" s="37" t="s">
        <v>105</v>
      </c>
      <c r="J203" s="37" t="s">
        <v>105</v>
      </c>
      <c r="K203" s="37" t="s">
        <v>105</v>
      </c>
      <c r="L203" s="36">
        <v>3</v>
      </c>
      <c r="M203" s="36">
        <v>3</v>
      </c>
      <c r="N203" s="36">
        <v>3</v>
      </c>
      <c r="O203" s="36">
        <v>4</v>
      </c>
      <c r="P203" s="37" t="s">
        <v>292</v>
      </c>
      <c r="Q203" s="37"/>
      <c r="R203" s="37" t="s">
        <v>810</v>
      </c>
    </row>
    <row r="204" spans="1:18" ht="27.7" hidden="1" thickBot="1" x14ac:dyDescent="0.55000000000000004">
      <c r="A204" s="36">
        <v>202</v>
      </c>
      <c r="B204" s="37" t="s">
        <v>811</v>
      </c>
      <c r="C204" s="37" t="s">
        <v>751</v>
      </c>
      <c r="D204" s="37" t="s">
        <v>751</v>
      </c>
      <c r="E204" s="37" t="s">
        <v>683</v>
      </c>
      <c r="F204" s="37" t="s">
        <v>689</v>
      </c>
      <c r="G204" s="37" t="s">
        <v>689</v>
      </c>
      <c r="H204" s="37" t="s">
        <v>690</v>
      </c>
      <c r="I204" s="37" t="s">
        <v>105</v>
      </c>
      <c r="J204" s="37" t="s">
        <v>105</v>
      </c>
      <c r="K204" s="37" t="s">
        <v>105</v>
      </c>
      <c r="L204" s="36">
        <v>3</v>
      </c>
      <c r="M204" s="36">
        <v>3</v>
      </c>
      <c r="N204" s="36">
        <v>3</v>
      </c>
      <c r="O204" s="36">
        <v>5</v>
      </c>
      <c r="P204" s="37" t="s">
        <v>292</v>
      </c>
      <c r="Q204" s="37" t="s">
        <v>812</v>
      </c>
      <c r="R204" s="37" t="s">
        <v>813</v>
      </c>
    </row>
    <row r="205" spans="1:18" ht="27.7" hidden="1" thickBot="1" x14ac:dyDescent="0.55000000000000004">
      <c r="A205" s="36">
        <v>203</v>
      </c>
      <c r="B205" s="37" t="s">
        <v>814</v>
      </c>
      <c r="C205" s="37" t="s">
        <v>750</v>
      </c>
      <c r="D205" s="37" t="s">
        <v>751</v>
      </c>
      <c r="E205" s="37" t="s">
        <v>683</v>
      </c>
      <c r="F205" s="37" t="s">
        <v>689</v>
      </c>
      <c r="G205" s="37" t="s">
        <v>689</v>
      </c>
      <c r="H205" s="37" t="s">
        <v>752</v>
      </c>
      <c r="I205" s="37" t="s">
        <v>105</v>
      </c>
      <c r="J205" s="37" t="s">
        <v>105</v>
      </c>
      <c r="K205" s="37" t="s">
        <v>105</v>
      </c>
      <c r="L205" s="36">
        <v>3</v>
      </c>
      <c r="M205" s="36">
        <v>3</v>
      </c>
      <c r="N205" s="36">
        <v>3</v>
      </c>
      <c r="O205" s="36">
        <v>4</v>
      </c>
      <c r="P205" s="37" t="s">
        <v>292</v>
      </c>
      <c r="Q205" s="37" t="s">
        <v>815</v>
      </c>
      <c r="R205" s="37" t="s">
        <v>816</v>
      </c>
    </row>
    <row r="206" spans="1:18" ht="27.7" hidden="1" thickBot="1" x14ac:dyDescent="0.55000000000000004">
      <c r="A206" s="36">
        <v>204</v>
      </c>
      <c r="B206" s="37" t="s">
        <v>750</v>
      </c>
      <c r="C206" s="37" t="s">
        <v>750</v>
      </c>
      <c r="D206" s="37" t="s">
        <v>751</v>
      </c>
      <c r="E206" s="37" t="s">
        <v>683</v>
      </c>
      <c r="F206" s="37" t="s">
        <v>689</v>
      </c>
      <c r="G206" s="37" t="s">
        <v>689</v>
      </c>
      <c r="H206" s="37" t="s">
        <v>752</v>
      </c>
      <c r="I206" s="37" t="s">
        <v>105</v>
      </c>
      <c r="J206" s="37" t="s">
        <v>105</v>
      </c>
      <c r="K206" s="37" t="s">
        <v>105</v>
      </c>
      <c r="L206" s="36">
        <v>4</v>
      </c>
      <c r="M206" s="36">
        <v>4</v>
      </c>
      <c r="N206" s="36">
        <v>4</v>
      </c>
      <c r="O206" s="36">
        <v>6</v>
      </c>
      <c r="P206" s="37" t="s">
        <v>265</v>
      </c>
      <c r="Q206" s="37" t="s">
        <v>817</v>
      </c>
      <c r="R206" s="37" t="s">
        <v>818</v>
      </c>
    </row>
    <row r="207" spans="1:18" ht="27.7" hidden="1" thickBot="1" x14ac:dyDescent="0.55000000000000004">
      <c r="A207" s="36">
        <v>205</v>
      </c>
      <c r="B207" s="37" t="s">
        <v>819</v>
      </c>
      <c r="C207" s="37" t="s">
        <v>750</v>
      </c>
      <c r="D207" s="37" t="s">
        <v>751</v>
      </c>
      <c r="E207" s="37" t="s">
        <v>683</v>
      </c>
      <c r="F207" s="37" t="s">
        <v>689</v>
      </c>
      <c r="G207" s="37" t="s">
        <v>689</v>
      </c>
      <c r="H207" s="37" t="s">
        <v>752</v>
      </c>
      <c r="I207" s="37" t="s">
        <v>105</v>
      </c>
      <c r="J207" s="37" t="s">
        <v>105</v>
      </c>
      <c r="K207" s="37" t="s">
        <v>105</v>
      </c>
      <c r="L207" s="36">
        <v>3</v>
      </c>
      <c r="M207" s="36">
        <v>3</v>
      </c>
      <c r="N207" s="36">
        <v>3</v>
      </c>
      <c r="O207" s="36">
        <v>4</v>
      </c>
      <c r="P207" s="37" t="s">
        <v>265</v>
      </c>
      <c r="Q207" s="37"/>
      <c r="R207" s="37" t="s">
        <v>820</v>
      </c>
    </row>
    <row r="208" spans="1:18" ht="27.7" hidden="1" thickBot="1" x14ac:dyDescent="0.55000000000000004">
      <c r="A208" s="36">
        <v>206</v>
      </c>
      <c r="B208" s="37" t="s">
        <v>821</v>
      </c>
      <c r="C208" s="37" t="s">
        <v>750</v>
      </c>
      <c r="D208" s="37" t="s">
        <v>751</v>
      </c>
      <c r="E208" s="37" t="s">
        <v>683</v>
      </c>
      <c r="F208" s="37" t="s">
        <v>689</v>
      </c>
      <c r="G208" s="37" t="s">
        <v>689</v>
      </c>
      <c r="H208" s="37" t="s">
        <v>752</v>
      </c>
      <c r="I208" s="37" t="s">
        <v>105</v>
      </c>
      <c r="J208" s="37" t="s">
        <v>105</v>
      </c>
      <c r="K208" s="37" t="s">
        <v>105</v>
      </c>
      <c r="L208" s="36">
        <v>3</v>
      </c>
      <c r="M208" s="36">
        <v>3</v>
      </c>
      <c r="N208" s="36">
        <v>3</v>
      </c>
      <c r="O208" s="36">
        <v>4</v>
      </c>
      <c r="P208" s="37" t="s">
        <v>292</v>
      </c>
      <c r="Q208" s="37"/>
      <c r="R208" s="37" t="s">
        <v>822</v>
      </c>
    </row>
    <row r="209" spans="1:18" ht="27.7" hidden="1" thickBot="1" x14ac:dyDescent="0.55000000000000004">
      <c r="A209" s="36">
        <v>207</v>
      </c>
      <c r="B209" s="37" t="s">
        <v>823</v>
      </c>
      <c r="C209" s="37" t="s">
        <v>751</v>
      </c>
      <c r="D209" s="37" t="s">
        <v>751</v>
      </c>
      <c r="E209" s="37" t="s">
        <v>683</v>
      </c>
      <c r="F209" s="37" t="s">
        <v>675</v>
      </c>
      <c r="G209" s="37" t="s">
        <v>675</v>
      </c>
      <c r="H209" s="37" t="s">
        <v>690</v>
      </c>
      <c r="I209" s="37" t="s">
        <v>105</v>
      </c>
      <c r="J209" s="37" t="s">
        <v>105</v>
      </c>
      <c r="K209" s="37" t="s">
        <v>105</v>
      </c>
      <c r="L209" s="36">
        <v>4</v>
      </c>
      <c r="M209" s="36">
        <v>4</v>
      </c>
      <c r="N209" s="36">
        <v>4</v>
      </c>
      <c r="O209" s="36">
        <v>5</v>
      </c>
      <c r="P209" s="37" t="s">
        <v>292</v>
      </c>
      <c r="Q209" s="37"/>
      <c r="R209" s="37" t="s">
        <v>824</v>
      </c>
    </row>
    <row r="210" spans="1:18" ht="27.7" hidden="1" thickBot="1" x14ac:dyDescent="0.55000000000000004">
      <c r="A210" s="36">
        <v>208</v>
      </c>
      <c r="B210" s="37" t="s">
        <v>825</v>
      </c>
      <c r="C210" s="37" t="s">
        <v>678</v>
      </c>
      <c r="D210" s="37" t="s">
        <v>657</v>
      </c>
      <c r="E210" s="37" t="s">
        <v>486</v>
      </c>
      <c r="F210" s="37" t="s">
        <v>675</v>
      </c>
      <c r="G210" s="37" t="s">
        <v>675</v>
      </c>
      <c r="H210" s="37" t="s">
        <v>658</v>
      </c>
      <c r="I210" s="37" t="s">
        <v>105</v>
      </c>
      <c r="J210" s="37" t="s">
        <v>105</v>
      </c>
      <c r="K210" s="37" t="s">
        <v>105</v>
      </c>
      <c r="L210" s="36">
        <v>3</v>
      </c>
      <c r="M210" s="36">
        <v>3</v>
      </c>
      <c r="N210" s="36">
        <v>3</v>
      </c>
      <c r="O210" s="36">
        <v>4</v>
      </c>
      <c r="P210" s="37" t="s">
        <v>292</v>
      </c>
      <c r="Q210" s="37"/>
      <c r="R210" s="37" t="s">
        <v>826</v>
      </c>
    </row>
    <row r="211" spans="1:18" ht="27.7" hidden="1" thickBot="1" x14ac:dyDescent="0.55000000000000004">
      <c r="A211" s="36">
        <v>209</v>
      </c>
      <c r="B211" s="37" t="s">
        <v>827</v>
      </c>
      <c r="C211" s="37" t="s">
        <v>678</v>
      </c>
      <c r="D211" s="37" t="s">
        <v>657</v>
      </c>
      <c r="E211" s="37" t="s">
        <v>486</v>
      </c>
      <c r="F211" s="37" t="s">
        <v>658</v>
      </c>
      <c r="G211" s="37" t="s">
        <v>658</v>
      </c>
      <c r="H211" s="37" t="s">
        <v>658</v>
      </c>
      <c r="I211" s="37" t="s">
        <v>105</v>
      </c>
      <c r="J211" s="37" t="s">
        <v>105</v>
      </c>
      <c r="K211" s="37" t="s">
        <v>105</v>
      </c>
      <c r="L211" s="36">
        <v>3</v>
      </c>
      <c r="M211" s="36">
        <v>3</v>
      </c>
      <c r="N211" s="36">
        <v>3</v>
      </c>
      <c r="O211" s="36">
        <v>4</v>
      </c>
      <c r="P211" s="37" t="s">
        <v>292</v>
      </c>
      <c r="Q211" s="37"/>
      <c r="R211" s="37" t="s">
        <v>828</v>
      </c>
    </row>
    <row r="212" spans="1:18" ht="14.7" hidden="1" thickBot="1" x14ac:dyDescent="0.55000000000000004">
      <c r="A212" s="36">
        <v>210</v>
      </c>
      <c r="B212" s="37" t="s">
        <v>829</v>
      </c>
      <c r="C212" s="37" t="s">
        <v>830</v>
      </c>
      <c r="D212" s="37" t="s">
        <v>657</v>
      </c>
      <c r="E212" s="37" t="s">
        <v>486</v>
      </c>
      <c r="F212" s="37" t="s">
        <v>689</v>
      </c>
      <c r="G212" s="37" t="s">
        <v>658</v>
      </c>
      <c r="H212" s="37" t="s">
        <v>658</v>
      </c>
      <c r="I212" s="37" t="s">
        <v>105</v>
      </c>
      <c r="J212" s="37" t="s">
        <v>105</v>
      </c>
      <c r="K212" s="37" t="s">
        <v>105</v>
      </c>
      <c r="L212" s="36">
        <v>3</v>
      </c>
      <c r="M212" s="36">
        <v>3</v>
      </c>
      <c r="N212" s="36">
        <v>3</v>
      </c>
      <c r="O212" s="36">
        <v>4</v>
      </c>
      <c r="P212" s="37" t="s">
        <v>292</v>
      </c>
      <c r="Q212" s="37"/>
      <c r="R212" s="37" t="s">
        <v>831</v>
      </c>
    </row>
    <row r="213" spans="1:18" ht="27.7" hidden="1" thickBot="1" x14ac:dyDescent="0.55000000000000004">
      <c r="A213" s="36">
        <v>211</v>
      </c>
      <c r="B213" s="37" t="s">
        <v>832</v>
      </c>
      <c r="C213" s="37" t="s">
        <v>750</v>
      </c>
      <c r="D213" s="37" t="s">
        <v>751</v>
      </c>
      <c r="E213" s="37" t="s">
        <v>683</v>
      </c>
      <c r="F213" s="37" t="s">
        <v>689</v>
      </c>
      <c r="G213" s="37" t="s">
        <v>689</v>
      </c>
      <c r="H213" s="37" t="s">
        <v>752</v>
      </c>
      <c r="I213" s="37" t="s">
        <v>105</v>
      </c>
      <c r="J213" s="37" t="s">
        <v>105</v>
      </c>
      <c r="K213" s="37" t="s">
        <v>105</v>
      </c>
      <c r="L213" s="36">
        <v>3</v>
      </c>
      <c r="M213" s="36">
        <v>3</v>
      </c>
      <c r="N213" s="36">
        <v>3</v>
      </c>
      <c r="O213" s="36">
        <v>4</v>
      </c>
      <c r="P213" s="37" t="s">
        <v>265</v>
      </c>
      <c r="Q213" s="37"/>
      <c r="R213" s="37" t="s">
        <v>833</v>
      </c>
    </row>
    <row r="214" spans="1:18" ht="27.7" hidden="1" thickBot="1" x14ac:dyDescent="0.55000000000000004">
      <c r="A214" s="36">
        <v>212</v>
      </c>
      <c r="B214" s="37" t="s">
        <v>834</v>
      </c>
      <c r="C214" s="37" t="s">
        <v>830</v>
      </c>
      <c r="D214" s="37" t="s">
        <v>657</v>
      </c>
      <c r="E214" s="37" t="s">
        <v>486</v>
      </c>
      <c r="F214" s="37" t="s">
        <v>689</v>
      </c>
      <c r="G214" s="37" t="s">
        <v>658</v>
      </c>
      <c r="H214" s="37" t="s">
        <v>658</v>
      </c>
      <c r="I214" s="37" t="s">
        <v>105</v>
      </c>
      <c r="J214" s="37" t="s">
        <v>105</v>
      </c>
      <c r="K214" s="37" t="s">
        <v>105</v>
      </c>
      <c r="L214" s="36">
        <v>3</v>
      </c>
      <c r="M214" s="36">
        <v>3</v>
      </c>
      <c r="N214" s="36">
        <v>3</v>
      </c>
      <c r="O214" s="36">
        <v>5</v>
      </c>
      <c r="P214" s="37" t="s">
        <v>265</v>
      </c>
      <c r="Q214" s="37"/>
      <c r="R214" s="37" t="s">
        <v>835</v>
      </c>
    </row>
    <row r="215" spans="1:18" ht="27.7" hidden="1" thickBot="1" x14ac:dyDescent="0.55000000000000004">
      <c r="A215" s="36">
        <v>213</v>
      </c>
      <c r="B215" s="37" t="s">
        <v>836</v>
      </c>
      <c r="C215" s="37" t="s">
        <v>830</v>
      </c>
      <c r="D215" s="37" t="s">
        <v>657</v>
      </c>
      <c r="E215" s="37" t="s">
        <v>486</v>
      </c>
      <c r="F215" s="37" t="s">
        <v>689</v>
      </c>
      <c r="G215" s="37" t="s">
        <v>658</v>
      </c>
      <c r="H215" s="37" t="s">
        <v>658</v>
      </c>
      <c r="I215" s="37" t="s">
        <v>105</v>
      </c>
      <c r="J215" s="37" t="s">
        <v>105</v>
      </c>
      <c r="K215" s="37" t="s">
        <v>105</v>
      </c>
      <c r="L215" s="36">
        <v>3</v>
      </c>
      <c r="M215" s="36">
        <v>3</v>
      </c>
      <c r="N215" s="36">
        <v>3</v>
      </c>
      <c r="O215" s="36">
        <v>5</v>
      </c>
      <c r="P215" s="37" t="s">
        <v>292</v>
      </c>
      <c r="Q215" s="37"/>
      <c r="R215" s="37" t="s">
        <v>837</v>
      </c>
    </row>
    <row r="216" spans="1:18" ht="27.7" hidden="1" thickBot="1" x14ac:dyDescent="0.55000000000000004">
      <c r="A216" s="36">
        <v>214</v>
      </c>
      <c r="B216" s="37" t="s">
        <v>830</v>
      </c>
      <c r="C216" s="37" t="s">
        <v>830</v>
      </c>
      <c r="D216" s="37" t="s">
        <v>657</v>
      </c>
      <c r="E216" s="37" t="s">
        <v>486</v>
      </c>
      <c r="F216" s="37" t="s">
        <v>658</v>
      </c>
      <c r="G216" s="37" t="s">
        <v>658</v>
      </c>
      <c r="H216" s="37" t="s">
        <v>658</v>
      </c>
      <c r="I216" s="37" t="s">
        <v>105</v>
      </c>
      <c r="J216" s="37" t="s">
        <v>105</v>
      </c>
      <c r="K216" s="37" t="s">
        <v>105</v>
      </c>
      <c r="L216" s="36">
        <v>4</v>
      </c>
      <c r="M216" s="36">
        <v>4</v>
      </c>
      <c r="N216" s="36">
        <v>4</v>
      </c>
      <c r="O216" s="36">
        <v>6</v>
      </c>
      <c r="P216" s="37" t="s">
        <v>292</v>
      </c>
      <c r="Q216" s="37"/>
      <c r="R216" s="37" t="s">
        <v>838</v>
      </c>
    </row>
    <row r="217" spans="1:18" ht="14.7" hidden="1" thickBot="1" x14ac:dyDescent="0.55000000000000004">
      <c r="A217" s="36">
        <v>215</v>
      </c>
      <c r="B217" s="37" t="s">
        <v>839</v>
      </c>
      <c r="C217" s="37" t="s">
        <v>657</v>
      </c>
      <c r="D217" s="37" t="s">
        <v>657</v>
      </c>
      <c r="E217" s="37" t="s">
        <v>486</v>
      </c>
      <c r="F217" s="37" t="s">
        <v>658</v>
      </c>
      <c r="G217" s="37" t="s">
        <v>658</v>
      </c>
      <c r="H217" s="37" t="s">
        <v>658</v>
      </c>
      <c r="I217" s="37" t="s">
        <v>105</v>
      </c>
      <c r="J217" s="37" t="s">
        <v>105</v>
      </c>
      <c r="K217" s="37" t="s">
        <v>105</v>
      </c>
      <c r="L217" s="36">
        <v>3</v>
      </c>
      <c r="M217" s="36">
        <v>3</v>
      </c>
      <c r="N217" s="36">
        <v>3</v>
      </c>
      <c r="O217" s="36">
        <v>4</v>
      </c>
      <c r="P217" s="37" t="s">
        <v>292</v>
      </c>
      <c r="Q217" s="37"/>
      <c r="R217" s="37" t="s">
        <v>840</v>
      </c>
    </row>
    <row r="218" spans="1:18" ht="27.7" hidden="1" thickBot="1" x14ac:dyDescent="0.55000000000000004">
      <c r="A218" s="36">
        <v>216</v>
      </c>
      <c r="B218" s="37" t="s">
        <v>841</v>
      </c>
      <c r="C218" s="37" t="s">
        <v>657</v>
      </c>
      <c r="D218" s="37" t="s">
        <v>657</v>
      </c>
      <c r="E218" s="37" t="s">
        <v>486</v>
      </c>
      <c r="F218" s="37" t="s">
        <v>658</v>
      </c>
      <c r="G218" s="37" t="s">
        <v>658</v>
      </c>
      <c r="H218" s="37" t="s">
        <v>658</v>
      </c>
      <c r="I218" s="37" t="s">
        <v>105</v>
      </c>
      <c r="J218" s="37" t="s">
        <v>105</v>
      </c>
      <c r="K218" s="37" t="s">
        <v>105</v>
      </c>
      <c r="L218" s="36">
        <v>3</v>
      </c>
      <c r="M218" s="36">
        <v>3</v>
      </c>
      <c r="N218" s="36">
        <v>3</v>
      </c>
      <c r="O218" s="36">
        <v>4</v>
      </c>
      <c r="P218" s="37" t="s">
        <v>292</v>
      </c>
      <c r="Q218" s="37"/>
      <c r="R218" s="37" t="s">
        <v>842</v>
      </c>
    </row>
    <row r="219" spans="1:18" ht="27.7" hidden="1" thickBot="1" x14ac:dyDescent="0.55000000000000004">
      <c r="A219" s="36">
        <v>217</v>
      </c>
      <c r="B219" s="37" t="s">
        <v>843</v>
      </c>
      <c r="C219" s="37" t="s">
        <v>843</v>
      </c>
      <c r="D219" s="37" t="s">
        <v>657</v>
      </c>
      <c r="E219" s="37" t="s">
        <v>486</v>
      </c>
      <c r="F219" s="37" t="s">
        <v>658</v>
      </c>
      <c r="G219" s="37" t="s">
        <v>658</v>
      </c>
      <c r="H219" s="37" t="s">
        <v>658</v>
      </c>
      <c r="I219" s="37" t="s">
        <v>105</v>
      </c>
      <c r="J219" s="37" t="s">
        <v>105</v>
      </c>
      <c r="K219" s="37" t="s">
        <v>105</v>
      </c>
      <c r="L219" s="36">
        <v>3</v>
      </c>
      <c r="M219" s="36">
        <v>3</v>
      </c>
      <c r="N219" s="36">
        <v>3</v>
      </c>
      <c r="O219" s="36">
        <v>5</v>
      </c>
      <c r="P219" s="37" t="s">
        <v>292</v>
      </c>
      <c r="Q219" s="37"/>
      <c r="R219" s="37" t="s">
        <v>844</v>
      </c>
    </row>
    <row r="220" spans="1:18" ht="27.7" hidden="1" thickBot="1" x14ac:dyDescent="0.55000000000000004">
      <c r="A220" s="36">
        <v>218</v>
      </c>
      <c r="B220" s="37" t="s">
        <v>845</v>
      </c>
      <c r="C220" s="37" t="s">
        <v>830</v>
      </c>
      <c r="D220" s="37" t="s">
        <v>657</v>
      </c>
      <c r="E220" s="37" t="s">
        <v>486</v>
      </c>
      <c r="F220" s="37" t="s">
        <v>658</v>
      </c>
      <c r="G220" s="37" t="s">
        <v>658</v>
      </c>
      <c r="H220" s="37" t="s">
        <v>658</v>
      </c>
      <c r="I220" s="37" t="s">
        <v>105</v>
      </c>
      <c r="J220" s="37" t="s">
        <v>105</v>
      </c>
      <c r="K220" s="37" t="s">
        <v>105</v>
      </c>
      <c r="L220" s="36">
        <v>4</v>
      </c>
      <c r="M220" s="36">
        <v>4</v>
      </c>
      <c r="N220" s="36">
        <v>4</v>
      </c>
      <c r="O220" s="36">
        <v>4</v>
      </c>
      <c r="P220" s="37" t="s">
        <v>292</v>
      </c>
      <c r="Q220" s="37"/>
      <c r="R220" s="37" t="s">
        <v>846</v>
      </c>
    </row>
    <row r="221" spans="1:18" ht="27.7" hidden="1" thickBot="1" x14ac:dyDescent="0.55000000000000004">
      <c r="A221" s="36">
        <v>219</v>
      </c>
      <c r="B221" s="37" t="s">
        <v>847</v>
      </c>
      <c r="C221" s="37" t="s">
        <v>843</v>
      </c>
      <c r="D221" s="37" t="s">
        <v>657</v>
      </c>
      <c r="E221" s="37" t="s">
        <v>486</v>
      </c>
      <c r="F221" s="37" t="s">
        <v>689</v>
      </c>
      <c r="G221" s="37" t="s">
        <v>658</v>
      </c>
      <c r="H221" s="37" t="s">
        <v>658</v>
      </c>
      <c r="I221" s="37" t="s">
        <v>105</v>
      </c>
      <c r="J221" s="37" t="s">
        <v>105</v>
      </c>
      <c r="K221" s="37" t="s">
        <v>105</v>
      </c>
      <c r="L221" s="36">
        <v>3</v>
      </c>
      <c r="M221" s="36">
        <v>3</v>
      </c>
      <c r="N221" s="36">
        <v>3</v>
      </c>
      <c r="O221" s="36">
        <v>4</v>
      </c>
      <c r="P221" s="37" t="s">
        <v>292</v>
      </c>
      <c r="Q221" s="37"/>
      <c r="R221" s="37" t="s">
        <v>848</v>
      </c>
    </row>
    <row r="222" spans="1:18" ht="27.7" hidden="1" thickBot="1" x14ac:dyDescent="0.55000000000000004">
      <c r="A222" s="36">
        <v>220</v>
      </c>
      <c r="B222" s="37" t="s">
        <v>849</v>
      </c>
      <c r="C222" s="37" t="s">
        <v>830</v>
      </c>
      <c r="D222" s="37" t="s">
        <v>657</v>
      </c>
      <c r="E222" s="37" t="s">
        <v>486</v>
      </c>
      <c r="F222" s="37" t="s">
        <v>689</v>
      </c>
      <c r="G222" s="37" t="s">
        <v>658</v>
      </c>
      <c r="H222" s="37" t="s">
        <v>658</v>
      </c>
      <c r="I222" s="37" t="s">
        <v>105</v>
      </c>
      <c r="J222" s="37" t="s">
        <v>105</v>
      </c>
      <c r="K222" s="37" t="s">
        <v>105</v>
      </c>
      <c r="L222" s="36">
        <v>4</v>
      </c>
      <c r="M222" s="36">
        <v>4</v>
      </c>
      <c r="N222" s="36">
        <v>4</v>
      </c>
      <c r="O222" s="36">
        <v>6</v>
      </c>
      <c r="P222" s="37" t="s">
        <v>265</v>
      </c>
      <c r="Q222" s="37"/>
      <c r="R222" s="37" t="s">
        <v>850</v>
      </c>
    </row>
    <row r="223" spans="1:18" ht="27.7" hidden="1" thickBot="1" x14ac:dyDescent="0.55000000000000004">
      <c r="A223" s="36">
        <v>221</v>
      </c>
      <c r="B223" s="37" t="s">
        <v>851</v>
      </c>
      <c r="C223" s="37" t="s">
        <v>851</v>
      </c>
      <c r="D223" s="37" t="s">
        <v>635</v>
      </c>
      <c r="E223" s="37" t="s">
        <v>486</v>
      </c>
      <c r="F223" s="37" t="s">
        <v>689</v>
      </c>
      <c r="G223" s="37" t="s">
        <v>658</v>
      </c>
      <c r="H223" s="37" t="s">
        <v>658</v>
      </c>
      <c r="I223" s="37" t="s">
        <v>105</v>
      </c>
      <c r="J223" s="37" t="s">
        <v>105</v>
      </c>
      <c r="K223" s="37" t="s">
        <v>105</v>
      </c>
      <c r="L223" s="36">
        <v>4</v>
      </c>
      <c r="M223" s="36">
        <v>4</v>
      </c>
      <c r="N223" s="36">
        <v>4</v>
      </c>
      <c r="O223" s="36">
        <v>6</v>
      </c>
      <c r="P223" s="37" t="s">
        <v>265</v>
      </c>
      <c r="Q223" s="37"/>
      <c r="R223" s="37" t="s">
        <v>852</v>
      </c>
    </row>
    <row r="224" spans="1:18" ht="27.7" hidden="1" thickBot="1" x14ac:dyDescent="0.55000000000000004">
      <c r="A224" s="36">
        <v>222</v>
      </c>
      <c r="B224" s="37" t="s">
        <v>853</v>
      </c>
      <c r="C224" s="37" t="s">
        <v>851</v>
      </c>
      <c r="D224" s="37" t="s">
        <v>635</v>
      </c>
      <c r="E224" s="37" t="s">
        <v>486</v>
      </c>
      <c r="F224" s="37" t="s">
        <v>689</v>
      </c>
      <c r="G224" s="37" t="s">
        <v>658</v>
      </c>
      <c r="H224" s="37" t="s">
        <v>658</v>
      </c>
      <c r="I224" s="37" t="s">
        <v>105</v>
      </c>
      <c r="J224" s="37" t="s">
        <v>105</v>
      </c>
      <c r="K224" s="37" t="s">
        <v>105</v>
      </c>
      <c r="L224" s="36">
        <v>3</v>
      </c>
      <c r="M224" s="36">
        <v>3</v>
      </c>
      <c r="N224" s="36">
        <v>3</v>
      </c>
      <c r="O224" s="36">
        <v>5</v>
      </c>
      <c r="P224" s="37" t="s">
        <v>292</v>
      </c>
      <c r="Q224" s="37"/>
      <c r="R224" s="37" t="s">
        <v>854</v>
      </c>
    </row>
    <row r="225" spans="1:18" ht="14.7" hidden="1" thickBot="1" x14ac:dyDescent="0.55000000000000004">
      <c r="A225" s="36">
        <v>223</v>
      </c>
      <c r="B225" s="37" t="s">
        <v>855</v>
      </c>
      <c r="C225" s="37" t="s">
        <v>856</v>
      </c>
      <c r="D225" s="37" t="s">
        <v>635</v>
      </c>
      <c r="E225" s="37" t="s">
        <v>486</v>
      </c>
      <c r="F225" s="37" t="s">
        <v>689</v>
      </c>
      <c r="G225" s="37" t="s">
        <v>658</v>
      </c>
      <c r="H225" s="37" t="s">
        <v>658</v>
      </c>
      <c r="I225" s="37" t="s">
        <v>105</v>
      </c>
      <c r="J225" s="37" t="s">
        <v>105</v>
      </c>
      <c r="K225" s="37" t="s">
        <v>105</v>
      </c>
      <c r="L225" s="36">
        <v>3</v>
      </c>
      <c r="M225" s="36">
        <v>3</v>
      </c>
      <c r="N225" s="36">
        <v>3</v>
      </c>
      <c r="O225" s="36">
        <v>4</v>
      </c>
      <c r="P225" s="37" t="s">
        <v>292</v>
      </c>
      <c r="Q225" s="37"/>
      <c r="R225" s="37" t="s">
        <v>857</v>
      </c>
    </row>
    <row r="226" spans="1:18" ht="14.7" hidden="1" thickBot="1" x14ac:dyDescent="0.55000000000000004">
      <c r="A226" s="36">
        <v>224</v>
      </c>
      <c r="B226" s="37" t="s">
        <v>858</v>
      </c>
      <c r="C226" s="37" t="s">
        <v>856</v>
      </c>
      <c r="D226" s="37" t="s">
        <v>635</v>
      </c>
      <c r="E226" s="37" t="s">
        <v>486</v>
      </c>
      <c r="F226" s="37" t="s">
        <v>658</v>
      </c>
      <c r="G226" s="37" t="s">
        <v>658</v>
      </c>
      <c r="H226" s="37" t="s">
        <v>658</v>
      </c>
      <c r="I226" s="37" t="s">
        <v>105</v>
      </c>
      <c r="J226" s="37" t="s">
        <v>105</v>
      </c>
      <c r="K226" s="37" t="s">
        <v>105</v>
      </c>
      <c r="L226" s="36">
        <v>3</v>
      </c>
      <c r="M226" s="36">
        <v>3</v>
      </c>
      <c r="N226" s="36">
        <v>3</v>
      </c>
      <c r="O226" s="36">
        <v>5</v>
      </c>
      <c r="P226" s="37" t="s">
        <v>292</v>
      </c>
      <c r="Q226" s="37"/>
      <c r="R226" s="37" t="s">
        <v>859</v>
      </c>
    </row>
    <row r="227" spans="1:18" ht="14.7" hidden="1" thickBot="1" x14ac:dyDescent="0.55000000000000004">
      <c r="A227" s="36">
        <v>225</v>
      </c>
      <c r="B227" s="37" t="s">
        <v>860</v>
      </c>
      <c r="C227" s="37" t="s">
        <v>635</v>
      </c>
      <c r="D227" s="37" t="s">
        <v>485</v>
      </c>
      <c r="E227" s="37" t="s">
        <v>486</v>
      </c>
      <c r="F227" s="37" t="s">
        <v>487</v>
      </c>
      <c r="G227" s="37" t="s">
        <v>488</v>
      </c>
      <c r="H227" s="37" t="s">
        <v>488</v>
      </c>
      <c r="I227" s="37" t="s">
        <v>105</v>
      </c>
      <c r="J227" s="37" t="s">
        <v>105</v>
      </c>
      <c r="K227" s="37" t="s">
        <v>105</v>
      </c>
      <c r="L227" s="36">
        <v>3</v>
      </c>
      <c r="M227" s="36">
        <v>3</v>
      </c>
      <c r="N227" s="36">
        <v>3</v>
      </c>
      <c r="O227" s="36">
        <v>4</v>
      </c>
      <c r="P227" s="37" t="s">
        <v>292</v>
      </c>
      <c r="Q227" s="37"/>
      <c r="R227" s="37" t="s">
        <v>861</v>
      </c>
    </row>
    <row r="228" spans="1:18" ht="27.7" hidden="1" thickBot="1" x14ac:dyDescent="0.55000000000000004">
      <c r="A228" s="36">
        <v>226</v>
      </c>
      <c r="B228" s="37" t="s">
        <v>862</v>
      </c>
      <c r="C228" s="37" t="s">
        <v>635</v>
      </c>
      <c r="D228" s="37" t="s">
        <v>485</v>
      </c>
      <c r="E228" s="37" t="s">
        <v>486</v>
      </c>
      <c r="F228" s="37" t="s">
        <v>487</v>
      </c>
      <c r="G228" s="37" t="s">
        <v>488</v>
      </c>
      <c r="H228" s="37" t="s">
        <v>488</v>
      </c>
      <c r="I228" s="37" t="s">
        <v>105</v>
      </c>
      <c r="J228" s="37" t="s">
        <v>105</v>
      </c>
      <c r="K228" s="37" t="s">
        <v>105</v>
      </c>
      <c r="L228" s="36">
        <v>3</v>
      </c>
      <c r="M228" s="36">
        <v>3</v>
      </c>
      <c r="N228" s="36">
        <v>3</v>
      </c>
      <c r="O228" s="36">
        <v>4</v>
      </c>
      <c r="P228" s="37" t="s">
        <v>292</v>
      </c>
      <c r="Q228" s="37"/>
      <c r="R228" s="37" t="s">
        <v>863</v>
      </c>
    </row>
    <row r="229" spans="1:18" ht="14.7" hidden="1" thickBot="1" x14ac:dyDescent="0.55000000000000004">
      <c r="A229" s="36">
        <v>227</v>
      </c>
      <c r="B229" s="37" t="s">
        <v>864</v>
      </c>
      <c r="C229" s="37" t="s">
        <v>856</v>
      </c>
      <c r="D229" s="37" t="s">
        <v>635</v>
      </c>
      <c r="E229" s="37" t="s">
        <v>486</v>
      </c>
      <c r="F229" s="37" t="s">
        <v>487</v>
      </c>
      <c r="G229" s="37" t="s">
        <v>488</v>
      </c>
      <c r="H229" s="37" t="s">
        <v>488</v>
      </c>
      <c r="I229" s="37" t="s">
        <v>105</v>
      </c>
      <c r="J229" s="37" t="s">
        <v>105</v>
      </c>
      <c r="K229" s="37" t="s">
        <v>105</v>
      </c>
      <c r="L229" s="36">
        <v>4</v>
      </c>
      <c r="M229" s="36">
        <v>4</v>
      </c>
      <c r="N229" s="36">
        <v>4</v>
      </c>
      <c r="O229" s="36">
        <v>5</v>
      </c>
      <c r="P229" s="37" t="s">
        <v>292</v>
      </c>
      <c r="Q229" s="37"/>
      <c r="R229" s="37" t="s">
        <v>865</v>
      </c>
    </row>
    <row r="230" spans="1:18" ht="41.35" hidden="1" thickBot="1" x14ac:dyDescent="0.55000000000000004">
      <c r="A230" s="36">
        <v>228</v>
      </c>
      <c r="B230" s="37" t="s">
        <v>866</v>
      </c>
      <c r="C230" s="37" t="s">
        <v>856</v>
      </c>
      <c r="D230" s="37" t="s">
        <v>635</v>
      </c>
      <c r="E230" s="37" t="s">
        <v>486</v>
      </c>
      <c r="F230" s="37" t="s">
        <v>658</v>
      </c>
      <c r="G230" s="37" t="s">
        <v>658</v>
      </c>
      <c r="H230" s="37" t="s">
        <v>658</v>
      </c>
      <c r="I230" s="37" t="s">
        <v>105</v>
      </c>
      <c r="J230" s="37" t="s">
        <v>105</v>
      </c>
      <c r="K230" s="37" t="s">
        <v>105</v>
      </c>
      <c r="L230" s="36">
        <v>3</v>
      </c>
      <c r="M230" s="36">
        <v>3</v>
      </c>
      <c r="N230" s="36">
        <v>3</v>
      </c>
      <c r="O230" s="36">
        <v>5</v>
      </c>
      <c r="P230" s="37" t="s">
        <v>292</v>
      </c>
      <c r="Q230" s="37"/>
      <c r="R230" s="37" t="s">
        <v>867</v>
      </c>
    </row>
    <row r="231" spans="1:18" ht="27.7" hidden="1" thickBot="1" x14ac:dyDescent="0.55000000000000004">
      <c r="A231" s="36">
        <v>229</v>
      </c>
      <c r="B231" s="37" t="s">
        <v>868</v>
      </c>
      <c r="C231" s="37" t="s">
        <v>851</v>
      </c>
      <c r="D231" s="37" t="s">
        <v>635</v>
      </c>
      <c r="E231" s="37" t="s">
        <v>486</v>
      </c>
      <c r="F231" s="37" t="s">
        <v>689</v>
      </c>
      <c r="G231" s="37" t="s">
        <v>658</v>
      </c>
      <c r="H231" s="37" t="s">
        <v>658</v>
      </c>
      <c r="I231" s="37" t="s">
        <v>105</v>
      </c>
      <c r="J231" s="37" t="s">
        <v>105</v>
      </c>
      <c r="K231" s="37" t="s">
        <v>105</v>
      </c>
      <c r="L231" s="36">
        <v>3</v>
      </c>
      <c r="M231" s="36">
        <v>3</v>
      </c>
      <c r="N231" s="36">
        <v>3</v>
      </c>
      <c r="O231" s="36">
        <v>4</v>
      </c>
      <c r="P231" s="37" t="s">
        <v>292</v>
      </c>
      <c r="Q231" s="37"/>
      <c r="R231" s="37" t="s">
        <v>869</v>
      </c>
    </row>
    <row r="232" spans="1:18" ht="14.7" hidden="1" thickBot="1" x14ac:dyDescent="0.55000000000000004">
      <c r="A232" s="36">
        <v>230</v>
      </c>
      <c r="B232" s="37" t="s">
        <v>870</v>
      </c>
      <c r="C232" s="37" t="s">
        <v>851</v>
      </c>
      <c r="D232" s="37" t="s">
        <v>635</v>
      </c>
      <c r="E232" s="37" t="s">
        <v>486</v>
      </c>
      <c r="F232" s="37" t="s">
        <v>871</v>
      </c>
      <c r="G232" s="37" t="s">
        <v>872</v>
      </c>
      <c r="H232" s="37" t="s">
        <v>872</v>
      </c>
      <c r="I232" s="37" t="s">
        <v>105</v>
      </c>
      <c r="J232" s="37" t="s">
        <v>105</v>
      </c>
      <c r="K232" s="37" t="s">
        <v>105</v>
      </c>
      <c r="L232" s="36">
        <v>3</v>
      </c>
      <c r="M232" s="36">
        <v>3</v>
      </c>
      <c r="N232" s="36">
        <v>3</v>
      </c>
      <c r="O232" s="36">
        <v>4</v>
      </c>
      <c r="P232" s="37" t="s">
        <v>265</v>
      </c>
      <c r="Q232" s="37"/>
      <c r="R232" s="37" t="s">
        <v>873</v>
      </c>
    </row>
    <row r="233" spans="1:18" ht="27.7" hidden="1" thickBot="1" x14ac:dyDescent="0.55000000000000004">
      <c r="A233" s="36">
        <v>231</v>
      </c>
      <c r="B233" s="37" t="s">
        <v>874</v>
      </c>
      <c r="C233" s="37" t="s">
        <v>875</v>
      </c>
      <c r="D233" s="37" t="s">
        <v>876</v>
      </c>
      <c r="E233" s="37" t="s">
        <v>877</v>
      </c>
      <c r="F233" s="37" t="s">
        <v>871</v>
      </c>
      <c r="G233" s="37" t="s">
        <v>872</v>
      </c>
      <c r="H233" s="37" t="s">
        <v>872</v>
      </c>
      <c r="I233" s="37" t="s">
        <v>105</v>
      </c>
      <c r="J233" s="37" t="s">
        <v>105</v>
      </c>
      <c r="K233" s="37" t="s">
        <v>105</v>
      </c>
      <c r="L233" s="36">
        <v>3</v>
      </c>
      <c r="M233" s="36">
        <v>3</v>
      </c>
      <c r="N233" s="36">
        <v>3</v>
      </c>
      <c r="O233" s="36">
        <v>3</v>
      </c>
      <c r="P233" s="37" t="s">
        <v>292</v>
      </c>
      <c r="Q233" s="37"/>
      <c r="R233" s="37" t="s">
        <v>878</v>
      </c>
    </row>
    <row r="234" spans="1:18" ht="27.7" hidden="1" thickBot="1" x14ac:dyDescent="0.55000000000000004">
      <c r="A234" s="36">
        <v>232</v>
      </c>
      <c r="B234" s="37" t="s">
        <v>879</v>
      </c>
      <c r="C234" s="37" t="s">
        <v>875</v>
      </c>
      <c r="D234" s="37" t="s">
        <v>876</v>
      </c>
      <c r="E234" s="37" t="s">
        <v>877</v>
      </c>
      <c r="F234" s="37" t="s">
        <v>871</v>
      </c>
      <c r="G234" s="37" t="s">
        <v>871</v>
      </c>
      <c r="H234" s="37" t="s">
        <v>872</v>
      </c>
      <c r="I234" s="37" t="s">
        <v>105</v>
      </c>
      <c r="J234" s="37" t="s">
        <v>105</v>
      </c>
      <c r="K234" s="37" t="s">
        <v>105</v>
      </c>
      <c r="L234" s="36">
        <v>3</v>
      </c>
      <c r="M234" s="36">
        <v>3</v>
      </c>
      <c r="N234" s="36">
        <v>3</v>
      </c>
      <c r="O234" s="36">
        <v>5</v>
      </c>
      <c r="P234" s="37" t="s">
        <v>292</v>
      </c>
      <c r="Q234" s="37"/>
      <c r="R234" s="37" t="s">
        <v>880</v>
      </c>
    </row>
    <row r="235" spans="1:18" ht="14.7" hidden="1" thickBot="1" x14ac:dyDescent="0.55000000000000004">
      <c r="A235" s="36">
        <v>233</v>
      </c>
      <c r="B235" s="37" t="s">
        <v>881</v>
      </c>
      <c r="C235" s="37" t="s">
        <v>881</v>
      </c>
      <c r="D235" s="37" t="s">
        <v>876</v>
      </c>
      <c r="E235" s="37" t="s">
        <v>877</v>
      </c>
      <c r="F235" s="37" t="s">
        <v>871</v>
      </c>
      <c r="G235" s="37" t="s">
        <v>872</v>
      </c>
      <c r="H235" s="37" t="s">
        <v>872</v>
      </c>
      <c r="I235" s="37" t="s">
        <v>105</v>
      </c>
      <c r="J235" s="37" t="s">
        <v>105</v>
      </c>
      <c r="K235" s="37" t="s">
        <v>105</v>
      </c>
      <c r="L235" s="36">
        <v>4</v>
      </c>
      <c r="M235" s="36">
        <v>4</v>
      </c>
      <c r="N235" s="36">
        <v>4</v>
      </c>
      <c r="O235" s="36">
        <v>6</v>
      </c>
      <c r="P235" s="37" t="s">
        <v>265</v>
      </c>
      <c r="Q235" s="37"/>
      <c r="R235" s="37" t="s">
        <v>882</v>
      </c>
    </row>
    <row r="236" spans="1:18" ht="14.7" hidden="1" thickBot="1" x14ac:dyDescent="0.55000000000000004">
      <c r="A236" s="36">
        <v>234</v>
      </c>
      <c r="B236" s="37" t="s">
        <v>883</v>
      </c>
      <c r="C236" s="37" t="s">
        <v>884</v>
      </c>
      <c r="D236" s="37" t="s">
        <v>876</v>
      </c>
      <c r="E236" s="37" t="s">
        <v>877</v>
      </c>
      <c r="F236" s="37" t="s">
        <v>871</v>
      </c>
      <c r="G236" s="37" t="s">
        <v>871</v>
      </c>
      <c r="H236" s="37" t="s">
        <v>872</v>
      </c>
      <c r="I236" s="37" t="s">
        <v>105</v>
      </c>
      <c r="J236" s="37" t="s">
        <v>105</v>
      </c>
      <c r="K236" s="37" t="s">
        <v>105</v>
      </c>
      <c r="L236" s="36">
        <v>3</v>
      </c>
      <c r="M236" s="36">
        <v>3</v>
      </c>
      <c r="N236" s="36">
        <v>3</v>
      </c>
      <c r="O236" s="36">
        <v>5</v>
      </c>
      <c r="P236" s="37" t="s">
        <v>292</v>
      </c>
      <c r="Q236" s="37"/>
      <c r="R236" s="37" t="s">
        <v>885</v>
      </c>
    </row>
    <row r="237" spans="1:18" ht="27.7" hidden="1" thickBot="1" x14ac:dyDescent="0.55000000000000004">
      <c r="A237" s="36">
        <v>235</v>
      </c>
      <c r="B237" s="37" t="s">
        <v>884</v>
      </c>
      <c r="C237" s="37" t="s">
        <v>884</v>
      </c>
      <c r="D237" s="37" t="s">
        <v>876</v>
      </c>
      <c r="E237" s="37" t="s">
        <v>877</v>
      </c>
      <c r="F237" s="37" t="s">
        <v>871</v>
      </c>
      <c r="G237" s="37" t="s">
        <v>871</v>
      </c>
      <c r="H237" s="37" t="s">
        <v>872</v>
      </c>
      <c r="I237" s="37" t="s">
        <v>105</v>
      </c>
      <c r="J237" s="37" t="s">
        <v>105</v>
      </c>
      <c r="K237" s="37" t="s">
        <v>105</v>
      </c>
      <c r="L237" s="36">
        <v>4</v>
      </c>
      <c r="M237" s="36">
        <v>4</v>
      </c>
      <c r="N237" s="36">
        <v>4</v>
      </c>
      <c r="O237" s="36">
        <v>6</v>
      </c>
      <c r="P237" s="37" t="s">
        <v>292</v>
      </c>
      <c r="Q237" s="37"/>
      <c r="R237" s="37" t="s">
        <v>886</v>
      </c>
    </row>
    <row r="238" spans="1:18" ht="27.7" hidden="1" thickBot="1" x14ac:dyDescent="0.55000000000000004">
      <c r="A238" s="36">
        <v>236</v>
      </c>
      <c r="B238" s="37" t="s">
        <v>887</v>
      </c>
      <c r="C238" s="37" t="s">
        <v>875</v>
      </c>
      <c r="D238" s="37" t="s">
        <v>876</v>
      </c>
      <c r="E238" s="37" t="s">
        <v>877</v>
      </c>
      <c r="F238" s="37" t="s">
        <v>871</v>
      </c>
      <c r="G238" s="37" t="s">
        <v>872</v>
      </c>
      <c r="H238" s="37" t="s">
        <v>872</v>
      </c>
      <c r="I238" s="37" t="s">
        <v>105</v>
      </c>
      <c r="J238" s="37" t="s">
        <v>105</v>
      </c>
      <c r="K238" s="37" t="s">
        <v>105</v>
      </c>
      <c r="L238" s="36">
        <v>3</v>
      </c>
      <c r="M238" s="36">
        <v>3</v>
      </c>
      <c r="N238" s="36">
        <v>3</v>
      </c>
      <c r="O238" s="36">
        <v>5</v>
      </c>
      <c r="P238" s="37" t="s">
        <v>292</v>
      </c>
      <c r="Q238" s="37"/>
      <c r="R238" s="37" t="s">
        <v>888</v>
      </c>
    </row>
    <row r="239" spans="1:18" ht="14.7" hidden="1" thickBot="1" x14ac:dyDescent="0.55000000000000004">
      <c r="A239" s="36">
        <v>237</v>
      </c>
      <c r="B239" s="37" t="s">
        <v>889</v>
      </c>
      <c r="C239" s="37" t="s">
        <v>889</v>
      </c>
      <c r="D239" s="37" t="s">
        <v>635</v>
      </c>
      <c r="E239" s="37" t="s">
        <v>486</v>
      </c>
      <c r="F239" s="37" t="s">
        <v>487</v>
      </c>
      <c r="G239" s="37" t="s">
        <v>872</v>
      </c>
      <c r="H239" s="37" t="s">
        <v>872</v>
      </c>
      <c r="I239" s="37" t="s">
        <v>105</v>
      </c>
      <c r="J239" s="37" t="s">
        <v>105</v>
      </c>
      <c r="K239" s="37" t="s">
        <v>105</v>
      </c>
      <c r="L239" s="36">
        <v>3</v>
      </c>
      <c r="M239" s="36">
        <v>3</v>
      </c>
      <c r="N239" s="36">
        <v>3</v>
      </c>
      <c r="O239" s="36">
        <v>5</v>
      </c>
      <c r="P239" s="37" t="s">
        <v>292</v>
      </c>
      <c r="Q239" s="37"/>
      <c r="R239" s="37" t="s">
        <v>890</v>
      </c>
    </row>
    <row r="240" spans="1:18" ht="14.7" hidden="1" thickBot="1" x14ac:dyDescent="0.55000000000000004">
      <c r="A240" s="36">
        <v>238</v>
      </c>
      <c r="B240" s="37" t="s">
        <v>891</v>
      </c>
      <c r="C240" s="37" t="s">
        <v>889</v>
      </c>
      <c r="D240" s="37" t="s">
        <v>635</v>
      </c>
      <c r="E240" s="37" t="s">
        <v>486</v>
      </c>
      <c r="F240" s="37" t="s">
        <v>487</v>
      </c>
      <c r="G240" s="37" t="s">
        <v>488</v>
      </c>
      <c r="H240" s="37" t="s">
        <v>488</v>
      </c>
      <c r="I240" s="37" t="s">
        <v>105</v>
      </c>
      <c r="J240" s="37" t="s">
        <v>105</v>
      </c>
      <c r="K240" s="37" t="s">
        <v>105</v>
      </c>
      <c r="L240" s="36">
        <v>3</v>
      </c>
      <c r="M240" s="36">
        <v>3</v>
      </c>
      <c r="N240" s="36">
        <v>3</v>
      </c>
      <c r="O240" s="36">
        <v>3</v>
      </c>
      <c r="P240" s="37" t="s">
        <v>292</v>
      </c>
      <c r="Q240" s="37"/>
      <c r="R240" s="37" t="s">
        <v>892</v>
      </c>
    </row>
    <row r="241" spans="1:18" ht="14.7" hidden="1" thickBot="1" x14ac:dyDescent="0.55000000000000004">
      <c r="A241" s="36">
        <v>239</v>
      </c>
      <c r="B241" s="37" t="s">
        <v>893</v>
      </c>
      <c r="C241" s="37" t="s">
        <v>889</v>
      </c>
      <c r="D241" s="37" t="s">
        <v>635</v>
      </c>
      <c r="E241" s="37" t="s">
        <v>486</v>
      </c>
      <c r="F241" s="37" t="s">
        <v>487</v>
      </c>
      <c r="G241" s="37" t="s">
        <v>488</v>
      </c>
      <c r="H241" s="37" t="s">
        <v>488</v>
      </c>
      <c r="I241" s="37" t="s">
        <v>105</v>
      </c>
      <c r="J241" s="37" t="s">
        <v>105</v>
      </c>
      <c r="K241" s="37" t="s">
        <v>105</v>
      </c>
      <c r="L241" s="36">
        <v>3</v>
      </c>
      <c r="M241" s="36">
        <v>3</v>
      </c>
      <c r="N241" s="36">
        <v>3</v>
      </c>
      <c r="O241" s="36">
        <v>4</v>
      </c>
      <c r="P241" s="37" t="s">
        <v>292</v>
      </c>
      <c r="Q241" s="37"/>
      <c r="R241" s="37" t="s">
        <v>894</v>
      </c>
    </row>
    <row r="242" spans="1:18" ht="27.7" hidden="1" thickBot="1" x14ac:dyDescent="0.55000000000000004">
      <c r="A242" s="36">
        <v>240</v>
      </c>
      <c r="B242" s="37" t="s">
        <v>895</v>
      </c>
      <c r="C242" s="37" t="s">
        <v>635</v>
      </c>
      <c r="D242" s="37" t="s">
        <v>485</v>
      </c>
      <c r="E242" s="37" t="s">
        <v>486</v>
      </c>
      <c r="F242" s="37" t="s">
        <v>487</v>
      </c>
      <c r="G242" s="37" t="s">
        <v>488</v>
      </c>
      <c r="H242" s="37" t="s">
        <v>488</v>
      </c>
      <c r="I242" s="37" t="s">
        <v>105</v>
      </c>
      <c r="J242" s="37" t="s">
        <v>105</v>
      </c>
      <c r="K242" s="37" t="s">
        <v>105</v>
      </c>
      <c r="L242" s="36">
        <v>3</v>
      </c>
      <c r="M242" s="36">
        <v>3</v>
      </c>
      <c r="N242" s="36">
        <v>3</v>
      </c>
      <c r="O242" s="36">
        <v>5</v>
      </c>
      <c r="P242" s="37" t="s">
        <v>292</v>
      </c>
      <c r="Q242" s="37"/>
      <c r="R242" s="37" t="s">
        <v>896</v>
      </c>
    </row>
    <row r="243" spans="1:18" ht="27.7" hidden="1" thickBot="1" x14ac:dyDescent="0.55000000000000004">
      <c r="A243" s="36">
        <v>241</v>
      </c>
      <c r="B243" s="37" t="s">
        <v>897</v>
      </c>
      <c r="C243" s="37" t="s">
        <v>898</v>
      </c>
      <c r="D243" s="37" t="s">
        <v>635</v>
      </c>
      <c r="E243" s="37" t="s">
        <v>486</v>
      </c>
      <c r="F243" s="37" t="s">
        <v>487</v>
      </c>
      <c r="G243" s="37" t="s">
        <v>488</v>
      </c>
      <c r="H243" s="37" t="s">
        <v>488</v>
      </c>
      <c r="I243" s="37" t="s">
        <v>105</v>
      </c>
      <c r="J243" s="37" t="s">
        <v>105</v>
      </c>
      <c r="K243" s="37" t="s">
        <v>105</v>
      </c>
      <c r="L243" s="36">
        <v>3</v>
      </c>
      <c r="M243" s="36">
        <v>3</v>
      </c>
      <c r="N243" s="36">
        <v>3</v>
      </c>
      <c r="O243" s="36">
        <v>4</v>
      </c>
      <c r="P243" s="37" t="s">
        <v>292</v>
      </c>
      <c r="Q243" s="37"/>
      <c r="R243" s="37" t="s">
        <v>899</v>
      </c>
    </row>
    <row r="244" spans="1:18" ht="27.7" hidden="1" thickBot="1" x14ac:dyDescent="0.55000000000000004">
      <c r="A244" s="36">
        <v>242</v>
      </c>
      <c r="B244" s="37" t="s">
        <v>900</v>
      </c>
      <c r="C244" s="37" t="s">
        <v>898</v>
      </c>
      <c r="D244" s="37" t="s">
        <v>635</v>
      </c>
      <c r="E244" s="37" t="s">
        <v>486</v>
      </c>
      <c r="F244" s="37" t="s">
        <v>515</v>
      </c>
      <c r="G244" s="37" t="s">
        <v>515</v>
      </c>
      <c r="H244" s="37" t="s">
        <v>515</v>
      </c>
      <c r="I244" s="37" t="s">
        <v>105</v>
      </c>
      <c r="J244" s="37" t="s">
        <v>105</v>
      </c>
      <c r="K244" s="37" t="s">
        <v>105</v>
      </c>
      <c r="L244" s="36">
        <v>3</v>
      </c>
      <c r="M244" s="36">
        <v>3</v>
      </c>
      <c r="N244" s="36">
        <v>3</v>
      </c>
      <c r="O244" s="36">
        <v>4</v>
      </c>
      <c r="P244" s="37" t="s">
        <v>292</v>
      </c>
      <c r="Q244" s="37" t="s">
        <v>900</v>
      </c>
      <c r="R244" s="37" t="s">
        <v>901</v>
      </c>
    </row>
    <row r="245" spans="1:18" ht="27.7" hidden="1" thickBot="1" x14ac:dyDescent="0.55000000000000004">
      <c r="A245" s="36">
        <v>243</v>
      </c>
      <c r="B245" s="37" t="s">
        <v>902</v>
      </c>
      <c r="C245" s="37" t="s">
        <v>903</v>
      </c>
      <c r="D245" s="37" t="s">
        <v>904</v>
      </c>
      <c r="E245" s="37" t="s">
        <v>877</v>
      </c>
      <c r="F245" s="37" t="s">
        <v>872</v>
      </c>
      <c r="G245" s="37" t="s">
        <v>872</v>
      </c>
      <c r="H245" s="37" t="s">
        <v>872</v>
      </c>
      <c r="I245" s="37" t="s">
        <v>105</v>
      </c>
      <c r="J245" s="37" t="s">
        <v>105</v>
      </c>
      <c r="K245" s="37" t="s">
        <v>105</v>
      </c>
      <c r="L245" s="36">
        <v>3</v>
      </c>
      <c r="M245" s="36">
        <v>3</v>
      </c>
      <c r="N245" s="36">
        <v>3</v>
      </c>
      <c r="O245" s="36">
        <v>4</v>
      </c>
      <c r="P245" s="37" t="s">
        <v>265</v>
      </c>
      <c r="Q245" s="37"/>
      <c r="R245" s="37" t="s">
        <v>905</v>
      </c>
    </row>
    <row r="246" spans="1:18" ht="27.7" hidden="1" thickBot="1" x14ac:dyDescent="0.55000000000000004">
      <c r="A246" s="36">
        <v>244</v>
      </c>
      <c r="B246" s="37" t="s">
        <v>906</v>
      </c>
      <c r="C246" s="37" t="s">
        <v>898</v>
      </c>
      <c r="D246" s="37" t="s">
        <v>635</v>
      </c>
      <c r="E246" s="37" t="s">
        <v>486</v>
      </c>
      <c r="F246" s="37" t="s">
        <v>515</v>
      </c>
      <c r="G246" s="37" t="s">
        <v>515</v>
      </c>
      <c r="H246" s="37" t="s">
        <v>515</v>
      </c>
      <c r="I246" s="37" t="s">
        <v>105</v>
      </c>
      <c r="J246" s="37" t="s">
        <v>105</v>
      </c>
      <c r="K246" s="37" t="s">
        <v>105</v>
      </c>
      <c r="L246" s="36">
        <v>3</v>
      </c>
      <c r="M246" s="36">
        <v>3</v>
      </c>
      <c r="N246" s="36">
        <v>3</v>
      </c>
      <c r="O246" s="36">
        <v>4</v>
      </c>
      <c r="P246" s="37" t="s">
        <v>292</v>
      </c>
      <c r="Q246" s="37"/>
      <c r="R246" s="37" t="s">
        <v>907</v>
      </c>
    </row>
    <row r="247" spans="1:18" ht="27.7" hidden="1" thickBot="1" x14ac:dyDescent="0.55000000000000004">
      <c r="A247" s="36">
        <v>245</v>
      </c>
      <c r="B247" s="37" t="s">
        <v>908</v>
      </c>
      <c r="C247" s="37" t="s">
        <v>909</v>
      </c>
      <c r="D247" s="37" t="s">
        <v>519</v>
      </c>
      <c r="E247" s="37" t="s">
        <v>486</v>
      </c>
      <c r="F247" s="37" t="s">
        <v>515</v>
      </c>
      <c r="G247" s="37" t="s">
        <v>515</v>
      </c>
      <c r="H247" s="37" t="s">
        <v>515</v>
      </c>
      <c r="I247" s="37" t="s">
        <v>105</v>
      </c>
      <c r="J247" s="37" t="s">
        <v>105</v>
      </c>
      <c r="K247" s="37" t="s">
        <v>105</v>
      </c>
      <c r="L247" s="36">
        <v>3</v>
      </c>
      <c r="M247" s="36">
        <v>3</v>
      </c>
      <c r="N247" s="36">
        <v>3</v>
      </c>
      <c r="O247" s="36">
        <v>4</v>
      </c>
      <c r="P247" s="37" t="s">
        <v>292</v>
      </c>
      <c r="Q247" s="37"/>
      <c r="R247" s="37" t="s">
        <v>910</v>
      </c>
    </row>
    <row r="248" spans="1:18" ht="41.35" hidden="1" thickBot="1" x14ac:dyDescent="0.55000000000000004">
      <c r="A248" s="36">
        <v>246</v>
      </c>
      <c r="B248" s="37" t="s">
        <v>911</v>
      </c>
      <c r="C248" s="37" t="s">
        <v>912</v>
      </c>
      <c r="D248" s="37" t="s">
        <v>519</v>
      </c>
      <c r="E248" s="37" t="s">
        <v>502</v>
      </c>
      <c r="F248" s="37" t="s">
        <v>515</v>
      </c>
      <c r="G248" s="37" t="s">
        <v>515</v>
      </c>
      <c r="H248" s="37" t="s">
        <v>515</v>
      </c>
      <c r="I248" s="37" t="s">
        <v>105</v>
      </c>
      <c r="J248" s="37" t="s">
        <v>105</v>
      </c>
      <c r="K248" s="37" t="s">
        <v>105</v>
      </c>
      <c r="L248" s="36">
        <v>3</v>
      </c>
      <c r="M248" s="36">
        <v>3</v>
      </c>
      <c r="N248" s="36">
        <v>3</v>
      </c>
      <c r="O248" s="36">
        <v>4</v>
      </c>
      <c r="P248" s="37" t="s">
        <v>292</v>
      </c>
      <c r="Q248" s="37"/>
      <c r="R248" s="37" t="s">
        <v>913</v>
      </c>
    </row>
    <row r="249" spans="1:18" ht="41.35" hidden="1" thickBot="1" x14ac:dyDescent="0.55000000000000004">
      <c r="A249" s="36">
        <v>247</v>
      </c>
      <c r="B249" s="37" t="s">
        <v>914</v>
      </c>
      <c r="C249" s="37" t="s">
        <v>912</v>
      </c>
      <c r="D249" s="37" t="s">
        <v>519</v>
      </c>
      <c r="E249" s="37" t="s">
        <v>502</v>
      </c>
      <c r="F249" s="37" t="s">
        <v>515</v>
      </c>
      <c r="G249" s="37" t="s">
        <v>515</v>
      </c>
      <c r="H249" s="37" t="s">
        <v>515</v>
      </c>
      <c r="I249" s="37" t="s">
        <v>105</v>
      </c>
      <c r="J249" s="37" t="s">
        <v>105</v>
      </c>
      <c r="K249" s="37" t="s">
        <v>105</v>
      </c>
      <c r="L249" s="36">
        <v>3</v>
      </c>
      <c r="M249" s="36">
        <v>3</v>
      </c>
      <c r="N249" s="36">
        <v>3</v>
      </c>
      <c r="O249" s="36">
        <v>3</v>
      </c>
      <c r="P249" s="37" t="s">
        <v>292</v>
      </c>
      <c r="Q249" s="37"/>
      <c r="R249" s="37" t="s">
        <v>915</v>
      </c>
    </row>
    <row r="250" spans="1:18" ht="41.35" hidden="1" thickBot="1" x14ac:dyDescent="0.55000000000000004">
      <c r="A250" s="36">
        <v>248</v>
      </c>
      <c r="B250" s="37" t="s">
        <v>909</v>
      </c>
      <c r="C250" s="37" t="s">
        <v>909</v>
      </c>
      <c r="D250" s="37" t="s">
        <v>519</v>
      </c>
      <c r="E250" s="37" t="s">
        <v>502</v>
      </c>
      <c r="F250" s="37" t="s">
        <v>515</v>
      </c>
      <c r="G250" s="37" t="s">
        <v>515</v>
      </c>
      <c r="H250" s="37" t="s">
        <v>515</v>
      </c>
      <c r="I250" s="37" t="s">
        <v>105</v>
      </c>
      <c r="J250" s="37" t="s">
        <v>105</v>
      </c>
      <c r="K250" s="37" t="s">
        <v>105</v>
      </c>
      <c r="L250" s="36">
        <v>3</v>
      </c>
      <c r="M250" s="36">
        <v>3</v>
      </c>
      <c r="N250" s="36">
        <v>3</v>
      </c>
      <c r="O250" s="36">
        <v>4</v>
      </c>
      <c r="P250" s="37" t="s">
        <v>292</v>
      </c>
      <c r="Q250" s="37" t="s">
        <v>909</v>
      </c>
      <c r="R250" s="37" t="s">
        <v>916</v>
      </c>
    </row>
    <row r="251" spans="1:18" ht="41.35" hidden="1" thickBot="1" x14ac:dyDescent="0.55000000000000004">
      <c r="A251" s="36">
        <v>249</v>
      </c>
      <c r="B251" s="37" t="s">
        <v>917</v>
      </c>
      <c r="C251" s="37" t="s">
        <v>918</v>
      </c>
      <c r="D251" s="37" t="s">
        <v>519</v>
      </c>
      <c r="E251" s="37" t="s">
        <v>502</v>
      </c>
      <c r="F251" s="37" t="s">
        <v>515</v>
      </c>
      <c r="G251" s="37" t="s">
        <v>515</v>
      </c>
      <c r="H251" s="37" t="s">
        <v>515</v>
      </c>
      <c r="I251" s="37" t="s">
        <v>105</v>
      </c>
      <c r="J251" s="37" t="s">
        <v>105</v>
      </c>
      <c r="K251" s="37" t="s">
        <v>105</v>
      </c>
      <c r="L251" s="36">
        <v>3</v>
      </c>
      <c r="M251" s="36">
        <v>3</v>
      </c>
      <c r="N251" s="36">
        <v>3</v>
      </c>
      <c r="O251" s="36">
        <v>5</v>
      </c>
      <c r="P251" s="37" t="s">
        <v>292</v>
      </c>
      <c r="Q251" s="37"/>
      <c r="R251" s="37" t="s">
        <v>919</v>
      </c>
    </row>
    <row r="252" spans="1:18" ht="41.35" hidden="1" thickBot="1" x14ac:dyDescent="0.55000000000000004">
      <c r="A252" s="36">
        <v>250</v>
      </c>
      <c r="B252" s="37" t="s">
        <v>920</v>
      </c>
      <c r="C252" s="37" t="s">
        <v>618</v>
      </c>
      <c r="D252" s="37" t="s">
        <v>519</v>
      </c>
      <c r="E252" s="37" t="s">
        <v>502</v>
      </c>
      <c r="F252" s="37" t="s">
        <v>515</v>
      </c>
      <c r="G252" s="37" t="s">
        <v>515</v>
      </c>
      <c r="H252" s="37" t="s">
        <v>515</v>
      </c>
      <c r="I252" s="37" t="s">
        <v>105</v>
      </c>
      <c r="J252" s="37" t="s">
        <v>105</v>
      </c>
      <c r="K252" s="37" t="s">
        <v>105</v>
      </c>
      <c r="L252" s="36">
        <v>3</v>
      </c>
      <c r="M252" s="36">
        <v>3</v>
      </c>
      <c r="N252" s="36">
        <v>3</v>
      </c>
      <c r="O252" s="36">
        <v>4</v>
      </c>
      <c r="P252" s="37" t="s">
        <v>292</v>
      </c>
      <c r="Q252" s="37"/>
      <c r="R252" s="37" t="s">
        <v>921</v>
      </c>
    </row>
    <row r="253" spans="1:18" ht="41.35" hidden="1" thickBot="1" x14ac:dyDescent="0.55000000000000004">
      <c r="A253" s="36">
        <v>251</v>
      </c>
      <c r="B253" s="37" t="s">
        <v>922</v>
      </c>
      <c r="C253" s="37" t="s">
        <v>918</v>
      </c>
      <c r="D253" s="37" t="s">
        <v>519</v>
      </c>
      <c r="E253" s="37" t="s">
        <v>502</v>
      </c>
      <c r="F253" s="37" t="s">
        <v>515</v>
      </c>
      <c r="G253" s="37" t="s">
        <v>515</v>
      </c>
      <c r="H253" s="37" t="s">
        <v>515</v>
      </c>
      <c r="I253" s="37" t="s">
        <v>105</v>
      </c>
      <c r="J253" s="37" t="s">
        <v>105</v>
      </c>
      <c r="K253" s="37" t="s">
        <v>105</v>
      </c>
      <c r="L253" s="36">
        <v>3</v>
      </c>
      <c r="M253" s="36">
        <v>3</v>
      </c>
      <c r="N253" s="36">
        <v>3</v>
      </c>
      <c r="O253" s="36">
        <v>4</v>
      </c>
      <c r="P253" s="37" t="s">
        <v>292</v>
      </c>
      <c r="Q253" s="37"/>
      <c r="R253" s="37" t="s">
        <v>923</v>
      </c>
    </row>
    <row r="254" spans="1:18" ht="41.35" hidden="1" thickBot="1" x14ac:dyDescent="0.55000000000000004">
      <c r="A254" s="36">
        <v>252</v>
      </c>
      <c r="B254" s="37" t="s">
        <v>924</v>
      </c>
      <c r="C254" s="37" t="s">
        <v>918</v>
      </c>
      <c r="D254" s="37" t="s">
        <v>519</v>
      </c>
      <c r="E254" s="37" t="s">
        <v>502</v>
      </c>
      <c r="F254" s="37" t="s">
        <v>515</v>
      </c>
      <c r="G254" s="37" t="s">
        <v>515</v>
      </c>
      <c r="H254" s="37" t="s">
        <v>515</v>
      </c>
      <c r="I254" s="37" t="s">
        <v>105</v>
      </c>
      <c r="J254" s="37" t="s">
        <v>105</v>
      </c>
      <c r="K254" s="37" t="s">
        <v>105</v>
      </c>
      <c r="L254" s="36">
        <v>3</v>
      </c>
      <c r="M254" s="36">
        <v>3</v>
      </c>
      <c r="N254" s="36">
        <v>3</v>
      </c>
      <c r="O254" s="36">
        <v>4</v>
      </c>
      <c r="P254" s="37" t="s">
        <v>292</v>
      </c>
      <c r="Q254" s="37"/>
      <c r="R254" s="37" t="s">
        <v>925</v>
      </c>
    </row>
    <row r="255" spans="1:18" ht="41.35" hidden="1" thickBot="1" x14ac:dyDescent="0.55000000000000004">
      <c r="A255" s="36">
        <v>253</v>
      </c>
      <c r="B255" s="37" t="s">
        <v>926</v>
      </c>
      <c r="C255" s="37" t="s">
        <v>918</v>
      </c>
      <c r="D255" s="37" t="s">
        <v>519</v>
      </c>
      <c r="E255" s="37" t="s">
        <v>502</v>
      </c>
      <c r="F255" s="37" t="s">
        <v>515</v>
      </c>
      <c r="G255" s="37" t="s">
        <v>515</v>
      </c>
      <c r="H255" s="37" t="s">
        <v>515</v>
      </c>
      <c r="I255" s="37" t="s">
        <v>105</v>
      </c>
      <c r="J255" s="37" t="s">
        <v>105</v>
      </c>
      <c r="K255" s="37" t="s">
        <v>105</v>
      </c>
      <c r="L255" s="36">
        <v>4</v>
      </c>
      <c r="M255" s="36">
        <v>4</v>
      </c>
      <c r="N255" s="36">
        <v>4</v>
      </c>
      <c r="O255" s="36">
        <v>5</v>
      </c>
      <c r="P255" s="37" t="s">
        <v>292</v>
      </c>
      <c r="Q255" s="37"/>
      <c r="R255" s="37" t="s">
        <v>927</v>
      </c>
    </row>
    <row r="256" spans="1:18" ht="41.35" hidden="1" thickBot="1" x14ac:dyDescent="0.55000000000000004">
      <c r="A256" s="36">
        <v>254</v>
      </c>
      <c r="B256" s="37" t="s">
        <v>928</v>
      </c>
      <c r="C256" s="37" t="s">
        <v>611</v>
      </c>
      <c r="D256" s="37" t="s">
        <v>519</v>
      </c>
      <c r="E256" s="37" t="s">
        <v>502</v>
      </c>
      <c r="F256" s="37" t="s">
        <v>515</v>
      </c>
      <c r="G256" s="37" t="s">
        <v>515</v>
      </c>
      <c r="H256" s="37" t="s">
        <v>515</v>
      </c>
      <c r="I256" s="37" t="s">
        <v>105</v>
      </c>
      <c r="J256" s="37" t="s">
        <v>105</v>
      </c>
      <c r="K256" s="37" t="s">
        <v>105</v>
      </c>
      <c r="L256" s="36">
        <v>3</v>
      </c>
      <c r="M256" s="36">
        <v>3</v>
      </c>
      <c r="N256" s="36">
        <v>3</v>
      </c>
      <c r="O256" s="36">
        <v>5</v>
      </c>
      <c r="P256" s="37" t="s">
        <v>292</v>
      </c>
      <c r="Q256" s="37"/>
      <c r="R256" s="37" t="s">
        <v>929</v>
      </c>
    </row>
    <row r="257" spans="1:18" ht="41.35" hidden="1" thickBot="1" x14ac:dyDescent="0.55000000000000004">
      <c r="A257" s="36">
        <v>255</v>
      </c>
      <c r="B257" s="37" t="s">
        <v>930</v>
      </c>
      <c r="C257" s="37" t="s">
        <v>931</v>
      </c>
      <c r="D257" s="37" t="s">
        <v>519</v>
      </c>
      <c r="E257" s="37" t="s">
        <v>502</v>
      </c>
      <c r="F257" s="37" t="s">
        <v>515</v>
      </c>
      <c r="G257" s="37" t="s">
        <v>515</v>
      </c>
      <c r="H257" s="37" t="s">
        <v>515</v>
      </c>
      <c r="I257" s="37" t="s">
        <v>105</v>
      </c>
      <c r="J257" s="37" t="s">
        <v>105</v>
      </c>
      <c r="K257" s="37" t="s">
        <v>105</v>
      </c>
      <c r="L257" s="36">
        <v>4</v>
      </c>
      <c r="M257" s="36">
        <v>4</v>
      </c>
      <c r="N257" s="36">
        <v>4</v>
      </c>
      <c r="O257" s="36">
        <v>4</v>
      </c>
      <c r="P257" s="37" t="s">
        <v>292</v>
      </c>
      <c r="Q257" s="37"/>
      <c r="R257" s="37" t="s">
        <v>932</v>
      </c>
    </row>
    <row r="258" spans="1:18" ht="41.35" hidden="1" thickBot="1" x14ac:dyDescent="0.55000000000000004">
      <c r="A258" s="36">
        <v>256</v>
      </c>
      <c r="B258" s="37" t="s">
        <v>933</v>
      </c>
      <c r="C258" s="37" t="s">
        <v>931</v>
      </c>
      <c r="D258" s="37" t="s">
        <v>519</v>
      </c>
      <c r="E258" s="37" t="s">
        <v>502</v>
      </c>
      <c r="F258" s="37" t="s">
        <v>520</v>
      </c>
      <c r="G258" s="37" t="s">
        <v>515</v>
      </c>
      <c r="H258" s="37" t="s">
        <v>515</v>
      </c>
      <c r="I258" s="37" t="s">
        <v>264</v>
      </c>
      <c r="J258" s="37" t="s">
        <v>105</v>
      </c>
      <c r="K258" s="37" t="s">
        <v>105</v>
      </c>
      <c r="L258" s="36">
        <v>1</v>
      </c>
      <c r="M258" s="36">
        <v>3</v>
      </c>
      <c r="N258" s="36">
        <v>3</v>
      </c>
      <c r="O258" s="36">
        <v>4</v>
      </c>
      <c r="P258" s="37" t="s">
        <v>292</v>
      </c>
      <c r="Q258" s="37"/>
      <c r="R258" s="37" t="s">
        <v>934</v>
      </c>
    </row>
    <row r="259" spans="1:18" ht="41.35" hidden="1" thickBot="1" x14ac:dyDescent="0.55000000000000004">
      <c r="A259" s="36">
        <v>257</v>
      </c>
      <c r="B259" s="37" t="s">
        <v>935</v>
      </c>
      <c r="C259" s="37" t="s">
        <v>936</v>
      </c>
      <c r="D259" s="37" t="s">
        <v>519</v>
      </c>
      <c r="E259" s="37" t="s">
        <v>502</v>
      </c>
      <c r="F259" s="37" t="s">
        <v>520</v>
      </c>
      <c r="G259" s="37" t="s">
        <v>515</v>
      </c>
      <c r="H259" s="37" t="s">
        <v>515</v>
      </c>
      <c r="I259" s="37" t="s">
        <v>264</v>
      </c>
      <c r="J259" s="37" t="s">
        <v>105</v>
      </c>
      <c r="K259" s="37" t="s">
        <v>105</v>
      </c>
      <c r="L259" s="36">
        <v>1</v>
      </c>
      <c r="M259" s="36">
        <v>3</v>
      </c>
      <c r="N259" s="36">
        <v>3</v>
      </c>
      <c r="O259" s="36">
        <v>4</v>
      </c>
      <c r="P259" s="37" t="s">
        <v>292</v>
      </c>
      <c r="Q259" s="37"/>
      <c r="R259" s="37" t="s">
        <v>937</v>
      </c>
    </row>
    <row r="260" spans="1:18" ht="41.35" hidden="1" thickBot="1" x14ac:dyDescent="0.55000000000000004">
      <c r="A260" s="36">
        <v>258</v>
      </c>
      <c r="B260" s="37" t="s">
        <v>938</v>
      </c>
      <c r="C260" s="37" t="s">
        <v>936</v>
      </c>
      <c r="D260" s="37" t="s">
        <v>519</v>
      </c>
      <c r="E260" s="37" t="s">
        <v>502</v>
      </c>
      <c r="F260" s="37" t="s">
        <v>520</v>
      </c>
      <c r="G260" s="37" t="s">
        <v>515</v>
      </c>
      <c r="H260" s="37" t="s">
        <v>515</v>
      </c>
      <c r="I260" s="37" t="s">
        <v>264</v>
      </c>
      <c r="J260" s="37" t="s">
        <v>105</v>
      </c>
      <c r="K260" s="37" t="s">
        <v>105</v>
      </c>
      <c r="L260" s="36">
        <v>1</v>
      </c>
      <c r="M260" s="36">
        <v>3</v>
      </c>
      <c r="N260" s="36">
        <v>3</v>
      </c>
      <c r="O260" s="36">
        <v>4</v>
      </c>
      <c r="P260" s="37" t="s">
        <v>292</v>
      </c>
      <c r="Q260" s="37"/>
      <c r="R260" s="37" t="s">
        <v>939</v>
      </c>
    </row>
    <row r="261" spans="1:18" ht="41.35" hidden="1" thickBot="1" x14ac:dyDescent="0.55000000000000004">
      <c r="A261" s="36">
        <v>259</v>
      </c>
      <c r="B261" s="37" t="s">
        <v>940</v>
      </c>
      <c r="C261" s="37" t="s">
        <v>940</v>
      </c>
      <c r="D261" s="37" t="s">
        <v>519</v>
      </c>
      <c r="E261" s="37" t="s">
        <v>502</v>
      </c>
      <c r="F261" s="37" t="s">
        <v>520</v>
      </c>
      <c r="G261" s="37" t="s">
        <v>515</v>
      </c>
      <c r="H261" s="37" t="s">
        <v>515</v>
      </c>
      <c r="I261" s="37" t="s">
        <v>264</v>
      </c>
      <c r="J261" s="37" t="s">
        <v>105</v>
      </c>
      <c r="K261" s="37" t="s">
        <v>105</v>
      </c>
      <c r="L261" s="36">
        <v>2</v>
      </c>
      <c r="M261" s="36">
        <v>3</v>
      </c>
      <c r="N261" s="36">
        <v>3</v>
      </c>
      <c r="O261" s="36">
        <v>4</v>
      </c>
      <c r="P261" s="37" t="s">
        <v>265</v>
      </c>
      <c r="Q261" s="37"/>
      <c r="R261" s="37" t="s">
        <v>941</v>
      </c>
    </row>
    <row r="262" spans="1:18" ht="41.35" hidden="1" thickBot="1" x14ac:dyDescent="0.55000000000000004">
      <c r="A262" s="36">
        <v>260</v>
      </c>
      <c r="B262" s="37" t="s">
        <v>942</v>
      </c>
      <c r="C262" s="37" t="s">
        <v>942</v>
      </c>
      <c r="D262" s="37" t="s">
        <v>519</v>
      </c>
      <c r="E262" s="37" t="s">
        <v>502</v>
      </c>
      <c r="F262" s="37" t="s">
        <v>943</v>
      </c>
      <c r="G262" s="37" t="s">
        <v>943</v>
      </c>
      <c r="H262" s="37" t="s">
        <v>943</v>
      </c>
      <c r="I262" s="37" t="s">
        <v>944</v>
      </c>
      <c r="J262" s="37" t="s">
        <v>944</v>
      </c>
      <c r="K262" s="37" t="s">
        <v>944</v>
      </c>
      <c r="L262" s="36">
        <v>1</v>
      </c>
      <c r="M262" s="36">
        <v>3</v>
      </c>
      <c r="N262" s="36">
        <v>3</v>
      </c>
      <c r="O262" s="36">
        <v>4</v>
      </c>
      <c r="P262" s="37" t="s">
        <v>265</v>
      </c>
      <c r="Q262" s="37" t="s">
        <v>945</v>
      </c>
      <c r="R262" s="37" t="s">
        <v>946</v>
      </c>
    </row>
    <row r="263" spans="1:18" ht="41.35" hidden="1" thickBot="1" x14ac:dyDescent="0.55000000000000004">
      <c r="A263" s="36">
        <v>261</v>
      </c>
      <c r="B263" s="37" t="s">
        <v>947</v>
      </c>
      <c r="C263" s="37" t="s">
        <v>942</v>
      </c>
      <c r="D263" s="37" t="s">
        <v>519</v>
      </c>
      <c r="E263" s="37" t="s">
        <v>948</v>
      </c>
      <c r="F263" s="37" t="s">
        <v>520</v>
      </c>
      <c r="G263" s="37" t="s">
        <v>515</v>
      </c>
      <c r="H263" s="37" t="s">
        <v>515</v>
      </c>
      <c r="I263" s="37" t="s">
        <v>264</v>
      </c>
      <c r="J263" s="37" t="s">
        <v>105</v>
      </c>
      <c r="K263" s="37" t="s">
        <v>105</v>
      </c>
      <c r="L263" s="36">
        <v>2</v>
      </c>
      <c r="M263" s="36">
        <v>3</v>
      </c>
      <c r="N263" s="36">
        <v>3</v>
      </c>
      <c r="O263" s="36">
        <v>6</v>
      </c>
      <c r="P263" s="37" t="s">
        <v>265</v>
      </c>
      <c r="Q263" s="37" t="s">
        <v>949</v>
      </c>
      <c r="R263" s="37" t="s">
        <v>950</v>
      </c>
    </row>
    <row r="264" spans="1:18" ht="55" hidden="1" thickBot="1" x14ac:dyDescent="0.55000000000000004">
      <c r="A264" s="36">
        <v>262</v>
      </c>
      <c r="B264" s="37" t="s">
        <v>951</v>
      </c>
      <c r="C264" s="37" t="s">
        <v>942</v>
      </c>
      <c r="D264" s="37" t="s">
        <v>519</v>
      </c>
      <c r="E264" s="37" t="s">
        <v>502</v>
      </c>
      <c r="F264" s="37" t="s">
        <v>943</v>
      </c>
      <c r="G264" s="37" t="s">
        <v>943</v>
      </c>
      <c r="H264" s="37" t="s">
        <v>943</v>
      </c>
      <c r="I264" s="37" t="s">
        <v>944</v>
      </c>
      <c r="J264" s="37" t="s">
        <v>944</v>
      </c>
      <c r="K264" s="37" t="s">
        <v>944</v>
      </c>
      <c r="L264" s="36">
        <v>1</v>
      </c>
      <c r="M264" s="36">
        <v>3</v>
      </c>
      <c r="N264" s="36">
        <v>3</v>
      </c>
      <c r="O264" s="36">
        <v>6</v>
      </c>
      <c r="P264" s="37" t="s">
        <v>265</v>
      </c>
      <c r="Q264" s="37" t="s">
        <v>952</v>
      </c>
      <c r="R264" s="37" t="s">
        <v>953</v>
      </c>
    </row>
    <row r="265" spans="1:18" ht="27.7" hidden="1" thickBot="1" x14ac:dyDescent="0.55000000000000004">
      <c r="A265" s="36">
        <v>263</v>
      </c>
      <c r="B265" s="37" t="s">
        <v>954</v>
      </c>
      <c r="C265" s="37" t="s">
        <v>954</v>
      </c>
      <c r="D265" s="37" t="s">
        <v>284</v>
      </c>
      <c r="E265" s="37" t="s">
        <v>260</v>
      </c>
      <c r="F265" s="37" t="s">
        <v>520</v>
      </c>
      <c r="G265" s="37" t="s">
        <v>515</v>
      </c>
      <c r="H265" s="37" t="s">
        <v>285</v>
      </c>
      <c r="I265" s="37" t="s">
        <v>264</v>
      </c>
      <c r="J265" s="37" t="s">
        <v>105</v>
      </c>
      <c r="K265" s="37" t="s">
        <v>105</v>
      </c>
      <c r="L265" s="36">
        <v>1</v>
      </c>
      <c r="M265" s="36">
        <v>1</v>
      </c>
      <c r="N265" s="36">
        <v>3</v>
      </c>
      <c r="O265" s="36">
        <v>5</v>
      </c>
      <c r="P265" s="37" t="s">
        <v>265</v>
      </c>
      <c r="Q265" s="37" t="s">
        <v>955</v>
      </c>
      <c r="R265" s="37" t="s">
        <v>956</v>
      </c>
    </row>
    <row r="266" spans="1:18" ht="27.7" hidden="1" thickBot="1" x14ac:dyDescent="0.55000000000000004">
      <c r="A266" s="36">
        <v>264</v>
      </c>
      <c r="B266" s="37" t="s">
        <v>957</v>
      </c>
      <c r="C266" s="37" t="s">
        <v>958</v>
      </c>
      <c r="D266" s="37" t="s">
        <v>284</v>
      </c>
      <c r="E266" s="37" t="s">
        <v>260</v>
      </c>
      <c r="F266" s="37" t="s">
        <v>262</v>
      </c>
      <c r="G266" s="37" t="s">
        <v>262</v>
      </c>
      <c r="H266" s="37" t="s">
        <v>285</v>
      </c>
      <c r="I266" s="37" t="s">
        <v>264</v>
      </c>
      <c r="J266" s="37" t="s">
        <v>264</v>
      </c>
      <c r="K266" s="37" t="s">
        <v>105</v>
      </c>
      <c r="L266" s="36">
        <v>1</v>
      </c>
      <c r="M266" s="36">
        <v>1</v>
      </c>
      <c r="N266" s="36">
        <v>4</v>
      </c>
      <c r="O266" s="36">
        <v>5</v>
      </c>
      <c r="P266" s="37" t="s">
        <v>265</v>
      </c>
      <c r="Q266" s="37" t="s">
        <v>959</v>
      </c>
      <c r="R266" s="37" t="s">
        <v>960</v>
      </c>
    </row>
    <row r="267" spans="1:18" ht="27.7" hidden="1" thickBot="1" x14ac:dyDescent="0.55000000000000004">
      <c r="A267" s="36">
        <v>265</v>
      </c>
      <c r="B267" s="37" t="s">
        <v>961</v>
      </c>
      <c r="C267" s="37" t="s">
        <v>962</v>
      </c>
      <c r="D267" s="37" t="s">
        <v>284</v>
      </c>
      <c r="E267" s="37" t="s">
        <v>260</v>
      </c>
      <c r="F267" s="37" t="s">
        <v>262</v>
      </c>
      <c r="G267" s="37" t="s">
        <v>262</v>
      </c>
      <c r="H267" s="37" t="s">
        <v>285</v>
      </c>
      <c r="I267" s="37" t="s">
        <v>264</v>
      </c>
      <c r="J267" s="37" t="s">
        <v>264</v>
      </c>
      <c r="K267" s="37" t="s">
        <v>105</v>
      </c>
      <c r="L267" s="36">
        <v>1</v>
      </c>
      <c r="M267" s="36">
        <v>1</v>
      </c>
      <c r="N267" s="36">
        <v>3</v>
      </c>
      <c r="O267" s="36">
        <v>4</v>
      </c>
      <c r="P267" s="37" t="s">
        <v>265</v>
      </c>
      <c r="Q267" s="37"/>
      <c r="R267" s="37" t="s">
        <v>963</v>
      </c>
    </row>
    <row r="268" spans="1:18" ht="27.7" hidden="1" thickBot="1" x14ac:dyDescent="0.55000000000000004">
      <c r="A268" s="36">
        <v>266</v>
      </c>
      <c r="B268" s="37" t="s">
        <v>962</v>
      </c>
      <c r="C268" s="37" t="s">
        <v>962</v>
      </c>
      <c r="D268" s="37" t="s">
        <v>284</v>
      </c>
      <c r="E268" s="37" t="s">
        <v>260</v>
      </c>
      <c r="F268" s="37" t="s">
        <v>262</v>
      </c>
      <c r="G268" s="37" t="s">
        <v>262</v>
      </c>
      <c r="H268" s="37" t="s">
        <v>285</v>
      </c>
      <c r="I268" s="37" t="s">
        <v>264</v>
      </c>
      <c r="J268" s="37" t="s">
        <v>264</v>
      </c>
      <c r="K268" s="37" t="s">
        <v>105</v>
      </c>
      <c r="L268" s="36">
        <v>2</v>
      </c>
      <c r="M268" s="36">
        <v>2</v>
      </c>
      <c r="N268" s="36">
        <v>5</v>
      </c>
      <c r="O268" s="36">
        <v>6</v>
      </c>
      <c r="P268" s="37" t="s">
        <v>265</v>
      </c>
      <c r="Q268" s="37" t="s">
        <v>964</v>
      </c>
      <c r="R268" s="37" t="s">
        <v>965</v>
      </c>
    </row>
    <row r="269" spans="1:18" ht="27.7" hidden="1" thickBot="1" x14ac:dyDescent="0.55000000000000004">
      <c r="A269" s="36">
        <v>267</v>
      </c>
      <c r="B269" s="37" t="s">
        <v>966</v>
      </c>
      <c r="C269" s="37" t="s">
        <v>958</v>
      </c>
      <c r="D269" s="37" t="s">
        <v>284</v>
      </c>
      <c r="E269" s="37" t="s">
        <v>260</v>
      </c>
      <c r="F269" s="37" t="s">
        <v>262</v>
      </c>
      <c r="G269" s="37" t="s">
        <v>262</v>
      </c>
      <c r="H269" s="37" t="s">
        <v>285</v>
      </c>
      <c r="I269" s="37" t="s">
        <v>264</v>
      </c>
      <c r="J269" s="37" t="s">
        <v>264</v>
      </c>
      <c r="K269" s="37" t="s">
        <v>105</v>
      </c>
      <c r="L269" s="36">
        <v>1</v>
      </c>
      <c r="M269" s="36">
        <v>1</v>
      </c>
      <c r="N269" s="36">
        <v>3</v>
      </c>
      <c r="O269" s="36">
        <v>3</v>
      </c>
      <c r="P269" s="37" t="s">
        <v>265</v>
      </c>
      <c r="Q269" s="37" t="s">
        <v>967</v>
      </c>
      <c r="R269" s="37" t="s">
        <v>968</v>
      </c>
    </row>
    <row r="270" spans="1:18" ht="27.7" hidden="1" thickBot="1" x14ac:dyDescent="0.55000000000000004">
      <c r="A270" s="36">
        <v>268</v>
      </c>
      <c r="B270" s="37" t="s">
        <v>969</v>
      </c>
      <c r="C270" s="37" t="s">
        <v>970</v>
      </c>
      <c r="D270" s="37" t="s">
        <v>259</v>
      </c>
      <c r="E270" s="37" t="s">
        <v>260</v>
      </c>
      <c r="F270" s="37" t="s">
        <v>262</v>
      </c>
      <c r="G270" s="37" t="s">
        <v>262</v>
      </c>
      <c r="H270" s="37" t="s">
        <v>263</v>
      </c>
      <c r="I270" s="37" t="s">
        <v>264</v>
      </c>
      <c r="J270" s="37" t="s">
        <v>264</v>
      </c>
      <c r="K270" s="37" t="s">
        <v>105</v>
      </c>
      <c r="L270" s="36">
        <v>1</v>
      </c>
      <c r="M270" s="36">
        <v>1</v>
      </c>
      <c r="N270" s="36">
        <v>3</v>
      </c>
      <c r="O270" s="36">
        <v>4</v>
      </c>
      <c r="P270" s="37" t="s">
        <v>265</v>
      </c>
      <c r="Q270" s="37" t="s">
        <v>971</v>
      </c>
      <c r="R270" s="37" t="s">
        <v>972</v>
      </c>
    </row>
    <row r="271" spans="1:18" ht="27.7" hidden="1" thickBot="1" x14ac:dyDescent="0.55000000000000004">
      <c r="A271" s="36">
        <v>269</v>
      </c>
      <c r="B271" s="37" t="s">
        <v>973</v>
      </c>
      <c r="C271" s="37" t="s">
        <v>970</v>
      </c>
      <c r="D271" s="37" t="s">
        <v>259</v>
      </c>
      <c r="E271" s="37" t="s">
        <v>260</v>
      </c>
      <c r="F271" s="37" t="s">
        <v>262</v>
      </c>
      <c r="G271" s="37" t="s">
        <v>262</v>
      </c>
      <c r="H271" s="37" t="s">
        <v>263</v>
      </c>
      <c r="I271" s="37" t="s">
        <v>264</v>
      </c>
      <c r="J271" s="37" t="s">
        <v>264</v>
      </c>
      <c r="K271" s="37" t="s">
        <v>105</v>
      </c>
      <c r="L271" s="36">
        <v>1</v>
      </c>
      <c r="M271" s="36">
        <v>1</v>
      </c>
      <c r="N271" s="36">
        <v>2</v>
      </c>
      <c r="O271" s="36">
        <v>4</v>
      </c>
      <c r="P271" s="37" t="s">
        <v>265</v>
      </c>
      <c r="Q271" s="37" t="s">
        <v>974</v>
      </c>
      <c r="R271" s="37" t="s">
        <v>975</v>
      </c>
    </row>
    <row r="272" spans="1:18" ht="27.7" hidden="1" thickBot="1" x14ac:dyDescent="0.55000000000000004">
      <c r="A272" s="36">
        <v>270</v>
      </c>
      <c r="B272" s="37" t="s">
        <v>976</v>
      </c>
      <c r="C272" s="37" t="s">
        <v>970</v>
      </c>
      <c r="D272" s="37" t="s">
        <v>259</v>
      </c>
      <c r="E272" s="37" t="s">
        <v>260</v>
      </c>
      <c r="F272" s="37" t="s">
        <v>262</v>
      </c>
      <c r="G272" s="37" t="s">
        <v>262</v>
      </c>
      <c r="H272" s="37" t="s">
        <v>263</v>
      </c>
      <c r="I272" s="37" t="s">
        <v>264</v>
      </c>
      <c r="J272" s="37" t="s">
        <v>264</v>
      </c>
      <c r="K272" s="37" t="s">
        <v>105</v>
      </c>
      <c r="L272" s="36">
        <v>1</v>
      </c>
      <c r="M272" s="36">
        <v>1</v>
      </c>
      <c r="N272" s="36">
        <v>3</v>
      </c>
      <c r="O272" s="36">
        <v>4</v>
      </c>
      <c r="P272" s="37" t="s">
        <v>265</v>
      </c>
      <c r="Q272" s="37" t="s">
        <v>977</v>
      </c>
      <c r="R272" s="37" t="s">
        <v>978</v>
      </c>
    </row>
    <row r="273" spans="1:18" ht="27.7" hidden="1" thickBot="1" x14ac:dyDescent="0.55000000000000004">
      <c r="A273" s="36">
        <v>271</v>
      </c>
      <c r="B273" s="37" t="s">
        <v>979</v>
      </c>
      <c r="C273" s="37" t="s">
        <v>980</v>
      </c>
      <c r="D273" s="37" t="s">
        <v>259</v>
      </c>
      <c r="E273" s="37" t="s">
        <v>260</v>
      </c>
      <c r="F273" s="37" t="s">
        <v>262</v>
      </c>
      <c r="G273" s="37" t="s">
        <v>262</v>
      </c>
      <c r="H273" s="37" t="s">
        <v>263</v>
      </c>
      <c r="I273" s="37" t="s">
        <v>264</v>
      </c>
      <c r="J273" s="37" t="s">
        <v>264</v>
      </c>
      <c r="K273" s="37" t="s">
        <v>105</v>
      </c>
      <c r="L273" s="36">
        <v>1</v>
      </c>
      <c r="M273" s="36">
        <v>1</v>
      </c>
      <c r="N273" s="36">
        <v>3</v>
      </c>
      <c r="O273" s="36">
        <v>5</v>
      </c>
      <c r="P273" s="37" t="s">
        <v>265</v>
      </c>
      <c r="Q273" s="37"/>
      <c r="R273" s="37" t="s">
        <v>981</v>
      </c>
    </row>
    <row r="274" spans="1:18" ht="27.7" hidden="1" thickBot="1" x14ac:dyDescent="0.55000000000000004">
      <c r="A274" s="36">
        <v>272</v>
      </c>
      <c r="B274" s="37" t="s">
        <v>982</v>
      </c>
      <c r="C274" s="37" t="s">
        <v>980</v>
      </c>
      <c r="D274" s="37" t="s">
        <v>259</v>
      </c>
      <c r="E274" s="37" t="s">
        <v>260</v>
      </c>
      <c r="F274" s="37" t="s">
        <v>262</v>
      </c>
      <c r="G274" s="37" t="s">
        <v>262</v>
      </c>
      <c r="H274" s="37" t="s">
        <v>263</v>
      </c>
      <c r="I274" s="37" t="s">
        <v>264</v>
      </c>
      <c r="J274" s="37" t="s">
        <v>264</v>
      </c>
      <c r="K274" s="37" t="s">
        <v>105</v>
      </c>
      <c r="L274" s="36">
        <v>2</v>
      </c>
      <c r="M274" s="36">
        <v>2</v>
      </c>
      <c r="N274" s="36">
        <v>3</v>
      </c>
      <c r="O274" s="36">
        <v>5</v>
      </c>
      <c r="P274" s="37" t="s">
        <v>265</v>
      </c>
      <c r="Q274" s="37" t="s">
        <v>983</v>
      </c>
      <c r="R274" s="37" t="s">
        <v>984</v>
      </c>
    </row>
    <row r="275" spans="1:18" ht="27.7" hidden="1" thickBot="1" x14ac:dyDescent="0.55000000000000004">
      <c r="A275" s="36">
        <v>273</v>
      </c>
      <c r="B275" s="37" t="s">
        <v>985</v>
      </c>
      <c r="C275" s="37" t="s">
        <v>980</v>
      </c>
      <c r="D275" s="37" t="s">
        <v>259</v>
      </c>
      <c r="E275" s="37" t="s">
        <v>260</v>
      </c>
      <c r="F275" s="37" t="s">
        <v>262</v>
      </c>
      <c r="G275" s="37" t="s">
        <v>262</v>
      </c>
      <c r="H275" s="37" t="s">
        <v>263</v>
      </c>
      <c r="I275" s="37" t="s">
        <v>264</v>
      </c>
      <c r="J275" s="37" t="s">
        <v>264</v>
      </c>
      <c r="K275" s="37" t="s">
        <v>105</v>
      </c>
      <c r="L275" s="36">
        <v>1</v>
      </c>
      <c r="M275" s="36">
        <v>1</v>
      </c>
      <c r="N275" s="36">
        <v>2</v>
      </c>
      <c r="O275" s="36">
        <v>3</v>
      </c>
      <c r="P275" s="37" t="s">
        <v>292</v>
      </c>
      <c r="Q275" s="37" t="s">
        <v>986</v>
      </c>
      <c r="R275" s="37" t="s">
        <v>987</v>
      </c>
    </row>
    <row r="276" spans="1:18" ht="27.7" hidden="1" thickBot="1" x14ac:dyDescent="0.55000000000000004">
      <c r="A276" s="36">
        <v>274</v>
      </c>
      <c r="B276" s="37" t="s">
        <v>988</v>
      </c>
      <c r="C276" s="37" t="s">
        <v>970</v>
      </c>
      <c r="D276" s="37" t="s">
        <v>259</v>
      </c>
      <c r="E276" s="37" t="s">
        <v>260</v>
      </c>
      <c r="F276" s="37" t="s">
        <v>262</v>
      </c>
      <c r="G276" s="37" t="s">
        <v>262</v>
      </c>
      <c r="H276" s="37" t="s">
        <v>263</v>
      </c>
      <c r="I276" s="37" t="s">
        <v>264</v>
      </c>
      <c r="J276" s="37" t="s">
        <v>264</v>
      </c>
      <c r="K276" s="37" t="s">
        <v>105</v>
      </c>
      <c r="L276" s="36">
        <v>1</v>
      </c>
      <c r="M276" s="36">
        <v>1</v>
      </c>
      <c r="N276" s="36">
        <v>3</v>
      </c>
      <c r="O276" s="36">
        <v>4</v>
      </c>
      <c r="P276" s="37" t="s">
        <v>265</v>
      </c>
      <c r="Q276" s="37" t="s">
        <v>989</v>
      </c>
      <c r="R276" s="37" t="s">
        <v>990</v>
      </c>
    </row>
    <row r="277" spans="1:18" ht="27.7" hidden="1" thickBot="1" x14ac:dyDescent="0.55000000000000004">
      <c r="A277" s="36">
        <v>275</v>
      </c>
      <c r="B277" s="37" t="s">
        <v>991</v>
      </c>
      <c r="C277" s="37" t="s">
        <v>991</v>
      </c>
      <c r="D277" s="37" t="s">
        <v>259</v>
      </c>
      <c r="E277" s="37" t="s">
        <v>260</v>
      </c>
      <c r="F277" s="37" t="s">
        <v>262</v>
      </c>
      <c r="G277" s="37" t="s">
        <v>262</v>
      </c>
      <c r="H277" s="37" t="s">
        <v>263</v>
      </c>
      <c r="I277" s="37" t="s">
        <v>264</v>
      </c>
      <c r="J277" s="37" t="s">
        <v>264</v>
      </c>
      <c r="K277" s="37" t="s">
        <v>105</v>
      </c>
      <c r="L277" s="36">
        <v>2</v>
      </c>
      <c r="M277" s="36">
        <v>2</v>
      </c>
      <c r="N277" s="36">
        <v>4</v>
      </c>
      <c r="O277" s="36">
        <v>4</v>
      </c>
      <c r="P277" s="37" t="s">
        <v>265</v>
      </c>
      <c r="Q277" s="37"/>
      <c r="R277" s="37" t="s">
        <v>992</v>
      </c>
    </row>
    <row r="278" spans="1:18" ht="27.7" hidden="1" thickBot="1" x14ac:dyDescent="0.55000000000000004">
      <c r="A278" s="36">
        <v>276</v>
      </c>
      <c r="B278" s="37" t="s">
        <v>993</v>
      </c>
      <c r="C278" s="37" t="s">
        <v>980</v>
      </c>
      <c r="D278" s="37" t="s">
        <v>259</v>
      </c>
      <c r="E278" s="37" t="s">
        <v>260</v>
      </c>
      <c r="F278" s="37" t="s">
        <v>262</v>
      </c>
      <c r="G278" s="37" t="s">
        <v>262</v>
      </c>
      <c r="H278" s="37" t="s">
        <v>263</v>
      </c>
      <c r="I278" s="37" t="s">
        <v>264</v>
      </c>
      <c r="J278" s="37" t="s">
        <v>264</v>
      </c>
      <c r="K278" s="37" t="s">
        <v>105</v>
      </c>
      <c r="L278" s="36">
        <v>1</v>
      </c>
      <c r="M278" s="36">
        <v>1</v>
      </c>
      <c r="N278" s="36">
        <v>2</v>
      </c>
      <c r="O278" s="36">
        <v>3</v>
      </c>
      <c r="P278" s="37" t="s">
        <v>292</v>
      </c>
      <c r="Q278" s="37" t="s">
        <v>994</v>
      </c>
      <c r="R278" s="37" t="s">
        <v>995</v>
      </c>
    </row>
    <row r="279" spans="1:18" ht="27.7" hidden="1" thickBot="1" x14ac:dyDescent="0.55000000000000004">
      <c r="A279" s="36">
        <v>277</v>
      </c>
      <c r="B279" s="37" t="s">
        <v>996</v>
      </c>
      <c r="C279" s="37" t="s">
        <v>991</v>
      </c>
      <c r="D279" s="37" t="s">
        <v>259</v>
      </c>
      <c r="E279" s="37" t="s">
        <v>260</v>
      </c>
      <c r="F279" s="37" t="s">
        <v>262</v>
      </c>
      <c r="G279" s="37" t="s">
        <v>262</v>
      </c>
      <c r="H279" s="37" t="s">
        <v>263</v>
      </c>
      <c r="I279" s="37" t="s">
        <v>264</v>
      </c>
      <c r="J279" s="37" t="s">
        <v>264</v>
      </c>
      <c r="K279" s="37" t="s">
        <v>105</v>
      </c>
      <c r="L279" s="36">
        <v>1</v>
      </c>
      <c r="M279" s="36">
        <v>1</v>
      </c>
      <c r="N279" s="36">
        <v>1</v>
      </c>
      <c r="O279" s="36">
        <v>3</v>
      </c>
      <c r="P279" s="37" t="s">
        <v>265</v>
      </c>
      <c r="Q279" s="37"/>
      <c r="R279" s="37" t="s">
        <v>997</v>
      </c>
    </row>
    <row r="280" spans="1:18" ht="27.7" hidden="1" thickBot="1" x14ac:dyDescent="0.55000000000000004">
      <c r="A280" s="36">
        <v>278</v>
      </c>
      <c r="B280" s="37" t="s">
        <v>998</v>
      </c>
      <c r="C280" s="37" t="s">
        <v>991</v>
      </c>
      <c r="D280" s="37" t="s">
        <v>259</v>
      </c>
      <c r="E280" s="37" t="s">
        <v>260</v>
      </c>
      <c r="F280" s="37" t="s">
        <v>262</v>
      </c>
      <c r="G280" s="37" t="s">
        <v>262</v>
      </c>
      <c r="H280" s="37" t="s">
        <v>263</v>
      </c>
      <c r="I280" s="37" t="s">
        <v>264</v>
      </c>
      <c r="J280" s="37" t="s">
        <v>264</v>
      </c>
      <c r="K280" s="37" t="s">
        <v>264</v>
      </c>
      <c r="L280" s="36">
        <v>1</v>
      </c>
      <c r="M280" s="36">
        <v>1</v>
      </c>
      <c r="N280" s="36">
        <v>2</v>
      </c>
      <c r="O280" s="36">
        <v>2</v>
      </c>
      <c r="P280" s="37" t="s">
        <v>265</v>
      </c>
      <c r="Q280" s="37"/>
      <c r="R280" s="37" t="s">
        <v>999</v>
      </c>
    </row>
    <row r="281" spans="1:18" ht="27.7" hidden="1" thickBot="1" x14ac:dyDescent="0.55000000000000004">
      <c r="A281" s="36">
        <v>279</v>
      </c>
      <c r="B281" s="37" t="s">
        <v>1000</v>
      </c>
      <c r="C281" s="37" t="s">
        <v>1001</v>
      </c>
      <c r="D281" s="37" t="s">
        <v>1001</v>
      </c>
      <c r="E281" s="37" t="s">
        <v>260</v>
      </c>
      <c r="F281" s="37" t="s">
        <v>1002</v>
      </c>
      <c r="G281" s="37" t="s">
        <v>1002</v>
      </c>
      <c r="H281" s="37" t="s">
        <v>1002</v>
      </c>
      <c r="I281" s="37" t="s">
        <v>1003</v>
      </c>
      <c r="J281" s="37" t="s">
        <v>1003</v>
      </c>
      <c r="K281" s="37" t="s">
        <v>1003</v>
      </c>
      <c r="L281" s="36">
        <v>1</v>
      </c>
      <c r="M281" s="36">
        <v>1</v>
      </c>
      <c r="N281" s="36">
        <v>1</v>
      </c>
      <c r="O281" s="36">
        <v>2</v>
      </c>
      <c r="P281" s="37" t="s">
        <v>292</v>
      </c>
      <c r="Q281" s="37" t="s">
        <v>1004</v>
      </c>
      <c r="R281" s="37" t="s">
        <v>1005</v>
      </c>
    </row>
    <row r="282" spans="1:18" ht="109.7" hidden="1" thickBot="1" x14ac:dyDescent="0.55000000000000004">
      <c r="A282" s="36">
        <v>280</v>
      </c>
      <c r="B282" s="37" t="s">
        <v>1006</v>
      </c>
      <c r="C282" s="37" t="s">
        <v>1001</v>
      </c>
      <c r="D282" s="37" t="s">
        <v>1001</v>
      </c>
      <c r="E282" s="37" t="s">
        <v>260</v>
      </c>
      <c r="F282" s="37" t="s">
        <v>1002</v>
      </c>
      <c r="G282" s="37" t="s">
        <v>1002</v>
      </c>
      <c r="H282" s="37" t="s">
        <v>1007</v>
      </c>
      <c r="I282" s="37" t="s">
        <v>1003</v>
      </c>
      <c r="J282" s="37" t="s">
        <v>1003</v>
      </c>
      <c r="K282" s="37" t="s">
        <v>264</v>
      </c>
      <c r="L282" s="36">
        <v>1</v>
      </c>
      <c r="M282" s="36">
        <v>1</v>
      </c>
      <c r="N282" s="36">
        <v>1</v>
      </c>
      <c r="O282" s="36">
        <v>3</v>
      </c>
      <c r="P282" s="37" t="s">
        <v>265</v>
      </c>
      <c r="Q282" s="37" t="s">
        <v>1008</v>
      </c>
      <c r="R282" s="37" t="s">
        <v>1009</v>
      </c>
    </row>
    <row r="283" spans="1:18" ht="27.7" hidden="1" thickBot="1" x14ac:dyDescent="0.55000000000000004">
      <c r="A283" s="36">
        <v>281</v>
      </c>
      <c r="B283" s="37" t="s">
        <v>1010</v>
      </c>
      <c r="C283" s="37" t="s">
        <v>1011</v>
      </c>
      <c r="D283" s="37" t="s">
        <v>1012</v>
      </c>
      <c r="E283" s="37" t="s">
        <v>260</v>
      </c>
      <c r="F283" s="37" t="s">
        <v>262</v>
      </c>
      <c r="G283" s="37" t="s">
        <v>262</v>
      </c>
      <c r="H283" s="37" t="s">
        <v>1007</v>
      </c>
      <c r="I283" s="37" t="s">
        <v>264</v>
      </c>
      <c r="J283" s="37" t="s">
        <v>264</v>
      </c>
      <c r="K283" s="37" t="s">
        <v>264</v>
      </c>
      <c r="L283" s="36">
        <v>1</v>
      </c>
      <c r="M283" s="36">
        <v>1</v>
      </c>
      <c r="N283" s="36">
        <v>1</v>
      </c>
      <c r="O283" s="36">
        <v>3</v>
      </c>
      <c r="P283" s="37" t="s">
        <v>265</v>
      </c>
      <c r="Q283" s="37" t="s">
        <v>1013</v>
      </c>
      <c r="R283" s="37" t="s">
        <v>1014</v>
      </c>
    </row>
    <row r="284" spans="1:18" ht="41.35" hidden="1" thickBot="1" x14ac:dyDescent="0.55000000000000004">
      <c r="A284" s="36">
        <v>282</v>
      </c>
      <c r="B284" s="37" t="s">
        <v>1015</v>
      </c>
      <c r="C284" s="37" t="s">
        <v>1015</v>
      </c>
      <c r="D284" s="37" t="s">
        <v>259</v>
      </c>
      <c r="E284" s="37" t="s">
        <v>260</v>
      </c>
      <c r="F284" s="37" t="s">
        <v>262</v>
      </c>
      <c r="G284" s="37" t="s">
        <v>262</v>
      </c>
      <c r="H284" s="37" t="s">
        <v>263</v>
      </c>
      <c r="I284" s="37" t="s">
        <v>264</v>
      </c>
      <c r="J284" s="37" t="s">
        <v>264</v>
      </c>
      <c r="K284" s="37" t="s">
        <v>264</v>
      </c>
      <c r="L284" s="36">
        <v>1</v>
      </c>
      <c r="M284" s="36">
        <v>1</v>
      </c>
      <c r="N284" s="36">
        <v>1</v>
      </c>
      <c r="O284" s="36">
        <v>3</v>
      </c>
      <c r="P284" s="37" t="s">
        <v>292</v>
      </c>
      <c r="Q284" s="37" t="s">
        <v>1016</v>
      </c>
      <c r="R284" s="37" t="s">
        <v>1017</v>
      </c>
    </row>
    <row r="285" spans="1:18" ht="27.7" hidden="1" thickBot="1" x14ac:dyDescent="0.55000000000000004">
      <c r="A285" s="36">
        <v>283</v>
      </c>
      <c r="B285" s="37" t="s">
        <v>1018</v>
      </c>
      <c r="C285" s="37" t="s">
        <v>1011</v>
      </c>
      <c r="D285" s="37" t="s">
        <v>1012</v>
      </c>
      <c r="E285" s="37" t="s">
        <v>260</v>
      </c>
      <c r="F285" s="37" t="s">
        <v>262</v>
      </c>
      <c r="G285" s="37" t="s">
        <v>262</v>
      </c>
      <c r="H285" s="37" t="s">
        <v>1007</v>
      </c>
      <c r="I285" s="37" t="s">
        <v>264</v>
      </c>
      <c r="J285" s="37" t="s">
        <v>264</v>
      </c>
      <c r="K285" s="37" t="s">
        <v>264</v>
      </c>
      <c r="L285" s="36">
        <v>1</v>
      </c>
      <c r="M285" s="36">
        <v>1</v>
      </c>
      <c r="N285" s="36">
        <v>1</v>
      </c>
      <c r="O285" s="36">
        <v>3</v>
      </c>
      <c r="P285" s="37" t="s">
        <v>265</v>
      </c>
      <c r="Q285" s="37"/>
      <c r="R285" s="37" t="s">
        <v>1019</v>
      </c>
    </row>
    <row r="286" spans="1:18" ht="41.35" hidden="1" thickBot="1" x14ac:dyDescent="0.55000000000000004">
      <c r="A286" s="36">
        <v>284</v>
      </c>
      <c r="B286" s="37" t="s">
        <v>1020</v>
      </c>
      <c r="C286" s="37" t="s">
        <v>1015</v>
      </c>
      <c r="D286" s="37" t="s">
        <v>259</v>
      </c>
      <c r="E286" s="37" t="s">
        <v>260</v>
      </c>
      <c r="F286" s="37" t="s">
        <v>262</v>
      </c>
      <c r="G286" s="37" t="s">
        <v>262</v>
      </c>
      <c r="H286" s="37" t="s">
        <v>263</v>
      </c>
      <c r="I286" s="37" t="s">
        <v>264</v>
      </c>
      <c r="J286" s="37" t="s">
        <v>264</v>
      </c>
      <c r="K286" s="37" t="s">
        <v>264</v>
      </c>
      <c r="L286" s="36">
        <v>1</v>
      </c>
      <c r="M286" s="36">
        <v>1</v>
      </c>
      <c r="N286" s="36">
        <v>1</v>
      </c>
      <c r="O286" s="36">
        <v>2</v>
      </c>
      <c r="P286" s="37" t="s">
        <v>292</v>
      </c>
      <c r="Q286" s="37" t="s">
        <v>1021</v>
      </c>
      <c r="R286" s="37" t="s">
        <v>1022</v>
      </c>
    </row>
    <row r="287" spans="1:18" ht="27.7" hidden="1" thickBot="1" x14ac:dyDescent="0.55000000000000004">
      <c r="A287" s="36">
        <v>285</v>
      </c>
      <c r="B287" s="37" t="s">
        <v>1011</v>
      </c>
      <c r="C287" s="37" t="s">
        <v>1011</v>
      </c>
      <c r="D287" s="37" t="s">
        <v>1012</v>
      </c>
      <c r="E287" s="37" t="s">
        <v>260</v>
      </c>
      <c r="F287" s="37" t="s">
        <v>262</v>
      </c>
      <c r="G287" s="37" t="s">
        <v>262</v>
      </c>
      <c r="H287" s="37" t="s">
        <v>1007</v>
      </c>
      <c r="I287" s="37" t="s">
        <v>264</v>
      </c>
      <c r="J287" s="37" t="s">
        <v>264</v>
      </c>
      <c r="K287" s="37" t="s">
        <v>264</v>
      </c>
      <c r="L287" s="36">
        <v>1</v>
      </c>
      <c r="M287" s="36">
        <v>1</v>
      </c>
      <c r="N287" s="36">
        <v>1</v>
      </c>
      <c r="O287" s="36">
        <v>3</v>
      </c>
      <c r="P287" s="37" t="s">
        <v>265</v>
      </c>
      <c r="Q287" s="37" t="s">
        <v>1023</v>
      </c>
      <c r="R287" s="37" t="s">
        <v>1024</v>
      </c>
    </row>
    <row r="288" spans="1:18" ht="27.7" hidden="1" thickBot="1" x14ac:dyDescent="0.55000000000000004">
      <c r="A288" s="36">
        <v>286</v>
      </c>
      <c r="B288" s="37" t="s">
        <v>1025</v>
      </c>
      <c r="C288" s="37" t="s">
        <v>1026</v>
      </c>
      <c r="D288" s="37" t="s">
        <v>1012</v>
      </c>
      <c r="E288" s="37" t="s">
        <v>260</v>
      </c>
      <c r="F288" s="37" t="s">
        <v>262</v>
      </c>
      <c r="G288" s="37" t="s">
        <v>262</v>
      </c>
      <c r="H288" s="37" t="s">
        <v>1007</v>
      </c>
      <c r="I288" s="37" t="s">
        <v>264</v>
      </c>
      <c r="J288" s="37" t="s">
        <v>264</v>
      </c>
      <c r="K288" s="37" t="s">
        <v>264</v>
      </c>
      <c r="L288" s="36">
        <v>1</v>
      </c>
      <c r="M288" s="36">
        <v>1</v>
      </c>
      <c r="N288" s="36">
        <v>1</v>
      </c>
      <c r="O288" s="36">
        <v>4</v>
      </c>
      <c r="P288" s="37" t="s">
        <v>265</v>
      </c>
      <c r="Q288" s="37" t="s">
        <v>1027</v>
      </c>
      <c r="R288" s="37" t="s">
        <v>1028</v>
      </c>
    </row>
    <row r="289" spans="1:18" ht="82.35" hidden="1" thickBot="1" x14ac:dyDescent="0.55000000000000004">
      <c r="A289" s="36">
        <v>287</v>
      </c>
      <c r="B289" s="37" t="s">
        <v>1029</v>
      </c>
      <c r="C289" s="37" t="s">
        <v>1030</v>
      </c>
      <c r="D289" s="37" t="s">
        <v>1012</v>
      </c>
      <c r="E289" s="37" t="s">
        <v>260</v>
      </c>
      <c r="F289" s="37" t="s">
        <v>262</v>
      </c>
      <c r="G289" s="37" t="s">
        <v>262</v>
      </c>
      <c r="H289" s="37" t="s">
        <v>1007</v>
      </c>
      <c r="I289" s="37" t="s">
        <v>264</v>
      </c>
      <c r="J289" s="37" t="s">
        <v>264</v>
      </c>
      <c r="K289" s="37" t="s">
        <v>264</v>
      </c>
      <c r="L289" s="36">
        <v>1</v>
      </c>
      <c r="M289" s="36">
        <v>1</v>
      </c>
      <c r="N289" s="36">
        <v>1</v>
      </c>
      <c r="O289" s="36">
        <v>3</v>
      </c>
      <c r="P289" s="37" t="s">
        <v>292</v>
      </c>
      <c r="Q289" s="37" t="s">
        <v>1031</v>
      </c>
      <c r="R289" s="37" t="s">
        <v>1032</v>
      </c>
    </row>
    <row r="290" spans="1:18" ht="109.7" hidden="1" thickBot="1" x14ac:dyDescent="0.55000000000000004">
      <c r="A290" s="36">
        <v>288</v>
      </c>
      <c r="B290" s="37" t="s">
        <v>1033</v>
      </c>
      <c r="C290" s="37" t="s">
        <v>1030</v>
      </c>
      <c r="D290" s="37" t="s">
        <v>1012</v>
      </c>
      <c r="E290" s="37" t="s">
        <v>260</v>
      </c>
      <c r="F290" s="37" t="s">
        <v>262</v>
      </c>
      <c r="G290" s="37" t="s">
        <v>262</v>
      </c>
      <c r="H290" s="37" t="s">
        <v>1007</v>
      </c>
      <c r="I290" s="37" t="s">
        <v>264</v>
      </c>
      <c r="J290" s="37" t="s">
        <v>264</v>
      </c>
      <c r="K290" s="37" t="s">
        <v>105</v>
      </c>
      <c r="L290" s="36">
        <v>1</v>
      </c>
      <c r="M290" s="36">
        <v>1</v>
      </c>
      <c r="N290" s="36">
        <v>2</v>
      </c>
      <c r="O290" s="36">
        <v>3</v>
      </c>
      <c r="P290" s="37" t="s">
        <v>292</v>
      </c>
      <c r="Q290" s="37" t="s">
        <v>1034</v>
      </c>
      <c r="R290" s="37" t="s">
        <v>1035</v>
      </c>
    </row>
    <row r="291" spans="1:18" ht="55" hidden="1" thickBot="1" x14ac:dyDescent="0.55000000000000004">
      <c r="A291" s="36">
        <v>289</v>
      </c>
      <c r="B291" s="37" t="s">
        <v>1036</v>
      </c>
      <c r="C291" s="37" t="s">
        <v>1030</v>
      </c>
      <c r="D291" s="37" t="s">
        <v>1012</v>
      </c>
      <c r="E291" s="37" t="s">
        <v>260</v>
      </c>
      <c r="F291" s="37" t="s">
        <v>262</v>
      </c>
      <c r="G291" s="37" t="s">
        <v>262</v>
      </c>
      <c r="H291" s="37" t="s">
        <v>1007</v>
      </c>
      <c r="I291" s="37" t="s">
        <v>264</v>
      </c>
      <c r="J291" s="37" t="s">
        <v>264</v>
      </c>
      <c r="K291" s="37" t="s">
        <v>264</v>
      </c>
      <c r="L291" s="36">
        <v>1</v>
      </c>
      <c r="M291" s="36">
        <v>1</v>
      </c>
      <c r="N291" s="36">
        <v>2</v>
      </c>
      <c r="O291" s="36">
        <v>4</v>
      </c>
      <c r="P291" s="37" t="s">
        <v>265</v>
      </c>
      <c r="Q291" s="37" t="s">
        <v>1037</v>
      </c>
      <c r="R291" s="37" t="s">
        <v>1038</v>
      </c>
    </row>
    <row r="292" spans="1:18" ht="27.7" hidden="1" thickBot="1" x14ac:dyDescent="0.55000000000000004">
      <c r="A292" s="36">
        <v>290</v>
      </c>
      <c r="B292" s="37" t="s">
        <v>1026</v>
      </c>
      <c r="C292" s="37" t="s">
        <v>1026</v>
      </c>
      <c r="D292" s="37" t="s">
        <v>1012</v>
      </c>
      <c r="E292" s="37" t="s">
        <v>260</v>
      </c>
      <c r="F292" s="37" t="s">
        <v>262</v>
      </c>
      <c r="G292" s="37" t="s">
        <v>262</v>
      </c>
      <c r="H292" s="37" t="s">
        <v>1007</v>
      </c>
      <c r="I292" s="37" t="s">
        <v>264</v>
      </c>
      <c r="J292" s="37" t="s">
        <v>264</v>
      </c>
      <c r="K292" s="37" t="s">
        <v>264</v>
      </c>
      <c r="L292" s="36">
        <v>2</v>
      </c>
      <c r="M292" s="36">
        <v>2</v>
      </c>
      <c r="N292" s="36">
        <v>4</v>
      </c>
      <c r="O292" s="36">
        <v>6</v>
      </c>
      <c r="P292" s="37" t="s">
        <v>265</v>
      </c>
      <c r="Q292" s="37"/>
      <c r="R292" s="37" t="s">
        <v>1039</v>
      </c>
    </row>
    <row r="293" spans="1:18" ht="27.7" hidden="1" thickBot="1" x14ac:dyDescent="0.55000000000000004">
      <c r="A293" s="36">
        <v>291</v>
      </c>
      <c r="B293" s="37" t="s">
        <v>1040</v>
      </c>
      <c r="C293" s="37" t="s">
        <v>1026</v>
      </c>
      <c r="D293" s="37" t="s">
        <v>1012</v>
      </c>
      <c r="E293" s="37" t="s">
        <v>260</v>
      </c>
      <c r="F293" s="37" t="s">
        <v>262</v>
      </c>
      <c r="G293" s="37" t="s">
        <v>262</v>
      </c>
      <c r="H293" s="37" t="s">
        <v>1007</v>
      </c>
      <c r="I293" s="37" t="s">
        <v>264</v>
      </c>
      <c r="J293" s="37" t="s">
        <v>264</v>
      </c>
      <c r="K293" s="37" t="s">
        <v>264</v>
      </c>
      <c r="L293" s="36">
        <v>1</v>
      </c>
      <c r="M293" s="36">
        <v>1</v>
      </c>
      <c r="N293" s="36">
        <v>1</v>
      </c>
      <c r="O293" s="36">
        <v>2</v>
      </c>
      <c r="P293" s="37" t="s">
        <v>265</v>
      </c>
      <c r="Q293" s="37"/>
      <c r="R293" s="37" t="s">
        <v>1041</v>
      </c>
    </row>
    <row r="294" spans="1:18" ht="82.35" hidden="1" thickBot="1" x14ac:dyDescent="0.55000000000000004">
      <c r="A294" s="36">
        <v>292</v>
      </c>
      <c r="B294" s="37" t="s">
        <v>1042</v>
      </c>
      <c r="C294" s="37" t="s">
        <v>1026</v>
      </c>
      <c r="D294" s="37" t="s">
        <v>1012</v>
      </c>
      <c r="E294" s="37" t="s">
        <v>260</v>
      </c>
      <c r="F294" s="37" t="s">
        <v>262</v>
      </c>
      <c r="G294" s="37" t="s">
        <v>262</v>
      </c>
      <c r="H294" s="37" t="s">
        <v>1007</v>
      </c>
      <c r="I294" s="37" t="s">
        <v>264</v>
      </c>
      <c r="J294" s="37" t="s">
        <v>264</v>
      </c>
      <c r="K294" s="37" t="s">
        <v>105</v>
      </c>
      <c r="L294" s="36">
        <v>1</v>
      </c>
      <c r="M294" s="36">
        <v>1</v>
      </c>
      <c r="N294" s="36">
        <v>3</v>
      </c>
      <c r="O294" s="36">
        <v>5</v>
      </c>
      <c r="P294" s="37" t="s">
        <v>265</v>
      </c>
      <c r="Q294" s="37" t="s">
        <v>1043</v>
      </c>
      <c r="R294" s="37" t="s">
        <v>1044</v>
      </c>
    </row>
    <row r="295" spans="1:18" ht="82.35" hidden="1" thickBot="1" x14ac:dyDescent="0.55000000000000004">
      <c r="A295" s="36">
        <v>293</v>
      </c>
      <c r="B295" s="37" t="s">
        <v>1045</v>
      </c>
      <c r="C295" s="37" t="s">
        <v>1045</v>
      </c>
      <c r="D295" s="37" t="s">
        <v>1012</v>
      </c>
      <c r="E295" s="37" t="s">
        <v>260</v>
      </c>
      <c r="F295" s="37" t="s">
        <v>262</v>
      </c>
      <c r="G295" s="37" t="s">
        <v>262</v>
      </c>
      <c r="H295" s="37" t="s">
        <v>1007</v>
      </c>
      <c r="I295" s="37" t="s">
        <v>264</v>
      </c>
      <c r="J295" s="37" t="s">
        <v>264</v>
      </c>
      <c r="K295" s="37" t="s">
        <v>105</v>
      </c>
      <c r="L295" s="36">
        <v>1</v>
      </c>
      <c r="M295" s="36">
        <v>1</v>
      </c>
      <c r="N295" s="36">
        <v>3</v>
      </c>
      <c r="O295" s="36">
        <v>5</v>
      </c>
      <c r="P295" s="37" t="s">
        <v>265</v>
      </c>
      <c r="Q295" s="37" t="s">
        <v>1046</v>
      </c>
      <c r="R295" s="37" t="s">
        <v>1047</v>
      </c>
    </row>
    <row r="296" spans="1:18" ht="27.7" hidden="1" thickBot="1" x14ac:dyDescent="0.55000000000000004">
      <c r="A296" s="36">
        <v>294</v>
      </c>
      <c r="B296" s="37" t="s">
        <v>1048</v>
      </c>
      <c r="C296" s="37" t="s">
        <v>1049</v>
      </c>
      <c r="D296" s="37" t="s">
        <v>1012</v>
      </c>
      <c r="E296" s="37" t="s">
        <v>260</v>
      </c>
      <c r="F296" s="37" t="s">
        <v>262</v>
      </c>
      <c r="G296" s="37" t="s">
        <v>262</v>
      </c>
      <c r="H296" s="37" t="s">
        <v>1007</v>
      </c>
      <c r="I296" s="37" t="s">
        <v>264</v>
      </c>
      <c r="J296" s="37" t="s">
        <v>264</v>
      </c>
      <c r="K296" s="37" t="s">
        <v>105</v>
      </c>
      <c r="L296" s="36">
        <v>1</v>
      </c>
      <c r="M296" s="36">
        <v>1</v>
      </c>
      <c r="N296" s="36">
        <v>2</v>
      </c>
      <c r="O296" s="36">
        <v>3</v>
      </c>
      <c r="P296" s="37" t="s">
        <v>292</v>
      </c>
      <c r="Q296" s="37" t="s">
        <v>1050</v>
      </c>
      <c r="R296" s="37" t="s">
        <v>1051</v>
      </c>
    </row>
    <row r="297" spans="1:18" ht="27.7" hidden="1" thickBot="1" x14ac:dyDescent="0.55000000000000004">
      <c r="A297" s="36">
        <v>295</v>
      </c>
      <c r="B297" s="37" t="s">
        <v>1052</v>
      </c>
      <c r="C297" s="37" t="s">
        <v>1049</v>
      </c>
      <c r="D297" s="37" t="s">
        <v>1012</v>
      </c>
      <c r="E297" s="37" t="s">
        <v>260</v>
      </c>
      <c r="F297" s="37" t="s">
        <v>262</v>
      </c>
      <c r="G297" s="37" t="s">
        <v>262</v>
      </c>
      <c r="H297" s="37" t="s">
        <v>1007</v>
      </c>
      <c r="I297" s="37" t="s">
        <v>264</v>
      </c>
      <c r="J297" s="37" t="s">
        <v>264</v>
      </c>
      <c r="K297" s="37" t="s">
        <v>105</v>
      </c>
      <c r="L297" s="36">
        <v>1</v>
      </c>
      <c r="M297" s="36">
        <v>1</v>
      </c>
      <c r="N297" s="36">
        <v>1</v>
      </c>
      <c r="O297" s="36">
        <v>3</v>
      </c>
      <c r="P297" s="37" t="s">
        <v>292</v>
      </c>
      <c r="Q297" s="37"/>
      <c r="R297" s="37" t="s">
        <v>1053</v>
      </c>
    </row>
    <row r="298" spans="1:18" ht="27.7" hidden="1" thickBot="1" x14ac:dyDescent="0.55000000000000004">
      <c r="A298" s="36">
        <v>296</v>
      </c>
      <c r="B298" s="37" t="s">
        <v>1054</v>
      </c>
      <c r="C298" s="37" t="s">
        <v>980</v>
      </c>
      <c r="D298" s="37" t="s">
        <v>259</v>
      </c>
      <c r="E298" s="37" t="s">
        <v>260</v>
      </c>
      <c r="F298" s="37" t="s">
        <v>262</v>
      </c>
      <c r="G298" s="37" t="s">
        <v>262</v>
      </c>
      <c r="H298" s="37" t="s">
        <v>263</v>
      </c>
      <c r="I298" s="37" t="s">
        <v>264</v>
      </c>
      <c r="J298" s="37" t="s">
        <v>264</v>
      </c>
      <c r="K298" s="37" t="s">
        <v>105</v>
      </c>
      <c r="L298" s="36">
        <v>1</v>
      </c>
      <c r="M298" s="36">
        <v>1</v>
      </c>
      <c r="N298" s="36">
        <v>2</v>
      </c>
      <c r="O298" s="36">
        <v>3</v>
      </c>
      <c r="P298" s="37" t="s">
        <v>265</v>
      </c>
      <c r="Q298" s="37" t="s">
        <v>1055</v>
      </c>
      <c r="R298" s="37" t="s">
        <v>1056</v>
      </c>
    </row>
    <row r="299" spans="1:18" ht="82.35" hidden="1" thickBot="1" x14ac:dyDescent="0.55000000000000004">
      <c r="A299" s="36">
        <v>297</v>
      </c>
      <c r="B299" s="37" t="s">
        <v>1049</v>
      </c>
      <c r="C299" s="37" t="s">
        <v>1049</v>
      </c>
      <c r="D299" s="37" t="s">
        <v>1012</v>
      </c>
      <c r="E299" s="37" t="s">
        <v>260</v>
      </c>
      <c r="F299" s="37" t="s">
        <v>262</v>
      </c>
      <c r="G299" s="37" t="s">
        <v>262</v>
      </c>
      <c r="H299" s="37" t="s">
        <v>1007</v>
      </c>
      <c r="I299" s="37" t="s">
        <v>264</v>
      </c>
      <c r="J299" s="37" t="s">
        <v>105</v>
      </c>
      <c r="K299" s="37" t="s">
        <v>105</v>
      </c>
      <c r="L299" s="36">
        <v>1</v>
      </c>
      <c r="M299" s="36">
        <v>1</v>
      </c>
      <c r="N299" s="36">
        <v>2</v>
      </c>
      <c r="O299" s="36">
        <v>4</v>
      </c>
      <c r="P299" s="37" t="s">
        <v>265</v>
      </c>
      <c r="Q299" s="37" t="s">
        <v>1057</v>
      </c>
      <c r="R299" s="37" t="s">
        <v>1058</v>
      </c>
    </row>
    <row r="300" spans="1:18" ht="27.7" hidden="1" thickBot="1" x14ac:dyDescent="0.55000000000000004">
      <c r="A300" s="36">
        <v>298</v>
      </c>
      <c r="B300" s="37" t="s">
        <v>1059</v>
      </c>
      <c r="C300" s="37" t="s">
        <v>1060</v>
      </c>
      <c r="D300" s="37" t="s">
        <v>1012</v>
      </c>
      <c r="E300" s="37" t="s">
        <v>260</v>
      </c>
      <c r="F300" s="37" t="s">
        <v>262</v>
      </c>
      <c r="G300" s="37" t="s">
        <v>262</v>
      </c>
      <c r="H300" s="37" t="s">
        <v>1007</v>
      </c>
      <c r="I300" s="37" t="s">
        <v>264</v>
      </c>
      <c r="J300" s="37" t="s">
        <v>264</v>
      </c>
      <c r="K300" s="37" t="s">
        <v>264</v>
      </c>
      <c r="L300" s="36">
        <v>1</v>
      </c>
      <c r="M300" s="36">
        <v>1</v>
      </c>
      <c r="N300" s="36">
        <v>2</v>
      </c>
      <c r="O300" s="36">
        <v>3</v>
      </c>
      <c r="P300" s="37" t="s">
        <v>292</v>
      </c>
      <c r="Q300" s="37"/>
      <c r="R300" s="37" t="s">
        <v>1061</v>
      </c>
    </row>
    <row r="301" spans="1:18" ht="27.7" hidden="1" thickBot="1" x14ac:dyDescent="0.55000000000000004">
      <c r="A301" s="36">
        <v>299</v>
      </c>
      <c r="B301" s="37" t="s">
        <v>1062</v>
      </c>
      <c r="C301" s="37" t="s">
        <v>1063</v>
      </c>
      <c r="D301" s="37" t="s">
        <v>1063</v>
      </c>
      <c r="E301" s="37" t="s">
        <v>1064</v>
      </c>
      <c r="F301" s="37" t="s">
        <v>1065</v>
      </c>
      <c r="G301" s="37" t="s">
        <v>1065</v>
      </c>
      <c r="H301" s="37" t="s">
        <v>1065</v>
      </c>
      <c r="I301" s="37" t="s">
        <v>1066</v>
      </c>
      <c r="J301" s="37" t="s">
        <v>88</v>
      </c>
      <c r="K301" s="37" t="s">
        <v>88</v>
      </c>
      <c r="L301" s="36">
        <v>3</v>
      </c>
      <c r="M301" s="36">
        <v>3</v>
      </c>
      <c r="N301" s="36">
        <v>3</v>
      </c>
      <c r="O301" s="36">
        <v>4</v>
      </c>
      <c r="P301" s="37" t="s">
        <v>292</v>
      </c>
      <c r="Q301" s="37"/>
      <c r="R301" s="37" t="s">
        <v>1067</v>
      </c>
    </row>
    <row r="302" spans="1:18" ht="27.7" hidden="1" thickBot="1" x14ac:dyDescent="0.55000000000000004">
      <c r="A302" s="36">
        <v>300</v>
      </c>
      <c r="B302" s="37" t="s">
        <v>1068</v>
      </c>
      <c r="C302" s="37" t="s">
        <v>1060</v>
      </c>
      <c r="D302" s="37" t="s">
        <v>1012</v>
      </c>
      <c r="E302" s="37" t="s">
        <v>260</v>
      </c>
      <c r="F302" s="37" t="s">
        <v>262</v>
      </c>
      <c r="G302" s="37" t="s">
        <v>262</v>
      </c>
      <c r="H302" s="37" t="s">
        <v>1007</v>
      </c>
      <c r="I302" s="37" t="s">
        <v>264</v>
      </c>
      <c r="J302" s="37" t="s">
        <v>264</v>
      </c>
      <c r="K302" s="37" t="s">
        <v>105</v>
      </c>
      <c r="L302" s="36">
        <v>1</v>
      </c>
      <c r="M302" s="36">
        <v>1</v>
      </c>
      <c r="N302" s="36">
        <v>2</v>
      </c>
      <c r="O302" s="36">
        <v>2</v>
      </c>
      <c r="P302" s="37" t="s">
        <v>265</v>
      </c>
      <c r="Q302" s="37" t="s">
        <v>1069</v>
      </c>
      <c r="R302" s="37" t="s">
        <v>1070</v>
      </c>
    </row>
    <row r="303" spans="1:18" ht="27.7" hidden="1" thickBot="1" x14ac:dyDescent="0.55000000000000004">
      <c r="A303" s="36">
        <v>301</v>
      </c>
      <c r="B303" s="37" t="s">
        <v>1071</v>
      </c>
      <c r="C303" s="37" t="s">
        <v>1045</v>
      </c>
      <c r="D303" s="37" t="s">
        <v>1012</v>
      </c>
      <c r="E303" s="37" t="s">
        <v>260</v>
      </c>
      <c r="F303" s="37" t="s">
        <v>262</v>
      </c>
      <c r="G303" s="37" t="s">
        <v>262</v>
      </c>
      <c r="H303" s="37" t="s">
        <v>1007</v>
      </c>
      <c r="I303" s="37" t="s">
        <v>264</v>
      </c>
      <c r="J303" s="37" t="s">
        <v>264</v>
      </c>
      <c r="K303" s="37" t="s">
        <v>105</v>
      </c>
      <c r="L303" s="36">
        <v>1</v>
      </c>
      <c r="M303" s="36">
        <v>1</v>
      </c>
      <c r="N303" s="36">
        <v>4</v>
      </c>
      <c r="O303" s="36">
        <v>5</v>
      </c>
      <c r="P303" s="37" t="s">
        <v>265</v>
      </c>
      <c r="Q303" s="37"/>
      <c r="R303" s="37" t="s">
        <v>1072</v>
      </c>
    </row>
    <row r="304" spans="1:18" ht="27.7" hidden="1" thickBot="1" x14ac:dyDescent="0.55000000000000004">
      <c r="A304" s="36">
        <v>302</v>
      </c>
      <c r="B304" s="37" t="s">
        <v>1073</v>
      </c>
      <c r="C304" s="37" t="s">
        <v>283</v>
      </c>
      <c r="D304" s="37" t="s">
        <v>284</v>
      </c>
      <c r="E304" s="37" t="s">
        <v>260</v>
      </c>
      <c r="F304" s="37" t="s">
        <v>262</v>
      </c>
      <c r="G304" s="37" t="s">
        <v>262</v>
      </c>
      <c r="H304" s="37" t="s">
        <v>285</v>
      </c>
      <c r="I304" s="37" t="s">
        <v>264</v>
      </c>
      <c r="J304" s="37" t="s">
        <v>264</v>
      </c>
      <c r="K304" s="37" t="s">
        <v>105</v>
      </c>
      <c r="L304" s="36">
        <v>1</v>
      </c>
      <c r="M304" s="36">
        <v>1</v>
      </c>
      <c r="N304" s="36">
        <v>3</v>
      </c>
      <c r="O304" s="36">
        <v>4</v>
      </c>
      <c r="P304" s="37" t="s">
        <v>265</v>
      </c>
      <c r="Q304" s="37"/>
      <c r="R304" s="37" t="s">
        <v>1074</v>
      </c>
    </row>
    <row r="305" spans="1:18" ht="27.7" hidden="1" thickBot="1" x14ac:dyDescent="0.55000000000000004">
      <c r="A305" s="36">
        <v>303</v>
      </c>
      <c r="B305" s="37" t="s">
        <v>283</v>
      </c>
      <c r="C305" s="37" t="s">
        <v>283</v>
      </c>
      <c r="D305" s="37" t="s">
        <v>284</v>
      </c>
      <c r="E305" s="37" t="s">
        <v>260</v>
      </c>
      <c r="F305" s="37" t="s">
        <v>262</v>
      </c>
      <c r="G305" s="37" t="s">
        <v>262</v>
      </c>
      <c r="H305" s="37" t="s">
        <v>285</v>
      </c>
      <c r="I305" s="37" t="s">
        <v>264</v>
      </c>
      <c r="J305" s="37" t="s">
        <v>264</v>
      </c>
      <c r="K305" s="37" t="s">
        <v>105</v>
      </c>
      <c r="L305" s="36">
        <v>2</v>
      </c>
      <c r="M305" s="36">
        <v>2</v>
      </c>
      <c r="N305" s="36">
        <v>5</v>
      </c>
      <c r="O305" s="36">
        <v>6</v>
      </c>
      <c r="P305" s="37" t="s">
        <v>265</v>
      </c>
      <c r="Q305" s="37" t="s">
        <v>1075</v>
      </c>
      <c r="R305" s="37" t="s">
        <v>1076</v>
      </c>
    </row>
    <row r="306" spans="1:18" ht="27.7" hidden="1" thickBot="1" x14ac:dyDescent="0.55000000000000004">
      <c r="A306" s="36">
        <v>304</v>
      </c>
      <c r="B306" s="37" t="s">
        <v>1077</v>
      </c>
      <c r="C306" s="37" t="s">
        <v>1077</v>
      </c>
      <c r="D306" s="37" t="s">
        <v>1078</v>
      </c>
      <c r="E306" s="37" t="s">
        <v>1079</v>
      </c>
      <c r="F306" s="37" t="s">
        <v>943</v>
      </c>
      <c r="G306" s="37" t="s">
        <v>943</v>
      </c>
      <c r="H306" s="37" t="s">
        <v>943</v>
      </c>
      <c r="I306" s="37" t="s">
        <v>944</v>
      </c>
      <c r="J306" s="37" t="s">
        <v>944</v>
      </c>
      <c r="K306" s="37" t="s">
        <v>944</v>
      </c>
      <c r="L306" s="36">
        <v>2</v>
      </c>
      <c r="M306" s="36">
        <v>2</v>
      </c>
      <c r="N306" s="36">
        <v>2</v>
      </c>
      <c r="O306" s="36">
        <v>3</v>
      </c>
      <c r="P306" s="37" t="s">
        <v>265</v>
      </c>
      <c r="Q306" s="37" t="s">
        <v>1080</v>
      </c>
      <c r="R306" s="37" t="s">
        <v>1081</v>
      </c>
    </row>
    <row r="307" spans="1:18" ht="27.7" hidden="1" thickBot="1" x14ac:dyDescent="0.55000000000000004">
      <c r="A307" s="36">
        <v>305</v>
      </c>
      <c r="B307" s="37" t="s">
        <v>1082</v>
      </c>
      <c r="C307" s="37" t="s">
        <v>283</v>
      </c>
      <c r="D307" s="37" t="s">
        <v>284</v>
      </c>
      <c r="E307" s="37" t="s">
        <v>260</v>
      </c>
      <c r="F307" s="37" t="s">
        <v>262</v>
      </c>
      <c r="G307" s="37" t="s">
        <v>262</v>
      </c>
      <c r="H307" s="37" t="s">
        <v>285</v>
      </c>
      <c r="I307" s="37" t="s">
        <v>264</v>
      </c>
      <c r="J307" s="37" t="s">
        <v>264</v>
      </c>
      <c r="K307" s="37" t="s">
        <v>105</v>
      </c>
      <c r="L307" s="36">
        <v>2</v>
      </c>
      <c r="M307" s="36">
        <v>2</v>
      </c>
      <c r="N307" s="36">
        <v>2</v>
      </c>
      <c r="O307" s="36">
        <v>3</v>
      </c>
      <c r="P307" s="37" t="s">
        <v>265</v>
      </c>
      <c r="Q307" s="37" t="s">
        <v>1083</v>
      </c>
      <c r="R307" s="37" t="s">
        <v>1084</v>
      </c>
    </row>
    <row r="308" spans="1:18" ht="27.7" hidden="1" thickBot="1" x14ac:dyDescent="0.55000000000000004">
      <c r="A308" s="36">
        <v>306</v>
      </c>
      <c r="B308" s="37" t="s">
        <v>1085</v>
      </c>
      <c r="C308" s="37" t="s">
        <v>1077</v>
      </c>
      <c r="D308" s="37" t="s">
        <v>1078</v>
      </c>
      <c r="E308" s="37" t="s">
        <v>1079</v>
      </c>
      <c r="F308" s="37" t="s">
        <v>943</v>
      </c>
      <c r="G308" s="37" t="s">
        <v>943</v>
      </c>
      <c r="H308" s="37" t="s">
        <v>943</v>
      </c>
      <c r="I308" s="37" t="s">
        <v>944</v>
      </c>
      <c r="J308" s="37" t="s">
        <v>944</v>
      </c>
      <c r="K308" s="37" t="s">
        <v>944</v>
      </c>
      <c r="L308" s="36">
        <v>1</v>
      </c>
      <c r="M308" s="36">
        <v>3</v>
      </c>
      <c r="N308" s="36">
        <v>3</v>
      </c>
      <c r="O308" s="36">
        <v>5</v>
      </c>
      <c r="P308" s="37" t="s">
        <v>265</v>
      </c>
      <c r="Q308" s="37" t="s">
        <v>1086</v>
      </c>
      <c r="R308" s="37" t="s">
        <v>1087</v>
      </c>
    </row>
    <row r="309" spans="1:18" ht="27.7" hidden="1" thickBot="1" x14ac:dyDescent="0.55000000000000004">
      <c r="A309" s="36">
        <v>307</v>
      </c>
      <c r="B309" s="37" t="s">
        <v>1088</v>
      </c>
      <c r="C309" s="37" t="s">
        <v>1077</v>
      </c>
      <c r="D309" s="37" t="s">
        <v>1078</v>
      </c>
      <c r="E309" s="37" t="s">
        <v>1079</v>
      </c>
      <c r="F309" s="37" t="s">
        <v>943</v>
      </c>
      <c r="G309" s="37" t="s">
        <v>943</v>
      </c>
      <c r="H309" s="37" t="s">
        <v>943</v>
      </c>
      <c r="I309" s="37" t="s">
        <v>944</v>
      </c>
      <c r="J309" s="37" t="s">
        <v>944</v>
      </c>
      <c r="K309" s="37" t="s">
        <v>944</v>
      </c>
      <c r="L309" s="36">
        <v>1</v>
      </c>
      <c r="M309" s="36">
        <v>3</v>
      </c>
      <c r="N309" s="36">
        <v>3</v>
      </c>
      <c r="O309" s="36">
        <v>4</v>
      </c>
      <c r="P309" s="37" t="s">
        <v>265</v>
      </c>
      <c r="Q309" s="37" t="s">
        <v>1089</v>
      </c>
      <c r="R309" s="37" t="s">
        <v>1090</v>
      </c>
    </row>
    <row r="310" spans="1:18" ht="27.7" hidden="1" thickBot="1" x14ac:dyDescent="0.55000000000000004">
      <c r="A310" s="36">
        <v>308</v>
      </c>
      <c r="B310" s="37" t="s">
        <v>1091</v>
      </c>
      <c r="C310" s="37" t="s">
        <v>1078</v>
      </c>
      <c r="D310" s="37" t="s">
        <v>1078</v>
      </c>
      <c r="E310" s="37" t="s">
        <v>1079</v>
      </c>
      <c r="F310" s="37" t="s">
        <v>943</v>
      </c>
      <c r="G310" s="37" t="s">
        <v>943</v>
      </c>
      <c r="H310" s="37" t="s">
        <v>943</v>
      </c>
      <c r="I310" s="37" t="s">
        <v>944</v>
      </c>
      <c r="J310" s="37" t="s">
        <v>944</v>
      </c>
      <c r="K310" s="37" t="s">
        <v>944</v>
      </c>
      <c r="L310" s="36">
        <v>1</v>
      </c>
      <c r="M310" s="36">
        <v>3</v>
      </c>
      <c r="N310" s="36">
        <v>3</v>
      </c>
      <c r="O310" s="36">
        <v>4</v>
      </c>
      <c r="P310" s="37" t="s">
        <v>265</v>
      </c>
      <c r="Q310" s="37" t="s">
        <v>1092</v>
      </c>
      <c r="R310" s="37" t="s">
        <v>1093</v>
      </c>
    </row>
    <row r="311" spans="1:18" ht="41.35" hidden="1" thickBot="1" x14ac:dyDescent="0.55000000000000004">
      <c r="A311" s="36">
        <v>309</v>
      </c>
      <c r="B311" s="37" t="s">
        <v>1094</v>
      </c>
      <c r="C311" s="37" t="s">
        <v>936</v>
      </c>
      <c r="D311" s="37" t="s">
        <v>519</v>
      </c>
      <c r="E311" s="37" t="s">
        <v>502</v>
      </c>
      <c r="F311" s="37" t="s">
        <v>520</v>
      </c>
      <c r="G311" s="37" t="s">
        <v>943</v>
      </c>
      <c r="H311" s="37" t="s">
        <v>943</v>
      </c>
      <c r="I311" s="37" t="s">
        <v>264</v>
      </c>
      <c r="J311" s="37" t="s">
        <v>944</v>
      </c>
      <c r="K311" s="37" t="s">
        <v>944</v>
      </c>
      <c r="L311" s="36">
        <v>1</v>
      </c>
      <c r="M311" s="36">
        <v>3</v>
      </c>
      <c r="N311" s="36">
        <v>3</v>
      </c>
      <c r="O311" s="36">
        <v>4</v>
      </c>
      <c r="P311" s="37" t="s">
        <v>292</v>
      </c>
      <c r="Q311" s="37" t="s">
        <v>1095</v>
      </c>
      <c r="R311" s="37" t="s">
        <v>1096</v>
      </c>
    </row>
    <row r="312" spans="1:18" ht="41.35" hidden="1" thickBot="1" x14ac:dyDescent="0.55000000000000004">
      <c r="A312" s="36">
        <v>310</v>
      </c>
      <c r="B312" s="37" t="s">
        <v>1097</v>
      </c>
      <c r="C312" s="37" t="s">
        <v>1098</v>
      </c>
      <c r="D312" s="37" t="s">
        <v>519</v>
      </c>
      <c r="E312" s="37" t="s">
        <v>502</v>
      </c>
      <c r="F312" s="37" t="s">
        <v>943</v>
      </c>
      <c r="G312" s="37" t="s">
        <v>943</v>
      </c>
      <c r="H312" s="37" t="s">
        <v>943</v>
      </c>
      <c r="I312" s="37" t="s">
        <v>944</v>
      </c>
      <c r="J312" s="37" t="s">
        <v>944</v>
      </c>
      <c r="K312" s="37" t="s">
        <v>944</v>
      </c>
      <c r="L312" s="36">
        <v>1</v>
      </c>
      <c r="M312" s="36">
        <v>3</v>
      </c>
      <c r="N312" s="36">
        <v>3</v>
      </c>
      <c r="O312" s="36">
        <v>5</v>
      </c>
      <c r="P312" s="37" t="s">
        <v>292</v>
      </c>
      <c r="Q312" s="37" t="s">
        <v>1099</v>
      </c>
      <c r="R312" s="37" t="s">
        <v>1100</v>
      </c>
    </row>
    <row r="313" spans="1:18" ht="41.35" hidden="1" thickBot="1" x14ac:dyDescent="0.55000000000000004">
      <c r="A313" s="36">
        <v>311</v>
      </c>
      <c r="B313" s="37" t="s">
        <v>1101</v>
      </c>
      <c r="C313" s="37" t="s">
        <v>1098</v>
      </c>
      <c r="D313" s="37" t="s">
        <v>519</v>
      </c>
      <c r="E313" s="37" t="s">
        <v>502</v>
      </c>
      <c r="F313" s="37" t="s">
        <v>943</v>
      </c>
      <c r="G313" s="37" t="s">
        <v>943</v>
      </c>
      <c r="H313" s="37" t="s">
        <v>515</v>
      </c>
      <c r="I313" s="37" t="s">
        <v>944</v>
      </c>
      <c r="J313" s="37" t="s">
        <v>944</v>
      </c>
      <c r="K313" s="37" t="s">
        <v>105</v>
      </c>
      <c r="L313" s="36">
        <v>3</v>
      </c>
      <c r="M313" s="36">
        <v>3</v>
      </c>
      <c r="N313" s="36">
        <v>3</v>
      </c>
      <c r="O313" s="36">
        <v>5</v>
      </c>
      <c r="P313" s="37" t="s">
        <v>292</v>
      </c>
      <c r="Q313" s="37" t="s">
        <v>1102</v>
      </c>
      <c r="R313" s="37" t="s">
        <v>1103</v>
      </c>
    </row>
    <row r="314" spans="1:18" ht="41.35" hidden="1" thickBot="1" x14ac:dyDescent="0.55000000000000004">
      <c r="A314" s="36">
        <v>312</v>
      </c>
      <c r="B314" s="37" t="s">
        <v>1104</v>
      </c>
      <c r="C314" s="37" t="s">
        <v>1104</v>
      </c>
      <c r="D314" s="37" t="s">
        <v>519</v>
      </c>
      <c r="E314" s="37" t="s">
        <v>502</v>
      </c>
      <c r="F314" s="37" t="s">
        <v>943</v>
      </c>
      <c r="G314" s="37" t="s">
        <v>943</v>
      </c>
      <c r="H314" s="37" t="s">
        <v>515</v>
      </c>
      <c r="I314" s="37" t="s">
        <v>944</v>
      </c>
      <c r="J314" s="37" t="s">
        <v>944</v>
      </c>
      <c r="K314" s="37" t="s">
        <v>105</v>
      </c>
      <c r="L314" s="36">
        <v>1</v>
      </c>
      <c r="M314" s="36">
        <v>4</v>
      </c>
      <c r="N314" s="36">
        <v>4</v>
      </c>
      <c r="O314" s="36">
        <v>5</v>
      </c>
      <c r="P314" s="37" t="s">
        <v>292</v>
      </c>
      <c r="Q314" s="37" t="s">
        <v>1105</v>
      </c>
      <c r="R314" s="37" t="s">
        <v>1106</v>
      </c>
    </row>
    <row r="315" spans="1:18" ht="41.35" hidden="1" thickBot="1" x14ac:dyDescent="0.55000000000000004">
      <c r="A315" s="36">
        <v>313</v>
      </c>
      <c r="B315" s="37" t="s">
        <v>1107</v>
      </c>
      <c r="C315" s="37" t="s">
        <v>611</v>
      </c>
      <c r="D315" s="37" t="s">
        <v>519</v>
      </c>
      <c r="E315" s="37" t="s">
        <v>502</v>
      </c>
      <c r="F315" s="37" t="s">
        <v>515</v>
      </c>
      <c r="G315" s="37" t="s">
        <v>515</v>
      </c>
      <c r="H315" s="37" t="s">
        <v>515</v>
      </c>
      <c r="I315" s="37" t="s">
        <v>105</v>
      </c>
      <c r="J315" s="37" t="s">
        <v>105</v>
      </c>
      <c r="K315" s="37" t="s">
        <v>105</v>
      </c>
      <c r="L315" s="36">
        <v>3</v>
      </c>
      <c r="M315" s="36">
        <v>3</v>
      </c>
      <c r="N315" s="36">
        <v>3</v>
      </c>
      <c r="O315" s="36">
        <v>4</v>
      </c>
      <c r="P315" s="37" t="s">
        <v>292</v>
      </c>
      <c r="Q315" s="37"/>
      <c r="R315" s="37" t="s">
        <v>1108</v>
      </c>
    </row>
    <row r="316" spans="1:18" ht="41.35" hidden="1" thickBot="1" x14ac:dyDescent="0.55000000000000004">
      <c r="A316" s="36">
        <v>314</v>
      </c>
      <c r="B316" s="37" t="s">
        <v>1109</v>
      </c>
      <c r="C316" s="37" t="s">
        <v>1110</v>
      </c>
      <c r="D316" s="37" t="s">
        <v>1110</v>
      </c>
      <c r="E316" s="37" t="s">
        <v>502</v>
      </c>
      <c r="F316" s="37" t="s">
        <v>515</v>
      </c>
      <c r="G316" s="37" t="s">
        <v>515</v>
      </c>
      <c r="H316" s="37" t="s">
        <v>515</v>
      </c>
      <c r="I316" s="37" t="s">
        <v>105</v>
      </c>
      <c r="J316" s="37" t="s">
        <v>105</v>
      </c>
      <c r="K316" s="37" t="s">
        <v>105</v>
      </c>
      <c r="L316" s="36">
        <v>3</v>
      </c>
      <c r="M316" s="36">
        <v>3</v>
      </c>
      <c r="N316" s="36">
        <v>3</v>
      </c>
      <c r="O316" s="36">
        <v>5</v>
      </c>
      <c r="P316" s="37" t="s">
        <v>292</v>
      </c>
      <c r="Q316" s="37"/>
      <c r="R316" s="37" t="s">
        <v>1111</v>
      </c>
    </row>
    <row r="317" spans="1:18" ht="41.35" hidden="1" thickBot="1" x14ac:dyDescent="0.55000000000000004">
      <c r="A317" s="36">
        <v>315</v>
      </c>
      <c r="B317" s="37" t="s">
        <v>1112</v>
      </c>
      <c r="C317" s="37" t="s">
        <v>918</v>
      </c>
      <c r="D317" s="37" t="s">
        <v>519</v>
      </c>
      <c r="E317" s="37" t="s">
        <v>502</v>
      </c>
      <c r="F317" s="37" t="s">
        <v>515</v>
      </c>
      <c r="G317" s="37" t="s">
        <v>515</v>
      </c>
      <c r="H317" s="37" t="s">
        <v>515</v>
      </c>
      <c r="I317" s="37" t="s">
        <v>105</v>
      </c>
      <c r="J317" s="37" t="s">
        <v>105</v>
      </c>
      <c r="K317" s="37" t="s">
        <v>105</v>
      </c>
      <c r="L317" s="36">
        <v>3</v>
      </c>
      <c r="M317" s="36">
        <v>3</v>
      </c>
      <c r="N317" s="36">
        <v>3</v>
      </c>
      <c r="O317" s="36">
        <v>3</v>
      </c>
      <c r="P317" s="37" t="s">
        <v>292</v>
      </c>
      <c r="Q317" s="37"/>
      <c r="R317" s="37" t="s">
        <v>1113</v>
      </c>
    </row>
    <row r="318" spans="1:18" ht="41.35" hidden="1" thickBot="1" x14ac:dyDescent="0.55000000000000004">
      <c r="A318" s="36">
        <v>316</v>
      </c>
      <c r="B318" s="37" t="s">
        <v>1114</v>
      </c>
      <c r="C318" s="37" t="s">
        <v>1115</v>
      </c>
      <c r="D318" s="37" t="s">
        <v>1110</v>
      </c>
      <c r="E318" s="37" t="s">
        <v>502</v>
      </c>
      <c r="F318" s="37" t="s">
        <v>515</v>
      </c>
      <c r="G318" s="37" t="s">
        <v>515</v>
      </c>
      <c r="H318" s="37" t="s">
        <v>515</v>
      </c>
      <c r="I318" s="37" t="s">
        <v>105</v>
      </c>
      <c r="J318" s="37" t="s">
        <v>105</v>
      </c>
      <c r="K318" s="37" t="s">
        <v>105</v>
      </c>
      <c r="L318" s="36">
        <v>3</v>
      </c>
      <c r="M318" s="36">
        <v>3</v>
      </c>
      <c r="N318" s="36">
        <v>3</v>
      </c>
      <c r="O318" s="36">
        <v>4</v>
      </c>
      <c r="P318" s="37" t="s">
        <v>292</v>
      </c>
      <c r="Q318" s="37"/>
      <c r="R318" s="37" t="s">
        <v>1116</v>
      </c>
    </row>
    <row r="319" spans="1:18" ht="41.35" hidden="1" thickBot="1" x14ac:dyDescent="0.55000000000000004">
      <c r="A319" s="36">
        <v>317</v>
      </c>
      <c r="B319" s="37" t="s">
        <v>1117</v>
      </c>
      <c r="C319" s="37" t="s">
        <v>1115</v>
      </c>
      <c r="D319" s="37" t="s">
        <v>1110</v>
      </c>
      <c r="E319" s="37" t="s">
        <v>502</v>
      </c>
      <c r="F319" s="37" t="s">
        <v>871</v>
      </c>
      <c r="G319" s="37" t="s">
        <v>871</v>
      </c>
      <c r="H319" s="37" t="s">
        <v>872</v>
      </c>
      <c r="I319" s="37" t="s">
        <v>105</v>
      </c>
      <c r="J319" s="37" t="s">
        <v>105</v>
      </c>
      <c r="K319" s="37" t="s">
        <v>105</v>
      </c>
      <c r="L319" s="36">
        <v>3</v>
      </c>
      <c r="M319" s="36">
        <v>3</v>
      </c>
      <c r="N319" s="36">
        <v>3</v>
      </c>
      <c r="O319" s="36">
        <v>3</v>
      </c>
      <c r="P319" s="37" t="s">
        <v>292</v>
      </c>
      <c r="Q319" s="37"/>
      <c r="R319" s="37" t="s">
        <v>1118</v>
      </c>
    </row>
    <row r="320" spans="1:18" ht="14.7" hidden="1" thickBot="1" x14ac:dyDescent="0.55000000000000004">
      <c r="A320" s="36">
        <v>318</v>
      </c>
      <c r="B320" s="37" t="s">
        <v>1119</v>
      </c>
      <c r="C320" s="37" t="s">
        <v>884</v>
      </c>
      <c r="D320" s="37" t="s">
        <v>876</v>
      </c>
      <c r="E320" s="37" t="s">
        <v>877</v>
      </c>
      <c r="F320" s="37" t="s">
        <v>871</v>
      </c>
      <c r="G320" s="37" t="s">
        <v>872</v>
      </c>
      <c r="H320" s="37" t="s">
        <v>872</v>
      </c>
      <c r="I320" s="37" t="s">
        <v>105</v>
      </c>
      <c r="J320" s="37" t="s">
        <v>105</v>
      </c>
      <c r="K320" s="37" t="s">
        <v>105</v>
      </c>
      <c r="L320" s="36">
        <v>3</v>
      </c>
      <c r="M320" s="36">
        <v>3</v>
      </c>
      <c r="N320" s="36">
        <v>3</v>
      </c>
      <c r="O320" s="36">
        <v>4</v>
      </c>
      <c r="P320" s="37" t="s">
        <v>292</v>
      </c>
      <c r="Q320" s="37"/>
      <c r="R320" s="37" t="s">
        <v>1120</v>
      </c>
    </row>
    <row r="321" spans="1:18" ht="14.7" hidden="1" thickBot="1" x14ac:dyDescent="0.55000000000000004">
      <c r="A321" s="36">
        <v>319</v>
      </c>
      <c r="B321" s="37" t="s">
        <v>1121</v>
      </c>
      <c r="C321" s="37" t="s">
        <v>1121</v>
      </c>
      <c r="D321" s="37" t="s">
        <v>876</v>
      </c>
      <c r="E321" s="37" t="s">
        <v>877</v>
      </c>
      <c r="F321" s="37" t="s">
        <v>871</v>
      </c>
      <c r="G321" s="37" t="s">
        <v>871</v>
      </c>
      <c r="H321" s="37" t="s">
        <v>872</v>
      </c>
      <c r="I321" s="37" t="s">
        <v>105</v>
      </c>
      <c r="J321" s="37" t="s">
        <v>105</v>
      </c>
      <c r="K321" s="37" t="s">
        <v>105</v>
      </c>
      <c r="L321" s="36">
        <v>4</v>
      </c>
      <c r="M321" s="36">
        <v>4</v>
      </c>
      <c r="N321" s="36">
        <v>4</v>
      </c>
      <c r="O321" s="36">
        <v>5</v>
      </c>
      <c r="P321" s="37" t="s">
        <v>292</v>
      </c>
      <c r="Q321" s="37"/>
      <c r="R321" s="37" t="s">
        <v>1122</v>
      </c>
    </row>
    <row r="322" spans="1:18" ht="27.7" hidden="1" thickBot="1" x14ac:dyDescent="0.55000000000000004">
      <c r="A322" s="36">
        <v>320</v>
      </c>
      <c r="B322" s="37" t="s">
        <v>1123</v>
      </c>
      <c r="C322" s="37" t="s">
        <v>884</v>
      </c>
      <c r="D322" s="37" t="s">
        <v>876</v>
      </c>
      <c r="E322" s="37" t="s">
        <v>877</v>
      </c>
      <c r="F322" s="37" t="s">
        <v>871</v>
      </c>
      <c r="G322" s="37" t="s">
        <v>871</v>
      </c>
      <c r="H322" s="37" t="s">
        <v>872</v>
      </c>
      <c r="I322" s="37" t="s">
        <v>105</v>
      </c>
      <c r="J322" s="37" t="s">
        <v>105</v>
      </c>
      <c r="K322" s="37" t="s">
        <v>105</v>
      </c>
      <c r="L322" s="36">
        <v>3</v>
      </c>
      <c r="M322" s="36">
        <v>3</v>
      </c>
      <c r="N322" s="36">
        <v>3</v>
      </c>
      <c r="O322" s="36">
        <v>4</v>
      </c>
      <c r="P322" s="37" t="s">
        <v>292</v>
      </c>
      <c r="Q322" s="37"/>
      <c r="R322" s="37" t="s">
        <v>1124</v>
      </c>
    </row>
    <row r="323" spans="1:18" ht="14.7" hidden="1" thickBot="1" x14ac:dyDescent="0.55000000000000004">
      <c r="A323" s="36">
        <v>321</v>
      </c>
      <c r="B323" s="37" t="s">
        <v>1125</v>
      </c>
      <c r="C323" s="37" t="s">
        <v>1126</v>
      </c>
      <c r="D323" s="37" t="s">
        <v>876</v>
      </c>
      <c r="E323" s="37" t="s">
        <v>877</v>
      </c>
      <c r="F323" s="37" t="s">
        <v>871</v>
      </c>
      <c r="G323" s="37" t="s">
        <v>872</v>
      </c>
      <c r="H323" s="37" t="s">
        <v>872</v>
      </c>
      <c r="I323" s="37" t="s">
        <v>105</v>
      </c>
      <c r="J323" s="37" t="s">
        <v>105</v>
      </c>
      <c r="K323" s="37" t="s">
        <v>105</v>
      </c>
      <c r="L323" s="36">
        <v>3</v>
      </c>
      <c r="M323" s="36">
        <v>3</v>
      </c>
      <c r="N323" s="36">
        <v>3</v>
      </c>
      <c r="O323" s="36">
        <v>5</v>
      </c>
      <c r="P323" s="37" t="s">
        <v>292</v>
      </c>
      <c r="Q323" s="37"/>
      <c r="R323" s="37" t="s">
        <v>1127</v>
      </c>
    </row>
    <row r="324" spans="1:18" ht="27.7" hidden="1" thickBot="1" x14ac:dyDescent="0.55000000000000004">
      <c r="A324" s="36">
        <v>322</v>
      </c>
      <c r="B324" s="37" t="s">
        <v>1126</v>
      </c>
      <c r="C324" s="37" t="s">
        <v>1126</v>
      </c>
      <c r="D324" s="37" t="s">
        <v>876</v>
      </c>
      <c r="E324" s="37" t="s">
        <v>877</v>
      </c>
      <c r="F324" s="37" t="s">
        <v>871</v>
      </c>
      <c r="G324" s="37" t="s">
        <v>871</v>
      </c>
      <c r="H324" s="37" t="s">
        <v>872</v>
      </c>
      <c r="I324" s="37" t="s">
        <v>105</v>
      </c>
      <c r="J324" s="37" t="s">
        <v>105</v>
      </c>
      <c r="K324" s="37" t="s">
        <v>105</v>
      </c>
      <c r="L324" s="36">
        <v>3</v>
      </c>
      <c r="M324" s="36">
        <v>3</v>
      </c>
      <c r="N324" s="36">
        <v>3</v>
      </c>
      <c r="O324" s="36">
        <v>5</v>
      </c>
      <c r="P324" s="37" t="s">
        <v>292</v>
      </c>
      <c r="Q324" s="37"/>
      <c r="R324" s="37" t="s">
        <v>1128</v>
      </c>
    </row>
    <row r="325" spans="1:18" ht="14.7" hidden="1" thickBot="1" x14ac:dyDescent="0.55000000000000004">
      <c r="A325" s="36">
        <v>323</v>
      </c>
      <c r="B325" s="37" t="s">
        <v>1129</v>
      </c>
      <c r="C325" s="37" t="s">
        <v>1130</v>
      </c>
      <c r="D325" s="37" t="s">
        <v>876</v>
      </c>
      <c r="E325" s="37" t="s">
        <v>877</v>
      </c>
      <c r="F325" s="37" t="s">
        <v>871</v>
      </c>
      <c r="G325" s="37" t="s">
        <v>872</v>
      </c>
      <c r="H325" s="37" t="s">
        <v>872</v>
      </c>
      <c r="I325" s="37" t="s">
        <v>105</v>
      </c>
      <c r="J325" s="37" t="s">
        <v>105</v>
      </c>
      <c r="K325" s="37" t="s">
        <v>105</v>
      </c>
      <c r="L325" s="36">
        <v>3</v>
      </c>
      <c r="M325" s="36">
        <v>3</v>
      </c>
      <c r="N325" s="36">
        <v>3</v>
      </c>
      <c r="O325" s="36">
        <v>4</v>
      </c>
      <c r="P325" s="37" t="s">
        <v>265</v>
      </c>
      <c r="Q325" s="37"/>
      <c r="R325" s="37" t="s">
        <v>1131</v>
      </c>
    </row>
    <row r="326" spans="1:18" ht="55" hidden="1" thickBot="1" x14ac:dyDescent="0.55000000000000004">
      <c r="A326" s="36">
        <v>324</v>
      </c>
      <c r="B326" s="37" t="s">
        <v>1132</v>
      </c>
      <c r="C326" s="37" t="s">
        <v>1132</v>
      </c>
      <c r="D326" s="37" t="s">
        <v>1133</v>
      </c>
      <c r="E326" s="37" t="s">
        <v>877</v>
      </c>
      <c r="F326" s="37" t="s">
        <v>871</v>
      </c>
      <c r="G326" s="37" t="s">
        <v>872</v>
      </c>
      <c r="H326" s="37" t="s">
        <v>872</v>
      </c>
      <c r="I326" s="37" t="s">
        <v>105</v>
      </c>
      <c r="J326" s="37" t="s">
        <v>105</v>
      </c>
      <c r="K326" s="37" t="s">
        <v>105</v>
      </c>
      <c r="L326" s="36">
        <v>3</v>
      </c>
      <c r="M326" s="36">
        <v>3</v>
      </c>
      <c r="N326" s="36">
        <v>3</v>
      </c>
      <c r="O326" s="36">
        <v>3</v>
      </c>
      <c r="P326" s="37" t="s">
        <v>265</v>
      </c>
      <c r="Q326" s="37" t="s">
        <v>1134</v>
      </c>
      <c r="R326" s="37" t="s">
        <v>1135</v>
      </c>
    </row>
    <row r="327" spans="1:18" ht="41.35" hidden="1" thickBot="1" x14ac:dyDescent="0.55000000000000004">
      <c r="A327" s="36">
        <v>325</v>
      </c>
      <c r="B327" s="37" t="s">
        <v>1136</v>
      </c>
      <c r="C327" s="37" t="s">
        <v>1137</v>
      </c>
      <c r="D327" s="37" t="s">
        <v>1133</v>
      </c>
      <c r="E327" s="37" t="s">
        <v>877</v>
      </c>
      <c r="F327" s="37" t="s">
        <v>872</v>
      </c>
      <c r="G327" s="37" t="s">
        <v>872</v>
      </c>
      <c r="H327" s="37" t="s">
        <v>872</v>
      </c>
      <c r="I327" s="37" t="s">
        <v>105</v>
      </c>
      <c r="J327" s="37" t="s">
        <v>105</v>
      </c>
      <c r="K327" s="37" t="s">
        <v>105</v>
      </c>
      <c r="L327" s="36">
        <v>3</v>
      </c>
      <c r="M327" s="36">
        <v>3</v>
      </c>
      <c r="N327" s="36">
        <v>3</v>
      </c>
      <c r="O327" s="36">
        <v>4</v>
      </c>
      <c r="P327" s="37" t="s">
        <v>265</v>
      </c>
      <c r="Q327" s="37" t="s">
        <v>1138</v>
      </c>
      <c r="R327" s="37" t="s">
        <v>1139</v>
      </c>
    </row>
    <row r="328" spans="1:18" ht="41.35" hidden="1" thickBot="1" x14ac:dyDescent="0.55000000000000004">
      <c r="A328" s="36">
        <v>326</v>
      </c>
      <c r="B328" s="37" t="s">
        <v>1140</v>
      </c>
      <c r="C328" s="37" t="s">
        <v>1137</v>
      </c>
      <c r="D328" s="37" t="s">
        <v>1133</v>
      </c>
      <c r="E328" s="37" t="s">
        <v>877</v>
      </c>
      <c r="F328" s="37" t="s">
        <v>872</v>
      </c>
      <c r="G328" s="37" t="s">
        <v>872</v>
      </c>
      <c r="H328" s="37" t="s">
        <v>872</v>
      </c>
      <c r="I328" s="37" t="s">
        <v>105</v>
      </c>
      <c r="J328" s="37" t="s">
        <v>105</v>
      </c>
      <c r="K328" s="37" t="s">
        <v>105</v>
      </c>
      <c r="L328" s="36">
        <v>3</v>
      </c>
      <c r="M328" s="36">
        <v>3</v>
      </c>
      <c r="N328" s="36">
        <v>3</v>
      </c>
      <c r="O328" s="36">
        <v>4</v>
      </c>
      <c r="P328" s="37" t="s">
        <v>265</v>
      </c>
      <c r="Q328" s="37" t="s">
        <v>1141</v>
      </c>
      <c r="R328" s="37" t="s">
        <v>1142</v>
      </c>
    </row>
    <row r="329" spans="1:18" ht="14.7" hidden="1" thickBot="1" x14ac:dyDescent="0.55000000000000004">
      <c r="A329" s="36">
        <v>327</v>
      </c>
      <c r="B329" s="37" t="s">
        <v>1143</v>
      </c>
      <c r="C329" s="37" t="s">
        <v>1143</v>
      </c>
      <c r="D329" s="37" t="s">
        <v>876</v>
      </c>
      <c r="E329" s="37" t="s">
        <v>877</v>
      </c>
      <c r="F329" s="37" t="s">
        <v>872</v>
      </c>
      <c r="G329" s="37" t="s">
        <v>872</v>
      </c>
      <c r="H329" s="37" t="s">
        <v>872</v>
      </c>
      <c r="I329" s="37" t="s">
        <v>105</v>
      </c>
      <c r="J329" s="37" t="s">
        <v>105</v>
      </c>
      <c r="K329" s="37" t="s">
        <v>105</v>
      </c>
      <c r="L329" s="36">
        <v>4</v>
      </c>
      <c r="M329" s="36">
        <v>4</v>
      </c>
      <c r="N329" s="36">
        <v>4</v>
      </c>
      <c r="O329" s="36">
        <v>5</v>
      </c>
      <c r="P329" s="37" t="s">
        <v>265</v>
      </c>
      <c r="Q329" s="37"/>
      <c r="R329" s="37" t="s">
        <v>1144</v>
      </c>
    </row>
    <row r="330" spans="1:18" ht="96" hidden="1" thickBot="1" x14ac:dyDescent="0.55000000000000004">
      <c r="A330" s="36">
        <v>328</v>
      </c>
      <c r="B330" s="37" t="s">
        <v>1145</v>
      </c>
      <c r="C330" s="37" t="s">
        <v>1130</v>
      </c>
      <c r="D330" s="37" t="s">
        <v>876</v>
      </c>
      <c r="E330" s="37" t="s">
        <v>877</v>
      </c>
      <c r="F330" s="37" t="s">
        <v>872</v>
      </c>
      <c r="G330" s="37" t="s">
        <v>872</v>
      </c>
      <c r="H330" s="37" t="s">
        <v>872</v>
      </c>
      <c r="I330" s="37" t="s">
        <v>105</v>
      </c>
      <c r="J330" s="37" t="s">
        <v>105</v>
      </c>
      <c r="K330" s="37" t="s">
        <v>105</v>
      </c>
      <c r="L330" s="36">
        <v>3</v>
      </c>
      <c r="M330" s="36">
        <v>3</v>
      </c>
      <c r="N330" s="36">
        <v>3</v>
      </c>
      <c r="O330" s="36">
        <v>6</v>
      </c>
      <c r="P330" s="37" t="s">
        <v>292</v>
      </c>
      <c r="Q330" s="37" t="s">
        <v>1146</v>
      </c>
      <c r="R330" s="37" t="s">
        <v>1147</v>
      </c>
    </row>
    <row r="331" spans="1:18" ht="27.7" hidden="1" thickBot="1" x14ac:dyDescent="0.55000000000000004">
      <c r="A331" s="36">
        <v>329</v>
      </c>
      <c r="B331" s="37" t="s">
        <v>1148</v>
      </c>
      <c r="C331" s="37" t="s">
        <v>1149</v>
      </c>
      <c r="D331" s="37" t="s">
        <v>904</v>
      </c>
      <c r="E331" s="37" t="s">
        <v>877</v>
      </c>
      <c r="F331" s="37" t="s">
        <v>872</v>
      </c>
      <c r="G331" s="37" t="s">
        <v>872</v>
      </c>
      <c r="H331" s="37" t="s">
        <v>872</v>
      </c>
      <c r="I331" s="37" t="s">
        <v>105</v>
      </c>
      <c r="J331" s="37" t="s">
        <v>105</v>
      </c>
      <c r="K331" s="37" t="s">
        <v>105</v>
      </c>
      <c r="L331" s="36">
        <v>3</v>
      </c>
      <c r="M331" s="36">
        <v>3</v>
      </c>
      <c r="N331" s="36">
        <v>3</v>
      </c>
      <c r="O331" s="36">
        <v>4</v>
      </c>
      <c r="P331" s="37" t="s">
        <v>292</v>
      </c>
      <c r="Q331" s="37"/>
      <c r="R331" s="37" t="s">
        <v>1150</v>
      </c>
    </row>
    <row r="332" spans="1:18" ht="14.7" hidden="1" thickBot="1" x14ac:dyDescent="0.55000000000000004">
      <c r="A332" s="36">
        <v>330</v>
      </c>
      <c r="B332" s="37" t="s">
        <v>1151</v>
      </c>
      <c r="C332" s="37" t="s">
        <v>1130</v>
      </c>
      <c r="D332" s="37" t="s">
        <v>876</v>
      </c>
      <c r="E332" s="37" t="s">
        <v>877</v>
      </c>
      <c r="F332" s="37" t="s">
        <v>872</v>
      </c>
      <c r="G332" s="37" t="s">
        <v>872</v>
      </c>
      <c r="H332" s="37" t="s">
        <v>872</v>
      </c>
      <c r="I332" s="37" t="s">
        <v>105</v>
      </c>
      <c r="J332" s="37" t="s">
        <v>105</v>
      </c>
      <c r="K332" s="37" t="s">
        <v>105</v>
      </c>
      <c r="L332" s="36">
        <v>3</v>
      </c>
      <c r="M332" s="36">
        <v>3</v>
      </c>
      <c r="N332" s="36">
        <v>3</v>
      </c>
      <c r="O332" s="36">
        <v>5</v>
      </c>
      <c r="P332" s="37" t="s">
        <v>292</v>
      </c>
      <c r="Q332" s="37"/>
      <c r="R332" s="37" t="s">
        <v>1152</v>
      </c>
    </row>
    <row r="333" spans="1:18" ht="27.7" hidden="1" thickBot="1" x14ac:dyDescent="0.55000000000000004">
      <c r="A333" s="36">
        <v>331</v>
      </c>
      <c r="B333" s="37" t="s">
        <v>1153</v>
      </c>
      <c r="C333" s="37" t="s">
        <v>1143</v>
      </c>
      <c r="D333" s="37" t="s">
        <v>876</v>
      </c>
      <c r="E333" s="37" t="s">
        <v>877</v>
      </c>
      <c r="F333" s="37" t="s">
        <v>872</v>
      </c>
      <c r="G333" s="37" t="s">
        <v>872</v>
      </c>
      <c r="H333" s="37" t="s">
        <v>872</v>
      </c>
      <c r="I333" s="37" t="s">
        <v>105</v>
      </c>
      <c r="J333" s="37" t="s">
        <v>105</v>
      </c>
      <c r="K333" s="37" t="s">
        <v>105</v>
      </c>
      <c r="L333" s="36">
        <v>3</v>
      </c>
      <c r="M333" s="36">
        <v>3</v>
      </c>
      <c r="N333" s="36">
        <v>3</v>
      </c>
      <c r="O333" s="36">
        <v>4</v>
      </c>
      <c r="P333" s="37" t="s">
        <v>265</v>
      </c>
      <c r="Q333" s="37"/>
      <c r="R333" s="37" t="s">
        <v>1154</v>
      </c>
    </row>
    <row r="334" spans="1:18" ht="27.7" hidden="1" thickBot="1" x14ac:dyDescent="0.55000000000000004">
      <c r="A334" s="36">
        <v>332</v>
      </c>
      <c r="B334" s="37" t="s">
        <v>1155</v>
      </c>
      <c r="C334" s="37" t="s">
        <v>903</v>
      </c>
      <c r="D334" s="37" t="s">
        <v>904</v>
      </c>
      <c r="E334" s="37" t="s">
        <v>877</v>
      </c>
      <c r="F334" s="37" t="s">
        <v>872</v>
      </c>
      <c r="G334" s="37" t="s">
        <v>872</v>
      </c>
      <c r="H334" s="37" t="s">
        <v>872</v>
      </c>
      <c r="I334" s="37" t="s">
        <v>105</v>
      </c>
      <c r="J334" s="37" t="s">
        <v>105</v>
      </c>
      <c r="K334" s="37" t="s">
        <v>105</v>
      </c>
      <c r="L334" s="36">
        <v>3</v>
      </c>
      <c r="M334" s="36">
        <v>3</v>
      </c>
      <c r="N334" s="36">
        <v>3</v>
      </c>
      <c r="O334" s="36">
        <v>4</v>
      </c>
      <c r="P334" s="37" t="s">
        <v>265</v>
      </c>
      <c r="Q334" s="37"/>
      <c r="R334" s="37" t="s">
        <v>1156</v>
      </c>
    </row>
    <row r="335" spans="1:18" ht="27.7" hidden="1" thickBot="1" x14ac:dyDescent="0.55000000000000004">
      <c r="A335" s="36">
        <v>333</v>
      </c>
      <c r="B335" s="37" t="s">
        <v>1157</v>
      </c>
      <c r="C335" s="37" t="s">
        <v>903</v>
      </c>
      <c r="D335" s="37" t="s">
        <v>904</v>
      </c>
      <c r="E335" s="37" t="s">
        <v>877</v>
      </c>
      <c r="F335" s="37" t="s">
        <v>872</v>
      </c>
      <c r="G335" s="37" t="s">
        <v>872</v>
      </c>
      <c r="H335" s="37" t="s">
        <v>872</v>
      </c>
      <c r="I335" s="37" t="s">
        <v>105</v>
      </c>
      <c r="J335" s="37" t="s">
        <v>105</v>
      </c>
      <c r="K335" s="37" t="s">
        <v>105</v>
      </c>
      <c r="L335" s="36">
        <v>4</v>
      </c>
      <c r="M335" s="36">
        <v>4</v>
      </c>
      <c r="N335" s="36">
        <v>4</v>
      </c>
      <c r="O335" s="36">
        <v>7</v>
      </c>
      <c r="P335" s="37" t="s">
        <v>265</v>
      </c>
      <c r="Q335" s="37" t="s">
        <v>1158</v>
      </c>
      <c r="R335" s="37" t="s">
        <v>1159</v>
      </c>
    </row>
    <row r="336" spans="1:18" ht="27.7" hidden="1" thickBot="1" x14ac:dyDescent="0.55000000000000004">
      <c r="A336" s="36">
        <v>334</v>
      </c>
      <c r="B336" s="37" t="s">
        <v>1160</v>
      </c>
      <c r="C336" s="37" t="s">
        <v>1161</v>
      </c>
      <c r="D336" s="37" t="s">
        <v>1162</v>
      </c>
      <c r="E336" s="37" t="s">
        <v>1163</v>
      </c>
      <c r="F336" s="37" t="s">
        <v>1164</v>
      </c>
      <c r="G336" s="37" t="s">
        <v>1164</v>
      </c>
      <c r="H336" s="37" t="s">
        <v>1164</v>
      </c>
      <c r="I336" s="37" t="s">
        <v>1165</v>
      </c>
      <c r="J336" s="37" t="s">
        <v>1165</v>
      </c>
      <c r="K336" s="37" t="s">
        <v>1165</v>
      </c>
      <c r="L336" s="36">
        <v>4</v>
      </c>
      <c r="M336" s="36">
        <v>4</v>
      </c>
      <c r="N336" s="36">
        <v>4</v>
      </c>
      <c r="O336" s="36">
        <v>5</v>
      </c>
      <c r="P336" s="37" t="s">
        <v>265</v>
      </c>
      <c r="Q336" s="37" t="s">
        <v>1166</v>
      </c>
      <c r="R336" s="37" t="s">
        <v>1167</v>
      </c>
    </row>
    <row r="337" spans="1:18" ht="27.7" hidden="1" thickBot="1" x14ac:dyDescent="0.55000000000000004">
      <c r="A337" s="36">
        <v>335</v>
      </c>
      <c r="B337" s="37" t="s">
        <v>1168</v>
      </c>
      <c r="C337" s="37" t="s">
        <v>1168</v>
      </c>
      <c r="D337" s="37" t="s">
        <v>1162</v>
      </c>
      <c r="E337" s="37" t="s">
        <v>1163</v>
      </c>
      <c r="F337" s="37" t="s">
        <v>871</v>
      </c>
      <c r="G337" s="37" t="s">
        <v>871</v>
      </c>
      <c r="H337" s="37" t="s">
        <v>871</v>
      </c>
      <c r="I337" s="37" t="s">
        <v>105</v>
      </c>
      <c r="J337" s="37" t="s">
        <v>105</v>
      </c>
      <c r="K337" s="37" t="s">
        <v>105</v>
      </c>
      <c r="L337" s="36">
        <v>3</v>
      </c>
      <c r="M337" s="36">
        <v>3</v>
      </c>
      <c r="N337" s="36">
        <v>3</v>
      </c>
      <c r="O337" s="36">
        <v>4</v>
      </c>
      <c r="P337" s="37" t="s">
        <v>265</v>
      </c>
      <c r="Q337" s="37"/>
      <c r="R337" s="37" t="s">
        <v>1169</v>
      </c>
    </row>
    <row r="338" spans="1:18" ht="27.7" hidden="1" thickBot="1" x14ac:dyDescent="0.55000000000000004">
      <c r="A338" s="36">
        <v>336</v>
      </c>
      <c r="B338" s="37" t="s">
        <v>1170</v>
      </c>
      <c r="C338" s="37" t="s">
        <v>1170</v>
      </c>
      <c r="D338" s="37" t="s">
        <v>1162</v>
      </c>
      <c r="E338" s="37" t="s">
        <v>1163</v>
      </c>
      <c r="F338" s="37" t="s">
        <v>871</v>
      </c>
      <c r="G338" s="37" t="s">
        <v>871</v>
      </c>
      <c r="H338" s="37" t="s">
        <v>871</v>
      </c>
      <c r="I338" s="37" t="s">
        <v>105</v>
      </c>
      <c r="J338" s="37" t="s">
        <v>105</v>
      </c>
      <c r="K338" s="37" t="s">
        <v>105</v>
      </c>
      <c r="L338" s="36">
        <v>4</v>
      </c>
      <c r="M338" s="36">
        <v>4</v>
      </c>
      <c r="N338" s="36">
        <v>4</v>
      </c>
      <c r="O338" s="36">
        <v>5</v>
      </c>
      <c r="P338" s="37" t="s">
        <v>265</v>
      </c>
      <c r="Q338" s="37"/>
      <c r="R338" s="37" t="s">
        <v>1171</v>
      </c>
    </row>
    <row r="339" spans="1:18" ht="27.7" hidden="1" thickBot="1" x14ac:dyDescent="0.55000000000000004">
      <c r="A339" s="36">
        <v>337</v>
      </c>
      <c r="B339" s="37" t="s">
        <v>1172</v>
      </c>
      <c r="C339" s="37" t="s">
        <v>1173</v>
      </c>
      <c r="D339" s="37" t="s">
        <v>1162</v>
      </c>
      <c r="E339" s="37" t="s">
        <v>1163</v>
      </c>
      <c r="F339" s="37" t="s">
        <v>1164</v>
      </c>
      <c r="G339" s="37" t="s">
        <v>1164</v>
      </c>
      <c r="H339" s="37" t="s">
        <v>1164</v>
      </c>
      <c r="I339" s="37" t="s">
        <v>1165</v>
      </c>
      <c r="J339" s="37" t="s">
        <v>1165</v>
      </c>
      <c r="K339" s="37" t="s">
        <v>1165</v>
      </c>
      <c r="L339" s="36">
        <v>3</v>
      </c>
      <c r="M339" s="36">
        <v>3</v>
      </c>
      <c r="N339" s="36">
        <v>3</v>
      </c>
      <c r="O339" s="36">
        <v>4</v>
      </c>
      <c r="P339" s="37" t="s">
        <v>265</v>
      </c>
      <c r="Q339" s="37" t="s">
        <v>1174</v>
      </c>
      <c r="R339" s="37" t="s">
        <v>1175</v>
      </c>
    </row>
    <row r="340" spans="1:18" ht="27.7" hidden="1" thickBot="1" x14ac:dyDescent="0.55000000000000004">
      <c r="A340" s="36">
        <v>338</v>
      </c>
      <c r="B340" s="37" t="s">
        <v>1176</v>
      </c>
      <c r="C340" s="37" t="s">
        <v>1173</v>
      </c>
      <c r="D340" s="37" t="s">
        <v>1162</v>
      </c>
      <c r="E340" s="37" t="s">
        <v>1163</v>
      </c>
      <c r="F340" s="37" t="s">
        <v>1164</v>
      </c>
      <c r="G340" s="37" t="s">
        <v>1164</v>
      </c>
      <c r="H340" s="37" t="s">
        <v>1164</v>
      </c>
      <c r="I340" s="37" t="s">
        <v>1165</v>
      </c>
      <c r="J340" s="37" t="s">
        <v>1165</v>
      </c>
      <c r="K340" s="37" t="s">
        <v>1165</v>
      </c>
      <c r="L340" s="36">
        <v>3</v>
      </c>
      <c r="M340" s="36">
        <v>3</v>
      </c>
      <c r="N340" s="36">
        <v>3</v>
      </c>
      <c r="O340" s="36">
        <v>4</v>
      </c>
      <c r="P340" s="37" t="s">
        <v>265</v>
      </c>
      <c r="Q340" s="37" t="s">
        <v>1177</v>
      </c>
      <c r="R340" s="37" t="s">
        <v>1178</v>
      </c>
    </row>
    <row r="341" spans="1:18" ht="27.7" hidden="1" thickBot="1" x14ac:dyDescent="0.55000000000000004">
      <c r="A341" s="36">
        <v>339</v>
      </c>
      <c r="B341" s="37" t="s">
        <v>1179</v>
      </c>
      <c r="C341" s="37" t="s">
        <v>1162</v>
      </c>
      <c r="D341" s="37" t="s">
        <v>1162</v>
      </c>
      <c r="E341" s="37" t="s">
        <v>1163</v>
      </c>
      <c r="F341" s="37" t="s">
        <v>1164</v>
      </c>
      <c r="G341" s="37" t="s">
        <v>1164</v>
      </c>
      <c r="H341" s="37" t="s">
        <v>1180</v>
      </c>
      <c r="I341" s="37" t="s">
        <v>1165</v>
      </c>
      <c r="J341" s="37" t="s">
        <v>1165</v>
      </c>
      <c r="K341" s="37" t="s">
        <v>88</v>
      </c>
      <c r="L341" s="36">
        <v>3</v>
      </c>
      <c r="M341" s="36">
        <v>3</v>
      </c>
      <c r="N341" s="36">
        <v>3</v>
      </c>
      <c r="O341" s="36">
        <v>5</v>
      </c>
      <c r="P341" s="37" t="s">
        <v>265</v>
      </c>
      <c r="Q341" s="37" t="s">
        <v>1181</v>
      </c>
      <c r="R341" s="37" t="s">
        <v>1182</v>
      </c>
    </row>
    <row r="342" spans="1:18" ht="41.35" hidden="1" thickBot="1" x14ac:dyDescent="0.55000000000000004">
      <c r="A342" s="36">
        <v>340</v>
      </c>
      <c r="B342" s="37" t="s">
        <v>1183</v>
      </c>
      <c r="C342" s="37" t="s">
        <v>1162</v>
      </c>
      <c r="D342" s="37" t="s">
        <v>1162</v>
      </c>
      <c r="E342" s="37" t="s">
        <v>1163</v>
      </c>
      <c r="F342" s="37" t="s">
        <v>1164</v>
      </c>
      <c r="G342" s="37" t="s">
        <v>1180</v>
      </c>
      <c r="H342" s="37" t="s">
        <v>1180</v>
      </c>
      <c r="I342" s="37" t="s">
        <v>1165</v>
      </c>
      <c r="J342" s="37" t="s">
        <v>88</v>
      </c>
      <c r="K342" s="37" t="s">
        <v>88</v>
      </c>
      <c r="L342" s="36">
        <v>4</v>
      </c>
      <c r="M342" s="36">
        <v>4</v>
      </c>
      <c r="N342" s="36">
        <v>4</v>
      </c>
      <c r="O342" s="36">
        <v>6</v>
      </c>
      <c r="P342" s="37" t="s">
        <v>265</v>
      </c>
      <c r="Q342" s="37" t="s">
        <v>1184</v>
      </c>
      <c r="R342" s="37" t="s">
        <v>1185</v>
      </c>
    </row>
    <row r="343" spans="1:18" ht="27.7" hidden="1" thickBot="1" x14ac:dyDescent="0.55000000000000004">
      <c r="A343" s="36">
        <v>341</v>
      </c>
      <c r="B343" s="37" t="s">
        <v>1186</v>
      </c>
      <c r="C343" s="37" t="s">
        <v>1162</v>
      </c>
      <c r="D343" s="37" t="s">
        <v>1162</v>
      </c>
      <c r="E343" s="37" t="s">
        <v>1163</v>
      </c>
      <c r="F343" s="37" t="s">
        <v>1164</v>
      </c>
      <c r="G343" s="37" t="s">
        <v>1180</v>
      </c>
      <c r="H343" s="37" t="s">
        <v>1180</v>
      </c>
      <c r="I343" s="37" t="s">
        <v>1165</v>
      </c>
      <c r="J343" s="37" t="s">
        <v>88</v>
      </c>
      <c r="K343" s="37" t="s">
        <v>88</v>
      </c>
      <c r="L343" s="36">
        <v>3</v>
      </c>
      <c r="M343" s="36">
        <v>3</v>
      </c>
      <c r="N343" s="36">
        <v>3</v>
      </c>
      <c r="O343" s="36">
        <v>4</v>
      </c>
      <c r="P343" s="37" t="s">
        <v>265</v>
      </c>
      <c r="Q343" s="37" t="s">
        <v>1187</v>
      </c>
      <c r="R343" s="37" t="s">
        <v>1188</v>
      </c>
    </row>
    <row r="344" spans="1:18" ht="41.35" hidden="1" thickBot="1" x14ac:dyDescent="0.55000000000000004">
      <c r="A344" s="36">
        <v>342</v>
      </c>
      <c r="B344" s="37" t="s">
        <v>1189</v>
      </c>
      <c r="C344" s="37" t="s">
        <v>1162</v>
      </c>
      <c r="D344" s="37" t="s">
        <v>1162</v>
      </c>
      <c r="E344" s="37" t="s">
        <v>1163</v>
      </c>
      <c r="F344" s="37" t="s">
        <v>1164</v>
      </c>
      <c r="G344" s="37" t="s">
        <v>1164</v>
      </c>
      <c r="H344" s="37" t="s">
        <v>1180</v>
      </c>
      <c r="I344" s="37" t="s">
        <v>1165</v>
      </c>
      <c r="J344" s="37" t="s">
        <v>1165</v>
      </c>
      <c r="K344" s="37" t="s">
        <v>88</v>
      </c>
      <c r="L344" s="36">
        <v>3</v>
      </c>
      <c r="M344" s="36">
        <v>3</v>
      </c>
      <c r="N344" s="36">
        <v>3</v>
      </c>
      <c r="O344" s="36">
        <v>4</v>
      </c>
      <c r="P344" s="37" t="s">
        <v>265</v>
      </c>
      <c r="Q344" s="37" t="s">
        <v>1190</v>
      </c>
      <c r="R344" s="37" t="s">
        <v>1191</v>
      </c>
    </row>
    <row r="345" spans="1:18" ht="27.7" hidden="1" thickBot="1" x14ac:dyDescent="0.55000000000000004">
      <c r="A345" s="36">
        <v>343</v>
      </c>
      <c r="B345" s="37" t="s">
        <v>1192</v>
      </c>
      <c r="C345" s="37" t="s">
        <v>1162</v>
      </c>
      <c r="D345" s="37" t="s">
        <v>1162</v>
      </c>
      <c r="E345" s="37" t="s">
        <v>1163</v>
      </c>
      <c r="F345" s="37" t="s">
        <v>1164</v>
      </c>
      <c r="G345" s="37" t="s">
        <v>1164</v>
      </c>
      <c r="H345" s="37" t="s">
        <v>1180</v>
      </c>
      <c r="I345" s="37" t="s">
        <v>1165</v>
      </c>
      <c r="J345" s="37" t="s">
        <v>1165</v>
      </c>
      <c r="K345" s="37" t="s">
        <v>88</v>
      </c>
      <c r="L345" s="36">
        <v>3</v>
      </c>
      <c r="M345" s="36">
        <v>3</v>
      </c>
      <c r="N345" s="36">
        <v>3</v>
      </c>
      <c r="O345" s="36">
        <v>5</v>
      </c>
      <c r="P345" s="37" t="s">
        <v>265</v>
      </c>
      <c r="Q345" s="37" t="s">
        <v>1193</v>
      </c>
      <c r="R345" s="37" t="s">
        <v>1194</v>
      </c>
    </row>
    <row r="346" spans="1:18" ht="27.7" hidden="1" thickBot="1" x14ac:dyDescent="0.55000000000000004">
      <c r="A346" s="36">
        <v>344</v>
      </c>
      <c r="B346" s="37" t="s">
        <v>1195</v>
      </c>
      <c r="C346" s="37" t="s">
        <v>1170</v>
      </c>
      <c r="D346" s="37" t="s">
        <v>1162</v>
      </c>
      <c r="E346" s="37" t="s">
        <v>1163</v>
      </c>
      <c r="F346" s="37" t="s">
        <v>1164</v>
      </c>
      <c r="G346" s="37" t="s">
        <v>871</v>
      </c>
      <c r="H346" s="37" t="s">
        <v>871</v>
      </c>
      <c r="I346" s="37" t="s">
        <v>1165</v>
      </c>
      <c r="J346" s="37" t="s">
        <v>105</v>
      </c>
      <c r="K346" s="37" t="s">
        <v>105</v>
      </c>
      <c r="L346" s="36">
        <v>3</v>
      </c>
      <c r="M346" s="36">
        <v>3</v>
      </c>
      <c r="N346" s="36">
        <v>3</v>
      </c>
      <c r="O346" s="36">
        <v>4</v>
      </c>
      <c r="P346" s="37" t="s">
        <v>265</v>
      </c>
      <c r="Q346" s="37" t="s">
        <v>1196</v>
      </c>
      <c r="R346" s="37" t="s">
        <v>1197</v>
      </c>
    </row>
    <row r="347" spans="1:18" ht="27.7" hidden="1" thickBot="1" x14ac:dyDescent="0.55000000000000004">
      <c r="A347" s="36">
        <v>345</v>
      </c>
      <c r="B347" s="37" t="s">
        <v>1198</v>
      </c>
      <c r="C347" s="37" t="s">
        <v>1199</v>
      </c>
      <c r="D347" s="37" t="s">
        <v>1162</v>
      </c>
      <c r="E347" s="37" t="s">
        <v>1163</v>
      </c>
      <c r="F347" s="37" t="s">
        <v>1164</v>
      </c>
      <c r="G347" s="37" t="s">
        <v>1164</v>
      </c>
      <c r="H347" s="37" t="s">
        <v>1164</v>
      </c>
      <c r="I347" s="37" t="s">
        <v>1165</v>
      </c>
      <c r="J347" s="37" t="s">
        <v>1165</v>
      </c>
      <c r="K347" s="37" t="s">
        <v>1165</v>
      </c>
      <c r="L347" s="36">
        <v>3</v>
      </c>
      <c r="M347" s="36">
        <v>3</v>
      </c>
      <c r="N347" s="36">
        <v>3</v>
      </c>
      <c r="O347" s="36">
        <v>4</v>
      </c>
      <c r="P347" s="37" t="s">
        <v>265</v>
      </c>
      <c r="Q347" s="37" t="s">
        <v>1200</v>
      </c>
      <c r="R347" s="37" t="s">
        <v>1201</v>
      </c>
    </row>
    <row r="348" spans="1:18" ht="27.7" hidden="1" thickBot="1" x14ac:dyDescent="0.55000000000000004">
      <c r="A348" s="36">
        <v>346</v>
      </c>
      <c r="B348" s="37" t="s">
        <v>1202</v>
      </c>
      <c r="C348" s="37" t="s">
        <v>1199</v>
      </c>
      <c r="D348" s="37" t="s">
        <v>1162</v>
      </c>
      <c r="E348" s="37" t="s">
        <v>1163</v>
      </c>
      <c r="F348" s="37" t="s">
        <v>871</v>
      </c>
      <c r="G348" s="37" t="s">
        <v>871</v>
      </c>
      <c r="H348" s="37" t="s">
        <v>872</v>
      </c>
      <c r="I348" s="37" t="s">
        <v>105</v>
      </c>
      <c r="J348" s="37" t="s">
        <v>105</v>
      </c>
      <c r="K348" s="37" t="s">
        <v>105</v>
      </c>
      <c r="L348" s="36">
        <v>3</v>
      </c>
      <c r="M348" s="36">
        <v>3</v>
      </c>
      <c r="N348" s="36">
        <v>3</v>
      </c>
      <c r="O348" s="36">
        <v>4</v>
      </c>
      <c r="P348" s="37" t="s">
        <v>265</v>
      </c>
      <c r="Q348" s="37" t="s">
        <v>1203</v>
      </c>
      <c r="R348" s="37" t="s">
        <v>1204</v>
      </c>
    </row>
    <row r="349" spans="1:18" ht="27.7" hidden="1" thickBot="1" x14ac:dyDescent="0.55000000000000004">
      <c r="A349" s="36">
        <v>347</v>
      </c>
      <c r="B349" s="37" t="s">
        <v>1199</v>
      </c>
      <c r="C349" s="37" t="s">
        <v>1199</v>
      </c>
      <c r="D349" s="37" t="s">
        <v>1162</v>
      </c>
      <c r="E349" s="37" t="s">
        <v>1163</v>
      </c>
      <c r="F349" s="37" t="s">
        <v>871</v>
      </c>
      <c r="G349" s="37" t="s">
        <v>871</v>
      </c>
      <c r="H349" s="37" t="s">
        <v>872</v>
      </c>
      <c r="I349" s="37" t="s">
        <v>105</v>
      </c>
      <c r="J349" s="37" t="s">
        <v>105</v>
      </c>
      <c r="K349" s="37" t="s">
        <v>105</v>
      </c>
      <c r="L349" s="36">
        <v>3</v>
      </c>
      <c r="M349" s="36">
        <v>3</v>
      </c>
      <c r="N349" s="36">
        <v>3</v>
      </c>
      <c r="O349" s="36">
        <v>4</v>
      </c>
      <c r="P349" s="37" t="s">
        <v>265</v>
      </c>
      <c r="Q349" s="37"/>
      <c r="R349" s="37" t="s">
        <v>1205</v>
      </c>
    </row>
    <row r="350" spans="1:18" ht="27.7" hidden="1" thickBot="1" x14ac:dyDescent="0.55000000000000004">
      <c r="A350" s="36">
        <v>348</v>
      </c>
      <c r="B350" s="37" t="s">
        <v>1206</v>
      </c>
      <c r="C350" s="37" t="s">
        <v>1168</v>
      </c>
      <c r="D350" s="37" t="s">
        <v>1162</v>
      </c>
      <c r="E350" s="37" t="s">
        <v>1163</v>
      </c>
      <c r="F350" s="37" t="s">
        <v>871</v>
      </c>
      <c r="G350" s="37" t="s">
        <v>871</v>
      </c>
      <c r="H350" s="37" t="s">
        <v>1164</v>
      </c>
      <c r="I350" s="37" t="s">
        <v>105</v>
      </c>
      <c r="J350" s="37" t="s">
        <v>105</v>
      </c>
      <c r="K350" s="37" t="s">
        <v>1165</v>
      </c>
      <c r="L350" s="36">
        <v>3</v>
      </c>
      <c r="M350" s="36">
        <v>3</v>
      </c>
      <c r="N350" s="36">
        <v>3</v>
      </c>
      <c r="O350" s="36">
        <v>4</v>
      </c>
      <c r="P350" s="37" t="s">
        <v>265</v>
      </c>
      <c r="Q350" s="37"/>
      <c r="R350" s="37" t="s">
        <v>1207</v>
      </c>
    </row>
    <row r="351" spans="1:18" ht="27.7" hidden="1" thickBot="1" x14ac:dyDescent="0.55000000000000004">
      <c r="A351" s="36">
        <v>349</v>
      </c>
      <c r="B351" s="37" t="s">
        <v>1208</v>
      </c>
      <c r="C351" s="37" t="s">
        <v>1208</v>
      </c>
      <c r="D351" s="37" t="s">
        <v>904</v>
      </c>
      <c r="E351" s="37" t="s">
        <v>877</v>
      </c>
      <c r="F351" s="37" t="s">
        <v>871</v>
      </c>
      <c r="G351" s="37" t="s">
        <v>872</v>
      </c>
      <c r="H351" s="37" t="s">
        <v>872</v>
      </c>
      <c r="I351" s="37" t="s">
        <v>105</v>
      </c>
      <c r="J351" s="37" t="s">
        <v>105</v>
      </c>
      <c r="K351" s="37" t="s">
        <v>105</v>
      </c>
      <c r="L351" s="36">
        <v>3</v>
      </c>
      <c r="M351" s="36">
        <v>3</v>
      </c>
      <c r="N351" s="36">
        <v>3</v>
      </c>
      <c r="O351" s="36">
        <v>4</v>
      </c>
      <c r="P351" s="37" t="s">
        <v>292</v>
      </c>
      <c r="Q351" s="37"/>
      <c r="R351" s="37" t="s">
        <v>1209</v>
      </c>
    </row>
    <row r="352" spans="1:18" ht="27.7" hidden="1" thickBot="1" x14ac:dyDescent="0.55000000000000004">
      <c r="A352" s="36">
        <v>350</v>
      </c>
      <c r="B352" s="37" t="s">
        <v>1149</v>
      </c>
      <c r="C352" s="37" t="s">
        <v>1149</v>
      </c>
      <c r="D352" s="37" t="s">
        <v>904</v>
      </c>
      <c r="E352" s="37" t="s">
        <v>877</v>
      </c>
      <c r="F352" s="37" t="s">
        <v>872</v>
      </c>
      <c r="G352" s="37" t="s">
        <v>872</v>
      </c>
      <c r="H352" s="37" t="s">
        <v>872</v>
      </c>
      <c r="I352" s="37" t="s">
        <v>105</v>
      </c>
      <c r="J352" s="37" t="s">
        <v>105</v>
      </c>
      <c r="K352" s="37" t="s">
        <v>105</v>
      </c>
      <c r="L352" s="36">
        <v>3</v>
      </c>
      <c r="M352" s="36">
        <v>3</v>
      </c>
      <c r="N352" s="36">
        <v>3</v>
      </c>
      <c r="O352" s="36">
        <v>4</v>
      </c>
      <c r="P352" s="37" t="s">
        <v>265</v>
      </c>
      <c r="Q352" s="37" t="s">
        <v>1210</v>
      </c>
      <c r="R352" s="37" t="s">
        <v>1211</v>
      </c>
    </row>
    <row r="353" spans="1:18" ht="27.7" hidden="1" thickBot="1" x14ac:dyDescent="0.55000000000000004">
      <c r="A353" s="36">
        <v>351</v>
      </c>
      <c r="B353" s="37" t="s">
        <v>1212</v>
      </c>
      <c r="C353" s="37" t="s">
        <v>1213</v>
      </c>
      <c r="D353" s="37" t="s">
        <v>904</v>
      </c>
      <c r="E353" s="37" t="s">
        <v>877</v>
      </c>
      <c r="F353" s="37" t="s">
        <v>872</v>
      </c>
      <c r="G353" s="37" t="s">
        <v>872</v>
      </c>
      <c r="H353" s="37" t="s">
        <v>872</v>
      </c>
      <c r="I353" s="37" t="s">
        <v>105</v>
      </c>
      <c r="J353" s="37" t="s">
        <v>105</v>
      </c>
      <c r="K353" s="37" t="s">
        <v>105</v>
      </c>
      <c r="L353" s="36">
        <v>3</v>
      </c>
      <c r="M353" s="36">
        <v>3</v>
      </c>
      <c r="N353" s="36">
        <v>3</v>
      </c>
      <c r="O353" s="36">
        <v>5</v>
      </c>
      <c r="P353" s="37" t="s">
        <v>265</v>
      </c>
      <c r="Q353" s="37"/>
      <c r="R353" s="37" t="s">
        <v>1214</v>
      </c>
    </row>
    <row r="354" spans="1:18" ht="27.7" hidden="1" thickBot="1" x14ac:dyDescent="0.55000000000000004">
      <c r="A354" s="36">
        <v>352</v>
      </c>
      <c r="B354" s="37" t="s">
        <v>1215</v>
      </c>
      <c r="C354" s="37" t="s">
        <v>1213</v>
      </c>
      <c r="D354" s="37" t="s">
        <v>904</v>
      </c>
      <c r="E354" s="37" t="s">
        <v>877</v>
      </c>
      <c r="F354" s="37" t="s">
        <v>872</v>
      </c>
      <c r="G354" s="37" t="s">
        <v>872</v>
      </c>
      <c r="H354" s="37" t="s">
        <v>872</v>
      </c>
      <c r="I354" s="37" t="s">
        <v>105</v>
      </c>
      <c r="J354" s="37" t="s">
        <v>105</v>
      </c>
      <c r="K354" s="37" t="s">
        <v>105</v>
      </c>
      <c r="L354" s="36">
        <v>3</v>
      </c>
      <c r="M354" s="36">
        <v>3</v>
      </c>
      <c r="N354" s="36">
        <v>3</v>
      </c>
      <c r="O354" s="36">
        <v>5</v>
      </c>
      <c r="P354" s="37" t="s">
        <v>292</v>
      </c>
      <c r="Q354" s="37"/>
      <c r="R354" s="37" t="s">
        <v>1216</v>
      </c>
    </row>
    <row r="355" spans="1:18" ht="27.7" hidden="1" thickBot="1" x14ac:dyDescent="0.55000000000000004">
      <c r="A355" s="36">
        <v>353</v>
      </c>
      <c r="B355" s="37" t="s">
        <v>1213</v>
      </c>
      <c r="C355" s="37" t="s">
        <v>1213</v>
      </c>
      <c r="D355" s="37" t="s">
        <v>904</v>
      </c>
      <c r="E355" s="37" t="s">
        <v>877</v>
      </c>
      <c r="F355" s="37" t="s">
        <v>872</v>
      </c>
      <c r="G355" s="37" t="s">
        <v>872</v>
      </c>
      <c r="H355" s="37" t="s">
        <v>872</v>
      </c>
      <c r="I355" s="37" t="s">
        <v>105</v>
      </c>
      <c r="J355" s="37" t="s">
        <v>105</v>
      </c>
      <c r="K355" s="37" t="s">
        <v>105</v>
      </c>
      <c r="L355" s="36">
        <v>3</v>
      </c>
      <c r="M355" s="36">
        <v>3</v>
      </c>
      <c r="N355" s="36">
        <v>3</v>
      </c>
      <c r="O355" s="36">
        <v>5</v>
      </c>
      <c r="P355" s="37" t="s">
        <v>265</v>
      </c>
      <c r="Q355" s="37"/>
      <c r="R355" s="37" t="s">
        <v>1217</v>
      </c>
    </row>
    <row r="356" spans="1:18" ht="27.7" hidden="1" thickBot="1" x14ac:dyDescent="0.55000000000000004">
      <c r="A356" s="36">
        <v>354</v>
      </c>
      <c r="B356" s="37" t="s">
        <v>1218</v>
      </c>
      <c r="C356" s="37" t="s">
        <v>1121</v>
      </c>
      <c r="D356" s="37" t="s">
        <v>876</v>
      </c>
      <c r="E356" s="37" t="s">
        <v>877</v>
      </c>
      <c r="F356" s="37" t="s">
        <v>872</v>
      </c>
      <c r="G356" s="37" t="s">
        <v>872</v>
      </c>
      <c r="H356" s="37" t="s">
        <v>872</v>
      </c>
      <c r="I356" s="37" t="s">
        <v>105</v>
      </c>
      <c r="J356" s="37" t="s">
        <v>105</v>
      </c>
      <c r="K356" s="37" t="s">
        <v>105</v>
      </c>
      <c r="L356" s="36">
        <v>3</v>
      </c>
      <c r="M356" s="36">
        <v>3</v>
      </c>
      <c r="N356" s="36">
        <v>3</v>
      </c>
      <c r="O356" s="36">
        <v>4</v>
      </c>
      <c r="P356" s="37" t="s">
        <v>292</v>
      </c>
      <c r="Q356" s="37"/>
      <c r="R356" s="37" t="s">
        <v>1219</v>
      </c>
    </row>
    <row r="357" spans="1:18" ht="14.7" hidden="1" thickBot="1" x14ac:dyDescent="0.55000000000000004">
      <c r="A357" s="36">
        <v>355</v>
      </c>
      <c r="B357" s="37" t="s">
        <v>1220</v>
      </c>
      <c r="C357" s="37" t="s">
        <v>1121</v>
      </c>
      <c r="D357" s="37" t="s">
        <v>876</v>
      </c>
      <c r="E357" s="37" t="s">
        <v>877</v>
      </c>
      <c r="F357" s="37" t="s">
        <v>872</v>
      </c>
      <c r="G357" s="37" t="s">
        <v>872</v>
      </c>
      <c r="H357" s="37" t="s">
        <v>872</v>
      </c>
      <c r="I357" s="37" t="s">
        <v>105</v>
      </c>
      <c r="J357" s="37" t="s">
        <v>105</v>
      </c>
      <c r="K357" s="37" t="s">
        <v>105</v>
      </c>
      <c r="L357" s="36">
        <v>4</v>
      </c>
      <c r="M357" s="36">
        <v>4</v>
      </c>
      <c r="N357" s="36">
        <v>4</v>
      </c>
      <c r="O357" s="36">
        <v>4</v>
      </c>
      <c r="P357" s="37" t="s">
        <v>265</v>
      </c>
      <c r="Q357" s="37"/>
      <c r="R357" s="37" t="s">
        <v>1221</v>
      </c>
    </row>
    <row r="358" spans="1:18" ht="27.7" hidden="1" thickBot="1" x14ac:dyDescent="0.55000000000000004">
      <c r="A358" s="36">
        <v>356</v>
      </c>
      <c r="B358" s="37" t="s">
        <v>1222</v>
      </c>
      <c r="C358" s="37" t="s">
        <v>1223</v>
      </c>
      <c r="D358" s="37" t="s">
        <v>1223</v>
      </c>
      <c r="E358" s="37" t="s">
        <v>877</v>
      </c>
      <c r="F358" s="37" t="s">
        <v>872</v>
      </c>
      <c r="G358" s="37" t="s">
        <v>872</v>
      </c>
      <c r="H358" s="37" t="s">
        <v>872</v>
      </c>
      <c r="I358" s="37" t="s">
        <v>105</v>
      </c>
      <c r="J358" s="37" t="s">
        <v>105</v>
      </c>
      <c r="K358" s="37" t="s">
        <v>105</v>
      </c>
      <c r="L358" s="36">
        <v>5</v>
      </c>
      <c r="M358" s="36">
        <v>5</v>
      </c>
      <c r="N358" s="36">
        <v>5</v>
      </c>
      <c r="O358" s="36">
        <v>7</v>
      </c>
      <c r="P358" s="37" t="s">
        <v>265</v>
      </c>
      <c r="Q358" s="37"/>
      <c r="R358" s="37" t="s">
        <v>1224</v>
      </c>
    </row>
    <row r="359" spans="1:18" ht="41.35" hidden="1" thickBot="1" x14ac:dyDescent="0.55000000000000004">
      <c r="A359" s="36">
        <v>357</v>
      </c>
      <c r="B359" s="37" t="s">
        <v>1225</v>
      </c>
      <c r="C359" s="37" t="s">
        <v>1226</v>
      </c>
      <c r="D359" s="37" t="s">
        <v>1227</v>
      </c>
      <c r="E359" s="37" t="s">
        <v>502</v>
      </c>
      <c r="F359" s="37" t="s">
        <v>871</v>
      </c>
      <c r="G359" s="37" t="s">
        <v>872</v>
      </c>
      <c r="H359" s="37" t="s">
        <v>872</v>
      </c>
      <c r="I359" s="37" t="s">
        <v>105</v>
      </c>
      <c r="J359" s="37" t="s">
        <v>105</v>
      </c>
      <c r="K359" s="37" t="s">
        <v>105</v>
      </c>
      <c r="L359" s="36">
        <v>3</v>
      </c>
      <c r="M359" s="36">
        <v>3</v>
      </c>
      <c r="N359" s="36">
        <v>3</v>
      </c>
      <c r="O359" s="36">
        <v>4</v>
      </c>
      <c r="P359" s="37" t="s">
        <v>265</v>
      </c>
      <c r="Q359" s="37"/>
      <c r="R359" s="37" t="s">
        <v>1228</v>
      </c>
    </row>
    <row r="360" spans="1:18" ht="41.35" hidden="1" thickBot="1" x14ac:dyDescent="0.55000000000000004">
      <c r="A360" s="36">
        <v>358</v>
      </c>
      <c r="B360" s="37" t="s">
        <v>1229</v>
      </c>
      <c r="C360" s="37" t="s">
        <v>1226</v>
      </c>
      <c r="D360" s="37" t="s">
        <v>1227</v>
      </c>
      <c r="E360" s="37" t="s">
        <v>502</v>
      </c>
      <c r="F360" s="37" t="s">
        <v>871</v>
      </c>
      <c r="G360" s="37" t="s">
        <v>871</v>
      </c>
      <c r="H360" s="37" t="s">
        <v>872</v>
      </c>
      <c r="I360" s="37" t="s">
        <v>105</v>
      </c>
      <c r="J360" s="37" t="s">
        <v>105</v>
      </c>
      <c r="K360" s="37" t="s">
        <v>105</v>
      </c>
      <c r="L360" s="36">
        <v>3</v>
      </c>
      <c r="M360" s="36">
        <v>3</v>
      </c>
      <c r="N360" s="36">
        <v>3</v>
      </c>
      <c r="O360" s="36">
        <v>4</v>
      </c>
      <c r="P360" s="37" t="s">
        <v>265</v>
      </c>
      <c r="Q360" s="37" t="s">
        <v>1230</v>
      </c>
      <c r="R360" s="37" t="s">
        <v>1231</v>
      </c>
    </row>
    <row r="361" spans="1:18" ht="41.35" hidden="1" thickBot="1" x14ac:dyDescent="0.55000000000000004">
      <c r="A361" s="36">
        <v>359</v>
      </c>
      <c r="B361" s="37" t="s">
        <v>1232</v>
      </c>
      <c r="C361" s="37" t="s">
        <v>1115</v>
      </c>
      <c r="D361" s="37" t="s">
        <v>1110</v>
      </c>
      <c r="E361" s="37" t="s">
        <v>502</v>
      </c>
      <c r="F361" s="37" t="s">
        <v>515</v>
      </c>
      <c r="G361" s="37" t="s">
        <v>515</v>
      </c>
      <c r="H361" s="37" t="s">
        <v>515</v>
      </c>
      <c r="I361" s="37" t="s">
        <v>105</v>
      </c>
      <c r="J361" s="37" t="s">
        <v>105</v>
      </c>
      <c r="K361" s="37" t="s">
        <v>105</v>
      </c>
      <c r="L361" s="36">
        <v>3</v>
      </c>
      <c r="M361" s="36">
        <v>3</v>
      </c>
      <c r="N361" s="36">
        <v>3</v>
      </c>
      <c r="O361" s="36">
        <v>4</v>
      </c>
      <c r="P361" s="37" t="s">
        <v>292</v>
      </c>
      <c r="Q361" s="37"/>
      <c r="R361" s="37" t="s">
        <v>1233</v>
      </c>
    </row>
    <row r="362" spans="1:18" ht="41.35" hidden="1" thickBot="1" x14ac:dyDescent="0.55000000000000004">
      <c r="A362" s="36">
        <v>360</v>
      </c>
      <c r="B362" s="37" t="s">
        <v>1234</v>
      </c>
      <c r="C362" s="37" t="s">
        <v>1110</v>
      </c>
      <c r="D362" s="37" t="s">
        <v>1110</v>
      </c>
      <c r="E362" s="37" t="s">
        <v>502</v>
      </c>
      <c r="F362" s="37" t="s">
        <v>515</v>
      </c>
      <c r="G362" s="37" t="s">
        <v>515</v>
      </c>
      <c r="H362" s="37" t="s">
        <v>515</v>
      </c>
      <c r="I362" s="37" t="s">
        <v>105</v>
      </c>
      <c r="J362" s="37" t="s">
        <v>105</v>
      </c>
      <c r="K362" s="37" t="s">
        <v>105</v>
      </c>
      <c r="L362" s="36">
        <v>3</v>
      </c>
      <c r="M362" s="36">
        <v>3</v>
      </c>
      <c r="N362" s="36">
        <v>3</v>
      </c>
      <c r="O362" s="36">
        <v>4</v>
      </c>
      <c r="P362" s="37" t="s">
        <v>292</v>
      </c>
      <c r="Q362" s="37"/>
      <c r="R362" s="37" t="s">
        <v>1235</v>
      </c>
    </row>
    <row r="363" spans="1:18" ht="41.35" hidden="1" thickBot="1" x14ac:dyDescent="0.55000000000000004">
      <c r="A363" s="36">
        <v>361</v>
      </c>
      <c r="B363" s="37" t="s">
        <v>1236</v>
      </c>
      <c r="C363" s="37" t="s">
        <v>1110</v>
      </c>
      <c r="D363" s="37" t="s">
        <v>1110</v>
      </c>
      <c r="E363" s="37" t="s">
        <v>502</v>
      </c>
      <c r="F363" s="37" t="s">
        <v>515</v>
      </c>
      <c r="G363" s="37" t="s">
        <v>515</v>
      </c>
      <c r="H363" s="37" t="s">
        <v>515</v>
      </c>
      <c r="I363" s="37" t="s">
        <v>105</v>
      </c>
      <c r="J363" s="37" t="s">
        <v>105</v>
      </c>
      <c r="K363" s="37" t="s">
        <v>105</v>
      </c>
      <c r="L363" s="36">
        <v>3</v>
      </c>
      <c r="M363" s="36">
        <v>3</v>
      </c>
      <c r="N363" s="36">
        <v>3</v>
      </c>
      <c r="O363" s="36">
        <v>3</v>
      </c>
      <c r="P363" s="37" t="s">
        <v>292</v>
      </c>
      <c r="Q363" s="37"/>
      <c r="R363" s="37" t="s">
        <v>1237</v>
      </c>
    </row>
    <row r="364" spans="1:18" ht="41.35" hidden="1" thickBot="1" x14ac:dyDescent="0.55000000000000004">
      <c r="A364" s="36">
        <v>362</v>
      </c>
      <c r="B364" s="37" t="s">
        <v>1238</v>
      </c>
      <c r="C364" s="37" t="s">
        <v>1239</v>
      </c>
      <c r="D364" s="37" t="s">
        <v>1239</v>
      </c>
      <c r="E364" s="37" t="s">
        <v>502</v>
      </c>
      <c r="F364" s="37" t="s">
        <v>1240</v>
      </c>
      <c r="G364" s="37" t="s">
        <v>1240</v>
      </c>
      <c r="H364" s="37" t="s">
        <v>1240</v>
      </c>
      <c r="I364" s="37" t="s">
        <v>944</v>
      </c>
      <c r="J364" s="37" t="s">
        <v>944</v>
      </c>
      <c r="K364" s="37" t="s">
        <v>105</v>
      </c>
      <c r="L364" s="36">
        <v>1</v>
      </c>
      <c r="M364" s="36">
        <v>1</v>
      </c>
      <c r="N364" s="36">
        <v>3</v>
      </c>
      <c r="O364" s="36">
        <v>5</v>
      </c>
      <c r="P364" s="37" t="s">
        <v>292</v>
      </c>
      <c r="Q364" s="37"/>
      <c r="R364" s="37" t="s">
        <v>1241</v>
      </c>
    </row>
    <row r="365" spans="1:18" ht="41.35" hidden="1" thickBot="1" x14ac:dyDescent="0.55000000000000004">
      <c r="A365" s="36">
        <v>363</v>
      </c>
      <c r="B365" s="37" t="s">
        <v>1242</v>
      </c>
      <c r="C365" s="37" t="s">
        <v>1239</v>
      </c>
      <c r="D365" s="37" t="s">
        <v>1239</v>
      </c>
      <c r="E365" s="37" t="s">
        <v>502</v>
      </c>
      <c r="F365" s="37" t="s">
        <v>1240</v>
      </c>
      <c r="G365" s="37" t="s">
        <v>1240</v>
      </c>
      <c r="H365" s="37" t="s">
        <v>1240</v>
      </c>
      <c r="I365" s="37" t="s">
        <v>944</v>
      </c>
      <c r="J365" s="37" t="s">
        <v>944</v>
      </c>
      <c r="K365" s="37" t="s">
        <v>105</v>
      </c>
      <c r="L365" s="36">
        <v>1</v>
      </c>
      <c r="M365" s="36">
        <v>1</v>
      </c>
      <c r="N365" s="36">
        <v>3</v>
      </c>
      <c r="O365" s="36">
        <v>6</v>
      </c>
      <c r="P365" s="37" t="s">
        <v>292</v>
      </c>
      <c r="Q365" s="37" t="s">
        <v>1243</v>
      </c>
      <c r="R365" s="37" t="s">
        <v>1244</v>
      </c>
    </row>
    <row r="366" spans="1:18" ht="41.35" hidden="1" thickBot="1" x14ac:dyDescent="0.55000000000000004">
      <c r="A366" s="36">
        <v>364</v>
      </c>
      <c r="B366" s="37" t="s">
        <v>1098</v>
      </c>
      <c r="C366" s="37" t="s">
        <v>1098</v>
      </c>
      <c r="D366" s="37" t="s">
        <v>519</v>
      </c>
      <c r="E366" s="37" t="s">
        <v>502</v>
      </c>
      <c r="F366" s="37" t="s">
        <v>943</v>
      </c>
      <c r="G366" s="37" t="s">
        <v>943</v>
      </c>
      <c r="H366" s="37" t="s">
        <v>943</v>
      </c>
      <c r="I366" s="37" t="s">
        <v>944</v>
      </c>
      <c r="J366" s="37" t="s">
        <v>944</v>
      </c>
      <c r="K366" s="37" t="s">
        <v>944</v>
      </c>
      <c r="L366" s="36">
        <v>1</v>
      </c>
      <c r="M366" s="36">
        <v>3</v>
      </c>
      <c r="N366" s="36">
        <v>3</v>
      </c>
      <c r="O366" s="36">
        <v>3</v>
      </c>
      <c r="P366" s="37" t="s">
        <v>292</v>
      </c>
      <c r="Q366" s="37" t="s">
        <v>1245</v>
      </c>
      <c r="R366" s="37" t="s">
        <v>1246</v>
      </c>
    </row>
    <row r="367" spans="1:18" ht="41.35" hidden="1" thickBot="1" x14ac:dyDescent="0.55000000000000004">
      <c r="A367" s="36">
        <v>365</v>
      </c>
      <c r="B367" s="37" t="s">
        <v>1247</v>
      </c>
      <c r="C367" s="37" t="s">
        <v>1247</v>
      </c>
      <c r="D367" s="37" t="s">
        <v>519</v>
      </c>
      <c r="E367" s="37" t="s">
        <v>502</v>
      </c>
      <c r="F367" s="37" t="s">
        <v>943</v>
      </c>
      <c r="G367" s="37" t="s">
        <v>943</v>
      </c>
      <c r="H367" s="37" t="s">
        <v>943</v>
      </c>
      <c r="I367" s="37" t="s">
        <v>944</v>
      </c>
      <c r="J367" s="37" t="s">
        <v>944</v>
      </c>
      <c r="K367" s="37" t="s">
        <v>944</v>
      </c>
      <c r="L367" s="36">
        <v>2</v>
      </c>
      <c r="M367" s="36">
        <v>3</v>
      </c>
      <c r="N367" s="36">
        <v>3</v>
      </c>
      <c r="O367" s="36">
        <v>5</v>
      </c>
      <c r="P367" s="37" t="s">
        <v>292</v>
      </c>
      <c r="Q367" s="37" t="s">
        <v>1248</v>
      </c>
      <c r="R367" s="37" t="s">
        <v>1249</v>
      </c>
    </row>
    <row r="368" spans="1:18" ht="27.7" hidden="1" thickBot="1" x14ac:dyDescent="0.55000000000000004">
      <c r="A368" s="36">
        <v>366</v>
      </c>
      <c r="B368" s="37" t="s">
        <v>1250</v>
      </c>
      <c r="C368" s="37" t="s">
        <v>1078</v>
      </c>
      <c r="D368" s="37" t="s">
        <v>1078</v>
      </c>
      <c r="E368" s="37" t="s">
        <v>1079</v>
      </c>
      <c r="F368" s="37" t="s">
        <v>943</v>
      </c>
      <c r="G368" s="37" t="s">
        <v>943</v>
      </c>
      <c r="H368" s="37" t="s">
        <v>943</v>
      </c>
      <c r="I368" s="37" t="s">
        <v>944</v>
      </c>
      <c r="J368" s="37" t="s">
        <v>944</v>
      </c>
      <c r="K368" s="37" t="s">
        <v>944</v>
      </c>
      <c r="L368" s="36">
        <v>1</v>
      </c>
      <c r="M368" s="36">
        <v>3</v>
      </c>
      <c r="N368" s="36">
        <v>3</v>
      </c>
      <c r="O368" s="36">
        <v>4</v>
      </c>
      <c r="P368" s="37" t="s">
        <v>265</v>
      </c>
      <c r="Q368" s="37" t="s">
        <v>1251</v>
      </c>
      <c r="R368" s="37" t="s">
        <v>1252</v>
      </c>
    </row>
    <row r="369" spans="1:18" ht="27.7" hidden="1" thickBot="1" x14ac:dyDescent="0.55000000000000004">
      <c r="A369" s="36">
        <v>367</v>
      </c>
      <c r="B369" s="37" t="s">
        <v>1253</v>
      </c>
      <c r="C369" s="37" t="s">
        <v>1254</v>
      </c>
      <c r="D369" s="37" t="s">
        <v>1078</v>
      </c>
      <c r="E369" s="37" t="s">
        <v>1079</v>
      </c>
      <c r="F369" s="37" t="s">
        <v>943</v>
      </c>
      <c r="G369" s="37" t="s">
        <v>943</v>
      </c>
      <c r="H369" s="37" t="s">
        <v>943</v>
      </c>
      <c r="I369" s="37" t="s">
        <v>944</v>
      </c>
      <c r="J369" s="37" t="s">
        <v>944</v>
      </c>
      <c r="K369" s="37" t="s">
        <v>944</v>
      </c>
      <c r="L369" s="36">
        <v>1</v>
      </c>
      <c r="M369" s="36">
        <v>3</v>
      </c>
      <c r="N369" s="36">
        <v>3</v>
      </c>
      <c r="O369" s="36">
        <v>4</v>
      </c>
      <c r="P369" s="37" t="s">
        <v>265</v>
      </c>
      <c r="Q369" s="37" t="s">
        <v>1255</v>
      </c>
      <c r="R369" s="37" t="s">
        <v>1256</v>
      </c>
    </row>
    <row r="370" spans="1:18" ht="27.7" hidden="1" thickBot="1" x14ac:dyDescent="0.55000000000000004">
      <c r="A370" s="36">
        <v>368</v>
      </c>
      <c r="B370" s="37" t="s">
        <v>1257</v>
      </c>
      <c r="C370" s="37" t="s">
        <v>1254</v>
      </c>
      <c r="D370" s="37" t="s">
        <v>1078</v>
      </c>
      <c r="E370" s="37" t="s">
        <v>1079</v>
      </c>
      <c r="F370" s="37" t="s">
        <v>943</v>
      </c>
      <c r="G370" s="37" t="s">
        <v>943</v>
      </c>
      <c r="H370" s="37" t="s">
        <v>943</v>
      </c>
      <c r="I370" s="37" t="s">
        <v>944</v>
      </c>
      <c r="J370" s="37" t="s">
        <v>944</v>
      </c>
      <c r="K370" s="37" t="s">
        <v>944</v>
      </c>
      <c r="L370" s="36">
        <v>2</v>
      </c>
      <c r="M370" s="36">
        <v>3</v>
      </c>
      <c r="N370" s="36">
        <v>3</v>
      </c>
      <c r="O370" s="36">
        <v>5</v>
      </c>
      <c r="P370" s="37" t="s">
        <v>265</v>
      </c>
      <c r="Q370" s="37" t="s">
        <v>1258</v>
      </c>
      <c r="R370" s="37" t="s">
        <v>1259</v>
      </c>
    </row>
    <row r="371" spans="1:18" ht="27.7" hidden="1" thickBot="1" x14ac:dyDescent="0.55000000000000004">
      <c r="A371" s="36">
        <v>369</v>
      </c>
      <c r="B371" s="37" t="s">
        <v>1260</v>
      </c>
      <c r="C371" s="37" t="s">
        <v>1261</v>
      </c>
      <c r="D371" s="37" t="s">
        <v>1262</v>
      </c>
      <c r="E371" s="37" t="s">
        <v>1079</v>
      </c>
      <c r="F371" s="37" t="s">
        <v>1263</v>
      </c>
      <c r="G371" s="37" t="s">
        <v>1263</v>
      </c>
      <c r="H371" s="37" t="s">
        <v>1263</v>
      </c>
      <c r="I371" s="37" t="s">
        <v>1264</v>
      </c>
      <c r="J371" s="37" t="s">
        <v>1264</v>
      </c>
      <c r="K371" s="37" t="s">
        <v>1264</v>
      </c>
      <c r="L371" s="36">
        <v>2</v>
      </c>
      <c r="M371" s="36">
        <v>2</v>
      </c>
      <c r="N371" s="36">
        <v>2</v>
      </c>
      <c r="O371" s="36">
        <v>4</v>
      </c>
      <c r="P371" s="37" t="s">
        <v>292</v>
      </c>
      <c r="Q371" s="37" t="s">
        <v>1265</v>
      </c>
      <c r="R371" s="37" t="s">
        <v>1266</v>
      </c>
    </row>
    <row r="372" spans="1:18" ht="27.7" hidden="1" thickBot="1" x14ac:dyDescent="0.55000000000000004">
      <c r="A372" s="36">
        <v>370</v>
      </c>
      <c r="B372" s="37" t="s">
        <v>1267</v>
      </c>
      <c r="C372" s="37" t="s">
        <v>1261</v>
      </c>
      <c r="D372" s="37" t="s">
        <v>1262</v>
      </c>
      <c r="E372" s="37" t="s">
        <v>1079</v>
      </c>
      <c r="F372" s="37" t="s">
        <v>1263</v>
      </c>
      <c r="G372" s="37" t="s">
        <v>1263</v>
      </c>
      <c r="H372" s="37" t="s">
        <v>1263</v>
      </c>
      <c r="I372" s="37" t="s">
        <v>1264</v>
      </c>
      <c r="J372" s="37" t="s">
        <v>1264</v>
      </c>
      <c r="K372" s="37" t="s">
        <v>1264</v>
      </c>
      <c r="L372" s="36">
        <v>1</v>
      </c>
      <c r="M372" s="36">
        <v>1</v>
      </c>
      <c r="N372" s="36">
        <v>1</v>
      </c>
      <c r="O372" s="36">
        <v>4</v>
      </c>
      <c r="P372" s="37" t="s">
        <v>265</v>
      </c>
      <c r="Q372" s="37"/>
      <c r="R372" s="37" t="s">
        <v>1268</v>
      </c>
    </row>
    <row r="373" spans="1:18" ht="27.7" hidden="1" thickBot="1" x14ac:dyDescent="0.55000000000000004">
      <c r="A373" s="36">
        <v>371</v>
      </c>
      <c r="B373" s="37" t="s">
        <v>1269</v>
      </c>
      <c r="C373" s="37" t="s">
        <v>1261</v>
      </c>
      <c r="D373" s="37" t="s">
        <v>1262</v>
      </c>
      <c r="E373" s="37" t="s">
        <v>1079</v>
      </c>
      <c r="F373" s="37" t="s">
        <v>1263</v>
      </c>
      <c r="G373" s="37" t="s">
        <v>1263</v>
      </c>
      <c r="H373" s="37" t="s">
        <v>1263</v>
      </c>
      <c r="I373" s="37" t="s">
        <v>1264</v>
      </c>
      <c r="J373" s="37" t="s">
        <v>1264</v>
      </c>
      <c r="K373" s="37" t="s">
        <v>1264</v>
      </c>
      <c r="L373" s="36">
        <v>1</v>
      </c>
      <c r="M373" s="36">
        <v>1</v>
      </c>
      <c r="N373" s="36">
        <v>1</v>
      </c>
      <c r="O373" s="36">
        <v>4</v>
      </c>
      <c r="P373" s="37" t="s">
        <v>265</v>
      </c>
      <c r="Q373" s="37" t="s">
        <v>1270</v>
      </c>
      <c r="R373" s="37" t="s">
        <v>1271</v>
      </c>
    </row>
    <row r="374" spans="1:18" ht="27.7" hidden="1" thickBot="1" x14ac:dyDescent="0.55000000000000004">
      <c r="A374" s="36">
        <v>372</v>
      </c>
      <c r="B374" s="37" t="s">
        <v>1272</v>
      </c>
      <c r="C374" s="37" t="s">
        <v>1273</v>
      </c>
      <c r="D374" s="37" t="s">
        <v>1262</v>
      </c>
      <c r="E374" s="37" t="s">
        <v>1079</v>
      </c>
      <c r="F374" s="37" t="s">
        <v>1274</v>
      </c>
      <c r="G374" s="37" t="s">
        <v>1274</v>
      </c>
      <c r="H374" s="37" t="s">
        <v>1274</v>
      </c>
      <c r="I374" s="37" t="s">
        <v>1264</v>
      </c>
      <c r="J374" s="37" t="s">
        <v>1264</v>
      </c>
      <c r="K374" s="37" t="s">
        <v>1264</v>
      </c>
      <c r="L374" s="36">
        <v>1</v>
      </c>
      <c r="M374" s="36">
        <v>1</v>
      </c>
      <c r="N374" s="36">
        <v>1</v>
      </c>
      <c r="O374" s="36">
        <v>4</v>
      </c>
      <c r="P374" s="37" t="s">
        <v>265</v>
      </c>
      <c r="Q374" s="37"/>
      <c r="R374" s="37" t="s">
        <v>1275</v>
      </c>
    </row>
    <row r="375" spans="1:18" ht="27.7" hidden="1" thickBot="1" x14ac:dyDescent="0.55000000000000004">
      <c r="A375" s="36">
        <v>373</v>
      </c>
      <c r="B375" s="37" t="s">
        <v>1276</v>
      </c>
      <c r="C375" s="37" t="s">
        <v>1277</v>
      </c>
      <c r="D375" s="37" t="s">
        <v>1262</v>
      </c>
      <c r="E375" s="37" t="s">
        <v>1079</v>
      </c>
      <c r="F375" s="37" t="s">
        <v>1278</v>
      </c>
      <c r="G375" s="37" t="s">
        <v>1278</v>
      </c>
      <c r="H375" s="37" t="s">
        <v>1278</v>
      </c>
      <c r="I375" s="37" t="s">
        <v>1264</v>
      </c>
      <c r="J375" s="37" t="s">
        <v>1264</v>
      </c>
      <c r="K375" s="37" t="s">
        <v>1264</v>
      </c>
      <c r="L375" s="36">
        <v>1</v>
      </c>
      <c r="M375" s="36">
        <v>1</v>
      </c>
      <c r="N375" s="36">
        <v>1</v>
      </c>
      <c r="O375" s="36">
        <v>5</v>
      </c>
      <c r="P375" s="37" t="s">
        <v>265</v>
      </c>
      <c r="Q375" s="37" t="s">
        <v>1279</v>
      </c>
      <c r="R375" s="37" t="s">
        <v>1280</v>
      </c>
    </row>
    <row r="376" spans="1:18" ht="27.7" hidden="1" thickBot="1" x14ac:dyDescent="0.55000000000000004">
      <c r="A376" s="36">
        <v>374</v>
      </c>
      <c r="B376" s="37" t="s">
        <v>1281</v>
      </c>
      <c r="C376" s="37" t="s">
        <v>1282</v>
      </c>
      <c r="D376" s="37" t="s">
        <v>1262</v>
      </c>
      <c r="E376" s="37" t="s">
        <v>1079</v>
      </c>
      <c r="F376" s="37" t="s">
        <v>1278</v>
      </c>
      <c r="G376" s="37" t="s">
        <v>1278</v>
      </c>
      <c r="H376" s="37" t="s">
        <v>1278</v>
      </c>
      <c r="I376" s="37" t="s">
        <v>1264</v>
      </c>
      <c r="J376" s="37" t="s">
        <v>1264</v>
      </c>
      <c r="K376" s="37" t="s">
        <v>1264</v>
      </c>
      <c r="L376" s="36">
        <v>1</v>
      </c>
      <c r="M376" s="36">
        <v>1</v>
      </c>
      <c r="N376" s="36">
        <v>1</v>
      </c>
      <c r="O376" s="36">
        <v>5</v>
      </c>
      <c r="P376" s="37" t="s">
        <v>265</v>
      </c>
      <c r="Q376" s="37" t="s">
        <v>1283</v>
      </c>
      <c r="R376" s="37" t="s">
        <v>1284</v>
      </c>
    </row>
    <row r="377" spans="1:18" ht="27.7" hidden="1" thickBot="1" x14ac:dyDescent="0.55000000000000004">
      <c r="A377" s="36">
        <v>375</v>
      </c>
      <c r="B377" s="37" t="s">
        <v>1285</v>
      </c>
      <c r="C377" s="37" t="s">
        <v>1282</v>
      </c>
      <c r="D377" s="37" t="s">
        <v>1286</v>
      </c>
      <c r="E377" s="37" t="s">
        <v>260</v>
      </c>
      <c r="F377" s="37" t="s">
        <v>1287</v>
      </c>
      <c r="G377" s="37" t="s">
        <v>1287</v>
      </c>
      <c r="H377" s="37" t="s">
        <v>1287</v>
      </c>
      <c r="I377" s="37" t="s">
        <v>1003</v>
      </c>
      <c r="J377" s="37" t="s">
        <v>1003</v>
      </c>
      <c r="K377" s="37" t="s">
        <v>1003</v>
      </c>
      <c r="L377" s="36">
        <v>1</v>
      </c>
      <c r="M377" s="36">
        <v>1</v>
      </c>
      <c r="N377" s="36">
        <v>1</v>
      </c>
      <c r="O377" s="36">
        <v>4</v>
      </c>
      <c r="P377" s="37" t="s">
        <v>265</v>
      </c>
      <c r="Q377" s="37" t="s">
        <v>1288</v>
      </c>
      <c r="R377" s="37" t="s">
        <v>1289</v>
      </c>
    </row>
    <row r="378" spans="1:18" ht="27.7" hidden="1" thickBot="1" x14ac:dyDescent="0.55000000000000004">
      <c r="A378" s="36">
        <v>376</v>
      </c>
      <c r="B378" s="37" t="s">
        <v>1290</v>
      </c>
      <c r="C378" s="37" t="s">
        <v>1282</v>
      </c>
      <c r="D378" s="37" t="s">
        <v>1286</v>
      </c>
      <c r="E378" s="37" t="s">
        <v>260</v>
      </c>
      <c r="F378" s="37" t="s">
        <v>1287</v>
      </c>
      <c r="G378" s="37" t="s">
        <v>1287</v>
      </c>
      <c r="H378" s="37" t="s">
        <v>1287</v>
      </c>
      <c r="I378" s="37" t="s">
        <v>1003</v>
      </c>
      <c r="J378" s="37" t="s">
        <v>1003</v>
      </c>
      <c r="K378" s="37" t="s">
        <v>1003</v>
      </c>
      <c r="L378" s="36">
        <v>2</v>
      </c>
      <c r="M378" s="36">
        <v>2</v>
      </c>
      <c r="N378" s="36">
        <v>2</v>
      </c>
      <c r="O378" s="36">
        <v>3</v>
      </c>
      <c r="P378" s="37" t="s">
        <v>265</v>
      </c>
      <c r="Q378" s="37" t="s">
        <v>1291</v>
      </c>
      <c r="R378" s="37" t="s">
        <v>1292</v>
      </c>
    </row>
    <row r="379" spans="1:18" ht="27.7" hidden="1" thickBot="1" x14ac:dyDescent="0.55000000000000004">
      <c r="A379" s="36">
        <v>377</v>
      </c>
      <c r="B379" s="37" t="s">
        <v>1293</v>
      </c>
      <c r="C379" s="37" t="s">
        <v>1282</v>
      </c>
      <c r="D379" s="37" t="s">
        <v>1286</v>
      </c>
      <c r="E379" s="37" t="s">
        <v>260</v>
      </c>
      <c r="F379" s="37" t="s">
        <v>1287</v>
      </c>
      <c r="G379" s="37" t="s">
        <v>1287</v>
      </c>
      <c r="H379" s="37" t="s">
        <v>1287</v>
      </c>
      <c r="I379" s="37" t="s">
        <v>1003</v>
      </c>
      <c r="J379" s="37" t="s">
        <v>1003</v>
      </c>
      <c r="K379" s="37" t="s">
        <v>1003</v>
      </c>
      <c r="L379" s="36">
        <v>1</v>
      </c>
      <c r="M379" s="36">
        <v>1</v>
      </c>
      <c r="N379" s="36">
        <v>1</v>
      </c>
      <c r="O379" s="36">
        <v>4</v>
      </c>
      <c r="P379" s="37" t="s">
        <v>265</v>
      </c>
      <c r="Q379" s="37" t="s">
        <v>1294</v>
      </c>
      <c r="R379" s="37" t="s">
        <v>1295</v>
      </c>
    </row>
    <row r="380" spans="1:18" ht="27.7" hidden="1" thickBot="1" x14ac:dyDescent="0.55000000000000004">
      <c r="A380" s="36">
        <v>378</v>
      </c>
      <c r="B380" s="37" t="s">
        <v>1296</v>
      </c>
      <c r="C380" s="37" t="s">
        <v>1297</v>
      </c>
      <c r="D380" s="37" t="s">
        <v>1286</v>
      </c>
      <c r="E380" s="37" t="s">
        <v>260</v>
      </c>
      <c r="F380" s="37" t="s">
        <v>1287</v>
      </c>
      <c r="G380" s="37" t="s">
        <v>1287</v>
      </c>
      <c r="H380" s="37" t="s">
        <v>1287</v>
      </c>
      <c r="I380" s="37" t="s">
        <v>1003</v>
      </c>
      <c r="J380" s="37" t="s">
        <v>1003</v>
      </c>
      <c r="K380" s="37" t="s">
        <v>1003</v>
      </c>
      <c r="L380" s="36">
        <v>1</v>
      </c>
      <c r="M380" s="36">
        <v>1</v>
      </c>
      <c r="N380" s="36">
        <v>1</v>
      </c>
      <c r="O380" s="36">
        <v>4</v>
      </c>
      <c r="P380" s="37" t="s">
        <v>265</v>
      </c>
      <c r="Q380" s="37" t="s">
        <v>1298</v>
      </c>
      <c r="R380" s="37" t="s">
        <v>1299</v>
      </c>
    </row>
    <row r="381" spans="1:18" ht="27.7" hidden="1" thickBot="1" x14ac:dyDescent="0.55000000000000004">
      <c r="A381" s="36">
        <v>379</v>
      </c>
      <c r="B381" s="37" t="s">
        <v>1300</v>
      </c>
      <c r="C381" s="37" t="s">
        <v>1282</v>
      </c>
      <c r="D381" s="37" t="s">
        <v>1286</v>
      </c>
      <c r="E381" s="37" t="s">
        <v>260</v>
      </c>
      <c r="F381" s="37" t="s">
        <v>1287</v>
      </c>
      <c r="G381" s="37" t="s">
        <v>1287</v>
      </c>
      <c r="H381" s="37" t="s">
        <v>1287</v>
      </c>
      <c r="I381" s="37" t="s">
        <v>1003</v>
      </c>
      <c r="J381" s="37" t="s">
        <v>1003</v>
      </c>
      <c r="K381" s="37" t="s">
        <v>1003</v>
      </c>
      <c r="L381" s="36">
        <v>1</v>
      </c>
      <c r="M381" s="36">
        <v>1</v>
      </c>
      <c r="N381" s="36">
        <v>1</v>
      </c>
      <c r="O381" s="36">
        <v>4</v>
      </c>
      <c r="P381" s="37" t="s">
        <v>292</v>
      </c>
      <c r="Q381" s="37" t="s">
        <v>1301</v>
      </c>
      <c r="R381" s="37" t="s">
        <v>1302</v>
      </c>
    </row>
    <row r="382" spans="1:18" ht="27.7" hidden="1" thickBot="1" x14ac:dyDescent="0.55000000000000004">
      <c r="A382" s="36">
        <v>380</v>
      </c>
      <c r="B382" s="37" t="s">
        <v>1303</v>
      </c>
      <c r="C382" s="37" t="s">
        <v>1297</v>
      </c>
      <c r="D382" s="37" t="s">
        <v>1286</v>
      </c>
      <c r="E382" s="37" t="s">
        <v>260</v>
      </c>
      <c r="F382" s="37" t="s">
        <v>1287</v>
      </c>
      <c r="G382" s="37" t="s">
        <v>1287</v>
      </c>
      <c r="H382" s="37" t="s">
        <v>1287</v>
      </c>
      <c r="I382" s="37" t="s">
        <v>1003</v>
      </c>
      <c r="J382" s="37" t="s">
        <v>1003</v>
      </c>
      <c r="K382" s="37" t="s">
        <v>1003</v>
      </c>
      <c r="L382" s="36">
        <v>1</v>
      </c>
      <c r="M382" s="36">
        <v>1</v>
      </c>
      <c r="N382" s="36">
        <v>1</v>
      </c>
      <c r="O382" s="36">
        <v>4</v>
      </c>
      <c r="P382" s="37" t="s">
        <v>265</v>
      </c>
      <c r="Q382" s="37"/>
      <c r="R382" s="37" t="s">
        <v>1304</v>
      </c>
    </row>
    <row r="383" spans="1:18" ht="27.7" hidden="1" thickBot="1" x14ac:dyDescent="0.55000000000000004">
      <c r="A383" s="36">
        <v>381</v>
      </c>
      <c r="B383" s="37" t="s">
        <v>1305</v>
      </c>
      <c r="C383" s="37" t="s">
        <v>1286</v>
      </c>
      <c r="D383" s="37" t="s">
        <v>1286</v>
      </c>
      <c r="E383" s="37" t="s">
        <v>260</v>
      </c>
      <c r="F383" s="37" t="s">
        <v>1306</v>
      </c>
      <c r="G383" s="37" t="s">
        <v>1306</v>
      </c>
      <c r="H383" s="37" t="s">
        <v>1306</v>
      </c>
      <c r="I383" s="37" t="s">
        <v>1003</v>
      </c>
      <c r="J383" s="37" t="s">
        <v>1003</v>
      </c>
      <c r="K383" s="37" t="s">
        <v>1003</v>
      </c>
      <c r="L383" s="36">
        <v>2</v>
      </c>
      <c r="M383" s="36">
        <v>2</v>
      </c>
      <c r="N383" s="36">
        <v>2</v>
      </c>
      <c r="O383" s="36">
        <v>4</v>
      </c>
      <c r="P383" s="37" t="s">
        <v>265</v>
      </c>
      <c r="Q383" s="37" t="s">
        <v>1307</v>
      </c>
      <c r="R383" s="37" t="s">
        <v>1308</v>
      </c>
    </row>
    <row r="384" spans="1:18" ht="27.7" hidden="1" thickBot="1" x14ac:dyDescent="0.55000000000000004">
      <c r="A384" s="36">
        <v>382</v>
      </c>
      <c r="B384" s="37" t="s">
        <v>1309</v>
      </c>
      <c r="C384" s="37" t="s">
        <v>1286</v>
      </c>
      <c r="D384" s="37" t="s">
        <v>1286</v>
      </c>
      <c r="E384" s="37" t="s">
        <v>260</v>
      </c>
      <c r="F384" s="37" t="s">
        <v>1306</v>
      </c>
      <c r="G384" s="37" t="s">
        <v>1306</v>
      </c>
      <c r="H384" s="37" t="s">
        <v>1306</v>
      </c>
      <c r="I384" s="37" t="s">
        <v>1003</v>
      </c>
      <c r="J384" s="37" t="s">
        <v>1003</v>
      </c>
      <c r="K384" s="37" t="s">
        <v>1003</v>
      </c>
      <c r="L384" s="36">
        <v>1</v>
      </c>
      <c r="M384" s="36">
        <v>1</v>
      </c>
      <c r="N384" s="36">
        <v>1</v>
      </c>
      <c r="O384" s="36">
        <v>4</v>
      </c>
      <c r="P384" s="37" t="s">
        <v>265</v>
      </c>
      <c r="Q384" s="37" t="s">
        <v>1286</v>
      </c>
      <c r="R384" s="37" t="s">
        <v>1310</v>
      </c>
    </row>
    <row r="385" spans="1:18" ht="68.7" hidden="1" thickBot="1" x14ac:dyDescent="0.55000000000000004">
      <c r="A385" s="36">
        <v>383</v>
      </c>
      <c r="B385" s="37" t="s">
        <v>1311</v>
      </c>
      <c r="C385" s="37" t="s">
        <v>1286</v>
      </c>
      <c r="D385" s="37" t="s">
        <v>1286</v>
      </c>
      <c r="E385" s="37" t="s">
        <v>260</v>
      </c>
      <c r="F385" s="37" t="s">
        <v>1306</v>
      </c>
      <c r="G385" s="37" t="s">
        <v>1306</v>
      </c>
      <c r="H385" s="37" t="s">
        <v>1306</v>
      </c>
      <c r="I385" s="37" t="s">
        <v>1003</v>
      </c>
      <c r="J385" s="37" t="s">
        <v>1003</v>
      </c>
      <c r="K385" s="37" t="s">
        <v>1003</v>
      </c>
      <c r="L385" s="36">
        <v>1</v>
      </c>
      <c r="M385" s="36">
        <v>1</v>
      </c>
      <c r="N385" s="36">
        <v>1</v>
      </c>
      <c r="O385" s="36">
        <v>3</v>
      </c>
      <c r="P385" s="37" t="s">
        <v>292</v>
      </c>
      <c r="Q385" s="37" t="s">
        <v>1312</v>
      </c>
      <c r="R385" s="37" t="s">
        <v>1313</v>
      </c>
    </row>
    <row r="386" spans="1:18" ht="27.7" hidden="1" thickBot="1" x14ac:dyDescent="0.55000000000000004">
      <c r="A386" s="36">
        <v>384</v>
      </c>
      <c r="B386" s="37" t="s">
        <v>1314</v>
      </c>
      <c r="C386" s="37" t="s">
        <v>1286</v>
      </c>
      <c r="D386" s="37" t="s">
        <v>1286</v>
      </c>
      <c r="E386" s="37" t="s">
        <v>260</v>
      </c>
      <c r="F386" s="37" t="s">
        <v>1306</v>
      </c>
      <c r="G386" s="37" t="s">
        <v>1306</v>
      </c>
      <c r="H386" s="37" t="s">
        <v>1306</v>
      </c>
      <c r="I386" s="37" t="s">
        <v>1003</v>
      </c>
      <c r="J386" s="37" t="s">
        <v>1003</v>
      </c>
      <c r="K386" s="37" t="s">
        <v>1003</v>
      </c>
      <c r="L386" s="36">
        <v>1</v>
      </c>
      <c r="M386" s="36">
        <v>1</v>
      </c>
      <c r="N386" s="36">
        <v>1</v>
      </c>
      <c r="O386" s="36">
        <v>3</v>
      </c>
      <c r="P386" s="37" t="s">
        <v>265</v>
      </c>
      <c r="Q386" s="37" t="s">
        <v>1315</v>
      </c>
      <c r="R386" s="37" t="s">
        <v>1316</v>
      </c>
    </row>
    <row r="387" spans="1:18" ht="109.7" hidden="1" thickBot="1" x14ac:dyDescent="0.55000000000000004">
      <c r="A387" s="36">
        <v>385</v>
      </c>
      <c r="B387" s="37" t="s">
        <v>1317</v>
      </c>
      <c r="C387" s="37" t="s">
        <v>1317</v>
      </c>
      <c r="D387" s="37" t="s">
        <v>1286</v>
      </c>
      <c r="E387" s="37" t="s">
        <v>260</v>
      </c>
      <c r="F387" s="37" t="s">
        <v>1306</v>
      </c>
      <c r="G387" s="37" t="s">
        <v>1306</v>
      </c>
      <c r="H387" s="37" t="s">
        <v>1306</v>
      </c>
      <c r="I387" s="37" t="s">
        <v>1003</v>
      </c>
      <c r="J387" s="37" t="s">
        <v>1003</v>
      </c>
      <c r="K387" s="37" t="s">
        <v>1003</v>
      </c>
      <c r="L387" s="36">
        <v>1</v>
      </c>
      <c r="M387" s="36">
        <v>1</v>
      </c>
      <c r="N387" s="36">
        <v>1</v>
      </c>
      <c r="O387" s="36">
        <v>3</v>
      </c>
      <c r="P387" s="37" t="s">
        <v>265</v>
      </c>
      <c r="Q387" s="37" t="s">
        <v>1318</v>
      </c>
      <c r="R387" s="37" t="s">
        <v>1319</v>
      </c>
    </row>
    <row r="388" spans="1:18" ht="27.7" hidden="1" thickBot="1" x14ac:dyDescent="0.55000000000000004">
      <c r="A388" s="36">
        <v>386</v>
      </c>
      <c r="B388" s="37" t="s">
        <v>1320</v>
      </c>
      <c r="C388" s="37" t="s">
        <v>1321</v>
      </c>
      <c r="D388" s="37" t="s">
        <v>1001</v>
      </c>
      <c r="E388" s="37" t="s">
        <v>260</v>
      </c>
      <c r="F388" s="37" t="s">
        <v>1002</v>
      </c>
      <c r="G388" s="37" t="s">
        <v>1002</v>
      </c>
      <c r="H388" s="37" t="s">
        <v>1002</v>
      </c>
      <c r="I388" s="37" t="s">
        <v>1003</v>
      </c>
      <c r="J388" s="37" t="s">
        <v>1003</v>
      </c>
      <c r="K388" s="37" t="s">
        <v>1003</v>
      </c>
      <c r="L388" s="36">
        <v>1</v>
      </c>
      <c r="M388" s="36">
        <v>1</v>
      </c>
      <c r="N388" s="36">
        <v>1</v>
      </c>
      <c r="O388" s="36">
        <v>2</v>
      </c>
      <c r="P388" s="37" t="s">
        <v>265</v>
      </c>
      <c r="Q388" s="37"/>
      <c r="R388" s="37" t="s">
        <v>1322</v>
      </c>
    </row>
    <row r="389" spans="1:18" ht="27.7" hidden="1" thickBot="1" x14ac:dyDescent="0.55000000000000004">
      <c r="A389" s="36">
        <v>387</v>
      </c>
      <c r="B389" s="37" t="s">
        <v>1321</v>
      </c>
      <c r="C389" s="37" t="s">
        <v>1321</v>
      </c>
      <c r="D389" s="37" t="s">
        <v>1001</v>
      </c>
      <c r="E389" s="37" t="s">
        <v>260</v>
      </c>
      <c r="F389" s="37" t="s">
        <v>1002</v>
      </c>
      <c r="G389" s="37" t="s">
        <v>1002</v>
      </c>
      <c r="H389" s="37" t="s">
        <v>1002</v>
      </c>
      <c r="I389" s="37" t="s">
        <v>1003</v>
      </c>
      <c r="J389" s="37" t="s">
        <v>1003</v>
      </c>
      <c r="K389" s="37" t="s">
        <v>1003</v>
      </c>
      <c r="L389" s="36">
        <v>1</v>
      </c>
      <c r="M389" s="36">
        <v>1</v>
      </c>
      <c r="N389" s="36">
        <v>1</v>
      </c>
      <c r="O389" s="36">
        <v>1</v>
      </c>
      <c r="P389" s="37" t="s">
        <v>265</v>
      </c>
      <c r="Q389" s="37"/>
      <c r="R389" s="37" t="s">
        <v>1323</v>
      </c>
    </row>
    <row r="390" spans="1:18" ht="68.7" hidden="1" thickBot="1" x14ac:dyDescent="0.55000000000000004">
      <c r="A390" s="36">
        <v>388</v>
      </c>
      <c r="B390" s="37" t="s">
        <v>1324</v>
      </c>
      <c r="C390" s="37" t="s">
        <v>1325</v>
      </c>
      <c r="D390" s="37" t="s">
        <v>1286</v>
      </c>
      <c r="E390" s="37" t="s">
        <v>260</v>
      </c>
      <c r="F390" s="37" t="s">
        <v>1306</v>
      </c>
      <c r="G390" s="37" t="s">
        <v>1306</v>
      </c>
      <c r="H390" s="37" t="s">
        <v>1306</v>
      </c>
      <c r="I390" s="37" t="s">
        <v>1003</v>
      </c>
      <c r="J390" s="37" t="s">
        <v>1003</v>
      </c>
      <c r="K390" s="37" t="s">
        <v>1003</v>
      </c>
      <c r="L390" s="36">
        <v>1</v>
      </c>
      <c r="M390" s="36">
        <v>1</v>
      </c>
      <c r="N390" s="36">
        <v>1</v>
      </c>
      <c r="O390" s="36">
        <v>2</v>
      </c>
      <c r="P390" s="37" t="s">
        <v>265</v>
      </c>
      <c r="Q390" s="37" t="s">
        <v>1326</v>
      </c>
      <c r="R390" s="37" t="s">
        <v>1327</v>
      </c>
    </row>
    <row r="391" spans="1:18" ht="27.7" hidden="1" thickBot="1" x14ac:dyDescent="0.55000000000000004">
      <c r="A391" s="36">
        <v>389</v>
      </c>
      <c r="B391" s="37" t="s">
        <v>1328</v>
      </c>
      <c r="C391" s="37" t="s">
        <v>1328</v>
      </c>
      <c r="D391" s="37" t="s">
        <v>259</v>
      </c>
      <c r="E391" s="37" t="s">
        <v>260</v>
      </c>
      <c r="F391" s="37" t="s">
        <v>1002</v>
      </c>
      <c r="G391" s="37" t="s">
        <v>1002</v>
      </c>
      <c r="H391" s="37" t="s">
        <v>263</v>
      </c>
      <c r="I391" s="37" t="s">
        <v>1003</v>
      </c>
      <c r="J391" s="37" t="s">
        <v>1003</v>
      </c>
      <c r="K391" s="37" t="s">
        <v>264</v>
      </c>
      <c r="L391" s="36">
        <v>1</v>
      </c>
      <c r="M391" s="36">
        <v>1</v>
      </c>
      <c r="N391" s="36">
        <v>1</v>
      </c>
      <c r="O391" s="36">
        <v>1</v>
      </c>
      <c r="P391" s="37" t="s">
        <v>265</v>
      </c>
      <c r="Q391" s="37" t="s">
        <v>1329</v>
      </c>
      <c r="R391" s="37" t="s">
        <v>1330</v>
      </c>
    </row>
    <row r="392" spans="1:18" ht="27.7" hidden="1" thickBot="1" x14ac:dyDescent="0.55000000000000004">
      <c r="A392" s="36">
        <v>390</v>
      </c>
      <c r="B392" s="37" t="s">
        <v>1331</v>
      </c>
      <c r="C392" s="37" t="s">
        <v>1325</v>
      </c>
      <c r="D392" s="37" t="s">
        <v>1286</v>
      </c>
      <c r="E392" s="37" t="s">
        <v>260</v>
      </c>
      <c r="F392" s="37" t="s">
        <v>1306</v>
      </c>
      <c r="G392" s="37" t="s">
        <v>1306</v>
      </c>
      <c r="H392" s="37" t="s">
        <v>1306</v>
      </c>
      <c r="I392" s="37" t="s">
        <v>1003</v>
      </c>
      <c r="J392" s="37" t="s">
        <v>1003</v>
      </c>
      <c r="K392" s="37" t="s">
        <v>1003</v>
      </c>
      <c r="L392" s="36">
        <v>1</v>
      </c>
      <c r="M392" s="36">
        <v>1</v>
      </c>
      <c r="N392" s="36">
        <v>1</v>
      </c>
      <c r="O392" s="36">
        <v>3</v>
      </c>
      <c r="P392" s="37" t="s">
        <v>292</v>
      </c>
      <c r="Q392" s="37" t="s">
        <v>1332</v>
      </c>
      <c r="R392" s="37" t="s">
        <v>1333</v>
      </c>
    </row>
    <row r="393" spans="1:18" ht="27.7" hidden="1" thickBot="1" x14ac:dyDescent="0.55000000000000004">
      <c r="A393" s="36">
        <v>391</v>
      </c>
      <c r="B393" s="37" t="s">
        <v>1334</v>
      </c>
      <c r="C393" s="37" t="s">
        <v>1328</v>
      </c>
      <c r="D393" s="37" t="s">
        <v>259</v>
      </c>
      <c r="E393" s="37" t="s">
        <v>260</v>
      </c>
      <c r="F393" s="37" t="s">
        <v>262</v>
      </c>
      <c r="G393" s="37" t="s">
        <v>262</v>
      </c>
      <c r="H393" s="37" t="s">
        <v>263</v>
      </c>
      <c r="I393" s="37" t="s">
        <v>264</v>
      </c>
      <c r="J393" s="37" t="s">
        <v>264</v>
      </c>
      <c r="K393" s="37" t="s">
        <v>264</v>
      </c>
      <c r="L393" s="36">
        <v>1</v>
      </c>
      <c r="M393" s="36">
        <v>1</v>
      </c>
      <c r="N393" s="36">
        <v>1</v>
      </c>
      <c r="O393" s="36">
        <v>2</v>
      </c>
      <c r="P393" s="37" t="s">
        <v>265</v>
      </c>
      <c r="Q393" s="37"/>
      <c r="R393" s="37" t="s">
        <v>1335</v>
      </c>
    </row>
    <row r="394" spans="1:18" ht="27.7" hidden="1" thickBot="1" x14ac:dyDescent="0.55000000000000004">
      <c r="A394" s="36">
        <v>392</v>
      </c>
      <c r="B394" s="37" t="s">
        <v>1336</v>
      </c>
      <c r="C394" s="37" t="s">
        <v>1325</v>
      </c>
      <c r="D394" s="37" t="s">
        <v>1286</v>
      </c>
      <c r="E394" s="37" t="s">
        <v>260</v>
      </c>
      <c r="F394" s="37" t="s">
        <v>1306</v>
      </c>
      <c r="G394" s="37" t="s">
        <v>1306</v>
      </c>
      <c r="H394" s="37" t="s">
        <v>1306</v>
      </c>
      <c r="I394" s="37" t="s">
        <v>1003</v>
      </c>
      <c r="J394" s="37" t="s">
        <v>1003</v>
      </c>
      <c r="K394" s="37" t="s">
        <v>1003</v>
      </c>
      <c r="L394" s="36">
        <v>2</v>
      </c>
      <c r="M394" s="36">
        <v>2</v>
      </c>
      <c r="N394" s="36">
        <v>2</v>
      </c>
      <c r="O394" s="36">
        <v>3</v>
      </c>
      <c r="P394" s="37" t="s">
        <v>265</v>
      </c>
      <c r="Q394" s="37" t="s">
        <v>1337</v>
      </c>
      <c r="R394" s="37" t="s">
        <v>1338</v>
      </c>
    </row>
    <row r="395" spans="1:18" ht="41.35" hidden="1" thickBot="1" x14ac:dyDescent="0.55000000000000004">
      <c r="A395" s="36">
        <v>393</v>
      </c>
      <c r="B395" s="37" t="s">
        <v>1339</v>
      </c>
      <c r="C395" s="37" t="s">
        <v>1325</v>
      </c>
      <c r="D395" s="37" t="s">
        <v>1286</v>
      </c>
      <c r="E395" s="37" t="s">
        <v>260</v>
      </c>
      <c r="F395" s="37" t="s">
        <v>1306</v>
      </c>
      <c r="G395" s="37" t="s">
        <v>1306</v>
      </c>
      <c r="H395" s="37" t="s">
        <v>1306</v>
      </c>
      <c r="I395" s="37" t="s">
        <v>1003</v>
      </c>
      <c r="J395" s="37" t="s">
        <v>1003</v>
      </c>
      <c r="K395" s="37" t="s">
        <v>1003</v>
      </c>
      <c r="L395" s="36">
        <v>1</v>
      </c>
      <c r="M395" s="36">
        <v>1</v>
      </c>
      <c r="N395" s="36">
        <v>1</v>
      </c>
      <c r="O395" s="36">
        <v>3</v>
      </c>
      <c r="P395" s="37" t="s">
        <v>265</v>
      </c>
      <c r="Q395" s="37" t="s">
        <v>1340</v>
      </c>
      <c r="R395" s="37" t="s">
        <v>1341</v>
      </c>
    </row>
    <row r="396" spans="1:18" ht="27.7" hidden="1" thickBot="1" x14ac:dyDescent="0.55000000000000004">
      <c r="A396" s="36">
        <v>394</v>
      </c>
      <c r="B396" s="37" t="s">
        <v>1342</v>
      </c>
      <c r="C396" s="37" t="s">
        <v>1343</v>
      </c>
      <c r="D396" s="37" t="s">
        <v>1344</v>
      </c>
      <c r="E396" s="37" t="s">
        <v>1345</v>
      </c>
      <c r="F396" s="37" t="s">
        <v>1346</v>
      </c>
      <c r="G396" s="37" t="s">
        <v>1346</v>
      </c>
      <c r="H396" s="37" t="s">
        <v>1346</v>
      </c>
      <c r="I396" s="37" t="s">
        <v>1003</v>
      </c>
      <c r="J396" s="37" t="s">
        <v>1003</v>
      </c>
      <c r="K396" s="37" t="s">
        <v>1003</v>
      </c>
      <c r="L396" s="36">
        <v>1</v>
      </c>
      <c r="M396" s="36">
        <v>1</v>
      </c>
      <c r="N396" s="36">
        <v>1</v>
      </c>
      <c r="O396" s="36">
        <v>2</v>
      </c>
      <c r="P396" s="37" t="s">
        <v>265</v>
      </c>
      <c r="Q396" s="37"/>
      <c r="R396" s="37" t="s">
        <v>1347</v>
      </c>
    </row>
    <row r="397" spans="1:18" ht="27.7" hidden="1" thickBot="1" x14ac:dyDescent="0.55000000000000004">
      <c r="A397" s="36">
        <v>395</v>
      </c>
      <c r="B397" s="37" t="s">
        <v>1348</v>
      </c>
      <c r="C397" s="37" t="s">
        <v>1349</v>
      </c>
      <c r="D397" s="37" t="s">
        <v>1344</v>
      </c>
      <c r="E397" s="37" t="s">
        <v>1345</v>
      </c>
      <c r="F397" s="37" t="s">
        <v>1346</v>
      </c>
      <c r="G397" s="37" t="s">
        <v>1346</v>
      </c>
      <c r="H397" s="37" t="s">
        <v>1346</v>
      </c>
      <c r="I397" s="37" t="s">
        <v>1003</v>
      </c>
      <c r="J397" s="37" t="s">
        <v>1003</v>
      </c>
      <c r="K397" s="37" t="s">
        <v>1003</v>
      </c>
      <c r="L397" s="36">
        <v>1</v>
      </c>
      <c r="M397" s="36">
        <v>1</v>
      </c>
      <c r="N397" s="36">
        <v>1</v>
      </c>
      <c r="O397" s="36">
        <v>1</v>
      </c>
      <c r="P397" s="37" t="s">
        <v>265</v>
      </c>
      <c r="Q397" s="37"/>
      <c r="R397" s="37" t="s">
        <v>1350</v>
      </c>
    </row>
    <row r="398" spans="1:18" ht="27.7" hidden="1" thickBot="1" x14ac:dyDescent="0.55000000000000004">
      <c r="A398" s="36">
        <v>396</v>
      </c>
      <c r="B398" s="37" t="s">
        <v>1349</v>
      </c>
      <c r="C398" s="37" t="s">
        <v>1349</v>
      </c>
      <c r="D398" s="37" t="s">
        <v>1344</v>
      </c>
      <c r="E398" s="37" t="s">
        <v>1345</v>
      </c>
      <c r="F398" s="37" t="s">
        <v>1346</v>
      </c>
      <c r="G398" s="37" t="s">
        <v>1346</v>
      </c>
      <c r="H398" s="37" t="s">
        <v>1346</v>
      </c>
      <c r="I398" s="37" t="s">
        <v>1003</v>
      </c>
      <c r="J398" s="37" t="s">
        <v>1003</v>
      </c>
      <c r="K398" s="37" t="s">
        <v>1003</v>
      </c>
      <c r="L398" s="36">
        <v>1</v>
      </c>
      <c r="M398" s="36">
        <v>1</v>
      </c>
      <c r="N398" s="36">
        <v>1</v>
      </c>
      <c r="O398" s="36">
        <v>2</v>
      </c>
      <c r="P398" s="37" t="s">
        <v>265</v>
      </c>
      <c r="Q398" s="37"/>
      <c r="R398" s="37" t="s">
        <v>1351</v>
      </c>
    </row>
    <row r="399" spans="1:18" ht="27.7" hidden="1" thickBot="1" x14ac:dyDescent="0.55000000000000004">
      <c r="A399" s="36">
        <v>397</v>
      </c>
      <c r="B399" s="37" t="s">
        <v>1352</v>
      </c>
      <c r="C399" s="37" t="s">
        <v>1353</v>
      </c>
      <c r="D399" s="37" t="s">
        <v>1344</v>
      </c>
      <c r="E399" s="37" t="s">
        <v>1345</v>
      </c>
      <c r="F399" s="37" t="s">
        <v>1346</v>
      </c>
      <c r="G399" s="37" t="s">
        <v>1346</v>
      </c>
      <c r="H399" s="37" t="s">
        <v>1346</v>
      </c>
      <c r="I399" s="37" t="s">
        <v>1003</v>
      </c>
      <c r="J399" s="37" t="s">
        <v>1003</v>
      </c>
      <c r="K399" s="37" t="s">
        <v>1003</v>
      </c>
      <c r="L399" s="36">
        <v>1</v>
      </c>
      <c r="M399" s="36">
        <v>1</v>
      </c>
      <c r="N399" s="36">
        <v>1</v>
      </c>
      <c r="O399" s="36">
        <v>1</v>
      </c>
      <c r="P399" s="37" t="s">
        <v>265</v>
      </c>
      <c r="Q399" s="37"/>
      <c r="R399" s="37" t="s">
        <v>1354</v>
      </c>
    </row>
    <row r="400" spans="1:18" ht="27.7" hidden="1" thickBot="1" x14ac:dyDescent="0.55000000000000004">
      <c r="A400" s="36">
        <v>398</v>
      </c>
      <c r="B400" s="37" t="s">
        <v>1355</v>
      </c>
      <c r="C400" s="37" t="s">
        <v>1353</v>
      </c>
      <c r="D400" s="37" t="s">
        <v>1344</v>
      </c>
      <c r="E400" s="37" t="s">
        <v>1344</v>
      </c>
      <c r="F400" s="37" t="s">
        <v>1345</v>
      </c>
      <c r="G400" s="37" t="s">
        <v>1346</v>
      </c>
      <c r="H400" s="37" t="s">
        <v>1346</v>
      </c>
      <c r="I400" s="37" t="s">
        <v>1003</v>
      </c>
      <c r="J400" s="37" t="s">
        <v>1003</v>
      </c>
      <c r="K400" s="37" t="s">
        <v>1003</v>
      </c>
      <c r="L400" s="36">
        <v>1</v>
      </c>
      <c r="M400" s="36">
        <v>1</v>
      </c>
      <c r="N400" s="36">
        <v>1</v>
      </c>
      <c r="O400" s="36">
        <v>1</v>
      </c>
      <c r="P400" s="37" t="s">
        <v>292</v>
      </c>
      <c r="Q400" s="37"/>
      <c r="R400" s="37" t="s">
        <v>1356</v>
      </c>
    </row>
    <row r="401" spans="1:18" ht="27.7" hidden="1" thickBot="1" x14ac:dyDescent="0.55000000000000004">
      <c r="A401" s="36">
        <v>399</v>
      </c>
      <c r="B401" s="37" t="s">
        <v>1357</v>
      </c>
      <c r="C401" s="37" t="s">
        <v>1358</v>
      </c>
      <c r="D401" s="37" t="s">
        <v>1359</v>
      </c>
      <c r="E401" s="37" t="s">
        <v>1345</v>
      </c>
      <c r="F401" s="37" t="s">
        <v>1346</v>
      </c>
      <c r="G401" s="37" t="s">
        <v>1346</v>
      </c>
      <c r="H401" s="37" t="s">
        <v>1346</v>
      </c>
      <c r="I401" s="37" t="s">
        <v>1003</v>
      </c>
      <c r="J401" s="37" t="s">
        <v>1003</v>
      </c>
      <c r="K401" s="37" t="s">
        <v>1003</v>
      </c>
      <c r="L401" s="36">
        <v>1</v>
      </c>
      <c r="M401" s="36">
        <v>1</v>
      </c>
      <c r="N401" s="36">
        <v>1</v>
      </c>
      <c r="O401" s="36">
        <v>1</v>
      </c>
      <c r="P401" s="37" t="s">
        <v>292</v>
      </c>
      <c r="Q401" s="37"/>
      <c r="R401" s="37" t="s">
        <v>1360</v>
      </c>
    </row>
    <row r="402" spans="1:18" ht="27.7" hidden="1" thickBot="1" x14ac:dyDescent="0.55000000000000004">
      <c r="A402" s="36">
        <v>400</v>
      </c>
      <c r="B402" s="37" t="s">
        <v>1361</v>
      </c>
      <c r="C402" s="37" t="s">
        <v>1362</v>
      </c>
      <c r="D402" s="37" t="s">
        <v>1359</v>
      </c>
      <c r="E402" s="37" t="s">
        <v>1345</v>
      </c>
      <c r="F402" s="37" t="s">
        <v>1346</v>
      </c>
      <c r="G402" s="37" t="s">
        <v>1346</v>
      </c>
      <c r="H402" s="37" t="s">
        <v>1346</v>
      </c>
      <c r="I402" s="37" t="s">
        <v>1003</v>
      </c>
      <c r="J402" s="37" t="s">
        <v>1003</v>
      </c>
      <c r="K402" s="37" t="s">
        <v>1003</v>
      </c>
      <c r="L402" s="36">
        <v>1</v>
      </c>
      <c r="M402" s="36">
        <v>1</v>
      </c>
      <c r="N402" s="36">
        <v>1</v>
      </c>
      <c r="O402" s="36">
        <v>3</v>
      </c>
      <c r="P402" s="37" t="s">
        <v>292</v>
      </c>
      <c r="Q402" s="37"/>
      <c r="R402" s="37" t="s">
        <v>1363</v>
      </c>
    </row>
    <row r="403" spans="1:18" ht="27.7" hidden="1" thickBot="1" x14ac:dyDescent="0.55000000000000004">
      <c r="A403" s="36">
        <v>401</v>
      </c>
      <c r="B403" s="37" t="s">
        <v>1364</v>
      </c>
      <c r="C403" s="37" t="s">
        <v>1365</v>
      </c>
      <c r="D403" s="37" t="s">
        <v>1366</v>
      </c>
      <c r="E403" s="37" t="s">
        <v>1345</v>
      </c>
      <c r="F403" s="37" t="s">
        <v>1346</v>
      </c>
      <c r="G403" s="37" t="s">
        <v>1346</v>
      </c>
      <c r="H403" s="37" t="s">
        <v>1346</v>
      </c>
      <c r="I403" s="37" t="s">
        <v>1003</v>
      </c>
      <c r="J403" s="37" t="s">
        <v>1003</v>
      </c>
      <c r="K403" s="37" t="s">
        <v>1003</v>
      </c>
      <c r="L403" s="36">
        <v>1</v>
      </c>
      <c r="M403" s="36">
        <v>1</v>
      </c>
      <c r="N403" s="36">
        <v>1</v>
      </c>
      <c r="O403" s="36">
        <v>3</v>
      </c>
      <c r="P403" s="37" t="s">
        <v>292</v>
      </c>
      <c r="Q403" s="37"/>
      <c r="R403" s="37" t="s">
        <v>1367</v>
      </c>
    </row>
    <row r="404" spans="1:18" ht="27.7" hidden="1" thickBot="1" x14ac:dyDescent="0.55000000000000004">
      <c r="A404" s="36">
        <v>402</v>
      </c>
      <c r="B404" s="37" t="s">
        <v>1362</v>
      </c>
      <c r="C404" s="37" t="s">
        <v>1362</v>
      </c>
      <c r="D404" s="37" t="s">
        <v>1359</v>
      </c>
      <c r="E404" s="37" t="s">
        <v>1345</v>
      </c>
      <c r="F404" s="37" t="s">
        <v>1346</v>
      </c>
      <c r="G404" s="37" t="s">
        <v>1346</v>
      </c>
      <c r="H404" s="37" t="s">
        <v>1346</v>
      </c>
      <c r="I404" s="37" t="s">
        <v>1003</v>
      </c>
      <c r="J404" s="37" t="s">
        <v>1003</v>
      </c>
      <c r="K404" s="37" t="s">
        <v>1003</v>
      </c>
      <c r="L404" s="36">
        <v>1</v>
      </c>
      <c r="M404" s="36">
        <v>1</v>
      </c>
      <c r="N404" s="36">
        <v>1</v>
      </c>
      <c r="O404" s="36">
        <v>2</v>
      </c>
      <c r="P404" s="37" t="s">
        <v>292</v>
      </c>
      <c r="Q404" s="37"/>
      <c r="R404" s="37" t="s">
        <v>1368</v>
      </c>
    </row>
    <row r="405" spans="1:18" ht="27.7" hidden="1" thickBot="1" x14ac:dyDescent="0.55000000000000004">
      <c r="A405" s="36">
        <v>403</v>
      </c>
      <c r="B405" s="37" t="s">
        <v>1369</v>
      </c>
      <c r="C405" s="37" t="s">
        <v>1343</v>
      </c>
      <c r="D405" s="37" t="s">
        <v>1344</v>
      </c>
      <c r="E405" s="37" t="s">
        <v>1345</v>
      </c>
      <c r="F405" s="37" t="s">
        <v>1346</v>
      </c>
      <c r="G405" s="37" t="s">
        <v>1346</v>
      </c>
      <c r="H405" s="37" t="s">
        <v>1346</v>
      </c>
      <c r="I405" s="37" t="s">
        <v>1003</v>
      </c>
      <c r="J405" s="37" t="s">
        <v>1003</v>
      </c>
      <c r="K405" s="37" t="s">
        <v>1003</v>
      </c>
      <c r="L405" s="36">
        <v>1</v>
      </c>
      <c r="M405" s="36">
        <v>1</v>
      </c>
      <c r="N405" s="36">
        <v>1</v>
      </c>
      <c r="O405" s="36">
        <v>2</v>
      </c>
      <c r="P405" s="37" t="s">
        <v>292</v>
      </c>
      <c r="Q405" s="37"/>
      <c r="R405" s="37" t="s">
        <v>1370</v>
      </c>
    </row>
    <row r="406" spans="1:18" ht="27.7" hidden="1" thickBot="1" x14ac:dyDescent="0.55000000000000004">
      <c r="A406" s="36">
        <v>404</v>
      </c>
      <c r="B406" s="37" t="s">
        <v>1371</v>
      </c>
      <c r="C406" s="37" t="s">
        <v>1372</v>
      </c>
      <c r="D406" s="37" t="s">
        <v>1373</v>
      </c>
      <c r="E406" s="37" t="s">
        <v>1374</v>
      </c>
      <c r="F406" s="37" t="s">
        <v>1306</v>
      </c>
      <c r="G406" s="37" t="s">
        <v>1306</v>
      </c>
      <c r="H406" s="37" t="s">
        <v>1306</v>
      </c>
      <c r="I406" s="37" t="s">
        <v>1003</v>
      </c>
      <c r="J406" s="37" t="s">
        <v>1003</v>
      </c>
      <c r="K406" s="37" t="s">
        <v>1003</v>
      </c>
      <c r="L406" s="36">
        <v>1</v>
      </c>
      <c r="M406" s="36">
        <v>1</v>
      </c>
      <c r="N406" s="36">
        <v>1</v>
      </c>
      <c r="O406" s="36">
        <v>1</v>
      </c>
      <c r="P406" s="37" t="s">
        <v>292</v>
      </c>
      <c r="Q406" s="37"/>
      <c r="R406" s="37" t="s">
        <v>1375</v>
      </c>
    </row>
    <row r="407" spans="1:18" ht="27.7" hidden="1" thickBot="1" x14ac:dyDescent="0.55000000000000004">
      <c r="A407" s="36">
        <v>405</v>
      </c>
      <c r="B407" s="37" t="s">
        <v>1376</v>
      </c>
      <c r="C407" s="37" t="s">
        <v>1377</v>
      </c>
      <c r="D407" s="37" t="s">
        <v>1378</v>
      </c>
      <c r="E407" s="37" t="s">
        <v>1374</v>
      </c>
      <c r="F407" s="37" t="s">
        <v>1306</v>
      </c>
      <c r="G407" s="37" t="s">
        <v>1306</v>
      </c>
      <c r="H407" s="37" t="s">
        <v>1379</v>
      </c>
      <c r="I407" s="37" t="s">
        <v>1003</v>
      </c>
      <c r="J407" s="37" t="s">
        <v>1003</v>
      </c>
      <c r="K407" s="37" t="s">
        <v>1003</v>
      </c>
      <c r="L407" s="36">
        <v>1</v>
      </c>
      <c r="M407" s="36">
        <v>1</v>
      </c>
      <c r="N407" s="36">
        <v>1</v>
      </c>
      <c r="O407" s="36">
        <v>3</v>
      </c>
      <c r="P407" s="37" t="s">
        <v>292</v>
      </c>
      <c r="Q407" s="37"/>
      <c r="R407" s="37" t="s">
        <v>1380</v>
      </c>
    </row>
    <row r="408" spans="1:18" ht="27.7" hidden="1" thickBot="1" x14ac:dyDescent="0.55000000000000004">
      <c r="A408" s="36">
        <v>406</v>
      </c>
      <c r="B408" s="37" t="s">
        <v>1377</v>
      </c>
      <c r="C408" s="37" t="s">
        <v>1381</v>
      </c>
      <c r="D408" s="37" t="s">
        <v>1378</v>
      </c>
      <c r="E408" s="37" t="s">
        <v>1374</v>
      </c>
      <c r="F408" s="37" t="s">
        <v>1379</v>
      </c>
      <c r="G408" s="37" t="s">
        <v>1379</v>
      </c>
      <c r="H408" s="37" t="s">
        <v>1379</v>
      </c>
      <c r="I408" s="37" t="s">
        <v>1003</v>
      </c>
      <c r="J408" s="37" t="s">
        <v>1003</v>
      </c>
      <c r="K408" s="37" t="s">
        <v>1003</v>
      </c>
      <c r="L408" s="36">
        <v>1</v>
      </c>
      <c r="M408" s="36">
        <v>1</v>
      </c>
      <c r="N408" s="36">
        <v>1</v>
      </c>
      <c r="O408" s="36">
        <v>3</v>
      </c>
      <c r="P408" s="37" t="s">
        <v>292</v>
      </c>
      <c r="Q408" s="37"/>
      <c r="R408" s="37" t="s">
        <v>1382</v>
      </c>
    </row>
    <row r="409" spans="1:18" ht="27.7" hidden="1" thickBot="1" x14ac:dyDescent="0.55000000000000004">
      <c r="A409" s="36">
        <v>407</v>
      </c>
      <c r="B409" s="37" t="s">
        <v>1383</v>
      </c>
      <c r="C409" s="37" t="s">
        <v>1377</v>
      </c>
      <c r="D409" s="37" t="s">
        <v>1378</v>
      </c>
      <c r="E409" s="37" t="s">
        <v>1374</v>
      </c>
      <c r="F409" s="37" t="s">
        <v>1379</v>
      </c>
      <c r="G409" s="37" t="s">
        <v>1379</v>
      </c>
      <c r="H409" s="37" t="s">
        <v>1379</v>
      </c>
      <c r="I409" s="37" t="s">
        <v>1003</v>
      </c>
      <c r="J409" s="37" t="s">
        <v>1003</v>
      </c>
      <c r="K409" s="37" t="s">
        <v>1003</v>
      </c>
      <c r="L409" s="36">
        <v>1</v>
      </c>
      <c r="M409" s="36">
        <v>1</v>
      </c>
      <c r="N409" s="36">
        <v>1</v>
      </c>
      <c r="O409" s="36">
        <v>3</v>
      </c>
      <c r="P409" s="37" t="s">
        <v>292</v>
      </c>
      <c r="Q409" s="37"/>
      <c r="R409" s="37" t="s">
        <v>1384</v>
      </c>
    </row>
    <row r="410" spans="1:18" ht="27.7" hidden="1" thickBot="1" x14ac:dyDescent="0.55000000000000004">
      <c r="A410" s="36">
        <v>408</v>
      </c>
      <c r="B410" s="37" t="s">
        <v>1385</v>
      </c>
      <c r="C410" s="37" t="s">
        <v>1386</v>
      </c>
      <c r="D410" s="37" t="s">
        <v>1378</v>
      </c>
      <c r="E410" s="37" t="s">
        <v>1374</v>
      </c>
      <c r="F410" s="37" t="s">
        <v>1306</v>
      </c>
      <c r="G410" s="37" t="s">
        <v>1306</v>
      </c>
      <c r="H410" s="37" t="s">
        <v>1387</v>
      </c>
      <c r="I410" s="37" t="s">
        <v>1003</v>
      </c>
      <c r="J410" s="37" t="s">
        <v>1003</v>
      </c>
      <c r="K410" s="37" t="s">
        <v>1165</v>
      </c>
      <c r="L410" s="36">
        <v>1</v>
      </c>
      <c r="M410" s="36">
        <v>1</v>
      </c>
      <c r="N410" s="36">
        <v>1</v>
      </c>
      <c r="O410" s="36">
        <v>2</v>
      </c>
      <c r="P410" s="37" t="s">
        <v>292</v>
      </c>
      <c r="Q410" s="37"/>
      <c r="R410" s="37" t="s">
        <v>1388</v>
      </c>
    </row>
    <row r="411" spans="1:18" ht="27.7" hidden="1" thickBot="1" x14ac:dyDescent="0.55000000000000004">
      <c r="A411" s="36">
        <v>409</v>
      </c>
      <c r="B411" s="37" t="s">
        <v>1389</v>
      </c>
      <c r="C411" s="37" t="s">
        <v>1373</v>
      </c>
      <c r="D411" s="37" t="s">
        <v>1373</v>
      </c>
      <c r="E411" s="37" t="s">
        <v>1374</v>
      </c>
      <c r="F411" s="37" t="s">
        <v>1287</v>
      </c>
      <c r="G411" s="37" t="s">
        <v>1387</v>
      </c>
      <c r="H411" s="37" t="s">
        <v>1387</v>
      </c>
      <c r="I411" s="37" t="s">
        <v>1003</v>
      </c>
      <c r="J411" s="37" t="s">
        <v>944</v>
      </c>
      <c r="K411" s="37" t="s">
        <v>1165</v>
      </c>
      <c r="L411" s="36">
        <v>1</v>
      </c>
      <c r="M411" s="36">
        <v>1</v>
      </c>
      <c r="N411" s="36">
        <v>1</v>
      </c>
      <c r="O411" s="36">
        <v>3</v>
      </c>
      <c r="P411" s="37" t="s">
        <v>292</v>
      </c>
      <c r="Q411" s="37" t="s">
        <v>1390</v>
      </c>
      <c r="R411" s="37" t="s">
        <v>1391</v>
      </c>
    </row>
    <row r="412" spans="1:18" ht="27.7" hidden="1" thickBot="1" x14ac:dyDescent="0.55000000000000004">
      <c r="A412" s="36">
        <v>410</v>
      </c>
      <c r="B412" s="37" t="s">
        <v>1392</v>
      </c>
      <c r="C412" s="37" t="s">
        <v>1393</v>
      </c>
      <c r="D412" s="37" t="s">
        <v>1394</v>
      </c>
      <c r="E412" s="37" t="s">
        <v>1374</v>
      </c>
      <c r="F412" s="37" t="s">
        <v>1395</v>
      </c>
      <c r="G412" s="37" t="s">
        <v>1387</v>
      </c>
      <c r="H412" s="37" t="s">
        <v>1387</v>
      </c>
      <c r="I412" s="37" t="s">
        <v>944</v>
      </c>
      <c r="J412" s="37" t="s">
        <v>944</v>
      </c>
      <c r="K412" s="37" t="s">
        <v>1165</v>
      </c>
      <c r="L412" s="36">
        <v>1</v>
      </c>
      <c r="M412" s="36">
        <v>1</v>
      </c>
      <c r="N412" s="36">
        <v>1</v>
      </c>
      <c r="O412" s="36">
        <v>3</v>
      </c>
      <c r="P412" s="37" t="s">
        <v>292</v>
      </c>
      <c r="Q412" s="37"/>
      <c r="R412" s="37" t="s">
        <v>1396</v>
      </c>
    </row>
    <row r="413" spans="1:18" ht="55" hidden="1" thickBot="1" x14ac:dyDescent="0.55000000000000004">
      <c r="A413" s="36">
        <v>411</v>
      </c>
      <c r="B413" s="37" t="s">
        <v>1397</v>
      </c>
      <c r="C413" s="37" t="s">
        <v>1398</v>
      </c>
      <c r="D413" s="37" t="s">
        <v>1373</v>
      </c>
      <c r="E413" s="37" t="s">
        <v>260</v>
      </c>
      <c r="F413" s="37" t="s">
        <v>1287</v>
      </c>
      <c r="G413" s="37" t="s">
        <v>1287</v>
      </c>
      <c r="H413" s="37" t="s">
        <v>1287</v>
      </c>
      <c r="I413" s="37" t="s">
        <v>1003</v>
      </c>
      <c r="J413" s="37" t="s">
        <v>1003</v>
      </c>
      <c r="K413" s="37" t="s">
        <v>1003</v>
      </c>
      <c r="L413" s="36">
        <v>1</v>
      </c>
      <c r="M413" s="36">
        <v>1</v>
      </c>
      <c r="N413" s="36">
        <v>1</v>
      </c>
      <c r="O413" s="36">
        <v>2</v>
      </c>
      <c r="P413" s="37" t="s">
        <v>265</v>
      </c>
      <c r="Q413" s="37" t="s">
        <v>1399</v>
      </c>
      <c r="R413" s="37" t="s">
        <v>1400</v>
      </c>
    </row>
    <row r="414" spans="1:18" ht="27.7" hidden="1" thickBot="1" x14ac:dyDescent="0.55000000000000004">
      <c r="A414" s="36">
        <v>412</v>
      </c>
      <c r="B414" s="37" t="s">
        <v>1401</v>
      </c>
      <c r="C414" s="37" t="s">
        <v>1372</v>
      </c>
      <c r="D414" s="37" t="s">
        <v>1373</v>
      </c>
      <c r="E414" s="37" t="s">
        <v>1374</v>
      </c>
      <c r="F414" s="37" t="s">
        <v>1379</v>
      </c>
      <c r="G414" s="37" t="s">
        <v>1387</v>
      </c>
      <c r="H414" s="37" t="s">
        <v>1387</v>
      </c>
      <c r="I414" s="37" t="s">
        <v>1003</v>
      </c>
      <c r="J414" s="37" t="s">
        <v>944</v>
      </c>
      <c r="K414" s="37" t="s">
        <v>1165</v>
      </c>
      <c r="L414" s="36">
        <v>1</v>
      </c>
      <c r="M414" s="36">
        <v>1</v>
      </c>
      <c r="N414" s="36">
        <v>1</v>
      </c>
      <c r="O414" s="36">
        <v>2</v>
      </c>
      <c r="P414" s="37" t="s">
        <v>292</v>
      </c>
      <c r="Q414" s="37"/>
      <c r="R414" s="37" t="s">
        <v>1402</v>
      </c>
    </row>
    <row r="415" spans="1:18" ht="27.7" hidden="1" thickBot="1" x14ac:dyDescent="0.55000000000000004">
      <c r="A415" s="36">
        <v>413</v>
      </c>
      <c r="B415" s="37" t="s">
        <v>1398</v>
      </c>
      <c r="C415" s="37" t="s">
        <v>1398</v>
      </c>
      <c r="D415" s="37" t="s">
        <v>1373</v>
      </c>
      <c r="E415" s="37" t="s">
        <v>1374</v>
      </c>
      <c r="F415" s="37" t="s">
        <v>1395</v>
      </c>
      <c r="G415" s="37" t="s">
        <v>1387</v>
      </c>
      <c r="H415" s="37" t="s">
        <v>1387</v>
      </c>
      <c r="I415" s="37" t="s">
        <v>944</v>
      </c>
      <c r="J415" s="37" t="s">
        <v>944</v>
      </c>
      <c r="K415" s="37" t="s">
        <v>1165</v>
      </c>
      <c r="L415" s="36">
        <v>1</v>
      </c>
      <c r="M415" s="36">
        <v>1</v>
      </c>
      <c r="N415" s="36">
        <v>1</v>
      </c>
      <c r="O415" s="36">
        <v>4</v>
      </c>
      <c r="P415" s="37" t="s">
        <v>292</v>
      </c>
      <c r="Q415" s="37" t="s">
        <v>1403</v>
      </c>
      <c r="R415" s="37" t="s">
        <v>1404</v>
      </c>
    </row>
    <row r="416" spans="1:18" ht="55" hidden="1" thickBot="1" x14ac:dyDescent="0.55000000000000004">
      <c r="A416" s="36">
        <v>414</v>
      </c>
      <c r="B416" s="37" t="s">
        <v>1373</v>
      </c>
      <c r="C416" s="37" t="s">
        <v>1373</v>
      </c>
      <c r="D416" s="37" t="s">
        <v>1373</v>
      </c>
      <c r="E416" s="37" t="s">
        <v>1374</v>
      </c>
      <c r="F416" s="37" t="s">
        <v>1395</v>
      </c>
      <c r="G416" s="37" t="s">
        <v>1387</v>
      </c>
      <c r="H416" s="37" t="s">
        <v>1387</v>
      </c>
      <c r="I416" s="37" t="s">
        <v>944</v>
      </c>
      <c r="J416" s="37" t="s">
        <v>944</v>
      </c>
      <c r="K416" s="37" t="s">
        <v>1165</v>
      </c>
      <c r="L416" s="36">
        <v>2</v>
      </c>
      <c r="M416" s="36">
        <v>2</v>
      </c>
      <c r="N416" s="36">
        <v>2</v>
      </c>
      <c r="O416" s="36">
        <v>5</v>
      </c>
      <c r="P416" s="37" t="s">
        <v>292</v>
      </c>
      <c r="Q416" s="37" t="s">
        <v>1405</v>
      </c>
      <c r="R416" s="37" t="s">
        <v>1406</v>
      </c>
    </row>
    <row r="417" spans="1:18" ht="27.7" hidden="1" thickBot="1" x14ac:dyDescent="0.55000000000000004">
      <c r="A417" s="36">
        <v>415</v>
      </c>
      <c r="B417" s="37" t="s">
        <v>1407</v>
      </c>
      <c r="C417" s="37" t="s">
        <v>1398</v>
      </c>
      <c r="D417" s="37" t="s">
        <v>1373</v>
      </c>
      <c r="E417" s="37" t="s">
        <v>1374</v>
      </c>
      <c r="F417" s="37" t="s">
        <v>1395</v>
      </c>
      <c r="G417" s="37" t="s">
        <v>1387</v>
      </c>
      <c r="H417" s="37" t="s">
        <v>1387</v>
      </c>
      <c r="I417" s="37" t="s">
        <v>944</v>
      </c>
      <c r="J417" s="37" t="s">
        <v>944</v>
      </c>
      <c r="K417" s="37" t="s">
        <v>1165</v>
      </c>
      <c r="L417" s="36">
        <v>1</v>
      </c>
      <c r="M417" s="36">
        <v>1</v>
      </c>
      <c r="N417" s="36">
        <v>2</v>
      </c>
      <c r="O417" s="36">
        <v>3</v>
      </c>
      <c r="P417" s="37" t="s">
        <v>292</v>
      </c>
      <c r="Q417" s="37"/>
      <c r="R417" s="37" t="s">
        <v>1408</v>
      </c>
    </row>
    <row r="418" spans="1:18" ht="27.7" hidden="1" thickBot="1" x14ac:dyDescent="0.55000000000000004">
      <c r="A418" s="36">
        <v>416</v>
      </c>
      <c r="B418" s="37" t="s">
        <v>1409</v>
      </c>
      <c r="C418" s="37" t="s">
        <v>1409</v>
      </c>
      <c r="D418" s="37" t="s">
        <v>1262</v>
      </c>
      <c r="E418" s="37" t="s">
        <v>1079</v>
      </c>
      <c r="F418" s="37" t="s">
        <v>1278</v>
      </c>
      <c r="G418" s="37" t="s">
        <v>1278</v>
      </c>
      <c r="H418" s="37" t="s">
        <v>1278</v>
      </c>
      <c r="I418" s="37" t="s">
        <v>1264</v>
      </c>
      <c r="J418" s="37" t="s">
        <v>1264</v>
      </c>
      <c r="K418" s="37" t="s">
        <v>1264</v>
      </c>
      <c r="L418" s="36">
        <v>1</v>
      </c>
      <c r="M418" s="36">
        <v>1</v>
      </c>
      <c r="N418" s="36">
        <v>1</v>
      </c>
      <c r="O418" s="36">
        <v>4</v>
      </c>
      <c r="P418" s="37" t="s">
        <v>292</v>
      </c>
      <c r="Q418" s="37" t="s">
        <v>1410</v>
      </c>
      <c r="R418" s="37" t="s">
        <v>1411</v>
      </c>
    </row>
    <row r="419" spans="1:18" ht="27.7" hidden="1" thickBot="1" x14ac:dyDescent="0.55000000000000004">
      <c r="A419" s="36">
        <v>417</v>
      </c>
      <c r="B419" s="37" t="s">
        <v>1412</v>
      </c>
      <c r="C419" s="37" t="s">
        <v>1413</v>
      </c>
      <c r="D419" s="37" t="s">
        <v>1394</v>
      </c>
      <c r="E419" s="37" t="s">
        <v>1374</v>
      </c>
      <c r="F419" s="37" t="s">
        <v>1395</v>
      </c>
      <c r="G419" s="37" t="s">
        <v>1387</v>
      </c>
      <c r="H419" s="37" t="s">
        <v>1387</v>
      </c>
      <c r="I419" s="37" t="s">
        <v>944</v>
      </c>
      <c r="J419" s="37" t="s">
        <v>944</v>
      </c>
      <c r="K419" s="37" t="s">
        <v>1165</v>
      </c>
      <c r="L419" s="36">
        <v>1</v>
      </c>
      <c r="M419" s="36">
        <v>1</v>
      </c>
      <c r="N419" s="36">
        <v>1</v>
      </c>
      <c r="O419" s="36">
        <v>3</v>
      </c>
      <c r="P419" s="37" t="s">
        <v>292</v>
      </c>
      <c r="Q419" s="37"/>
      <c r="R419" s="37" t="s">
        <v>1414</v>
      </c>
    </row>
    <row r="420" spans="1:18" ht="27.7" hidden="1" thickBot="1" x14ac:dyDescent="0.55000000000000004">
      <c r="A420" s="36">
        <v>418</v>
      </c>
      <c r="B420" s="37" t="s">
        <v>1415</v>
      </c>
      <c r="C420" s="37" t="s">
        <v>1413</v>
      </c>
      <c r="D420" s="37" t="s">
        <v>1394</v>
      </c>
      <c r="E420" s="37" t="s">
        <v>1374</v>
      </c>
      <c r="F420" s="37" t="s">
        <v>1395</v>
      </c>
      <c r="G420" s="37" t="s">
        <v>1387</v>
      </c>
      <c r="H420" s="37" t="s">
        <v>1387</v>
      </c>
      <c r="I420" s="37" t="s">
        <v>944</v>
      </c>
      <c r="J420" s="37" t="s">
        <v>944</v>
      </c>
      <c r="K420" s="37" t="s">
        <v>1165</v>
      </c>
      <c r="L420" s="36">
        <v>1</v>
      </c>
      <c r="M420" s="36">
        <v>1</v>
      </c>
      <c r="N420" s="36">
        <v>1</v>
      </c>
      <c r="O420" s="36">
        <v>3</v>
      </c>
      <c r="P420" s="37" t="s">
        <v>292</v>
      </c>
      <c r="Q420" s="37"/>
      <c r="R420" s="37" t="s">
        <v>1416</v>
      </c>
    </row>
    <row r="421" spans="1:18" ht="27.7" hidden="1" thickBot="1" x14ac:dyDescent="0.55000000000000004">
      <c r="A421" s="36">
        <v>419</v>
      </c>
      <c r="B421" s="37" t="s">
        <v>1413</v>
      </c>
      <c r="C421" s="37" t="s">
        <v>1413</v>
      </c>
      <c r="D421" s="37" t="s">
        <v>1394</v>
      </c>
      <c r="E421" s="37" t="s">
        <v>1374</v>
      </c>
      <c r="F421" s="37" t="s">
        <v>1395</v>
      </c>
      <c r="G421" s="37" t="s">
        <v>1387</v>
      </c>
      <c r="H421" s="37" t="s">
        <v>1387</v>
      </c>
      <c r="I421" s="37" t="s">
        <v>944</v>
      </c>
      <c r="J421" s="37" t="s">
        <v>944</v>
      </c>
      <c r="K421" s="37" t="s">
        <v>1165</v>
      </c>
      <c r="L421" s="36">
        <v>1</v>
      </c>
      <c r="M421" s="36">
        <v>1</v>
      </c>
      <c r="N421" s="36">
        <v>1</v>
      </c>
      <c r="O421" s="36">
        <v>4</v>
      </c>
      <c r="P421" s="37" t="s">
        <v>292</v>
      </c>
      <c r="Q421" s="37" t="s">
        <v>1417</v>
      </c>
      <c r="R421" s="37" t="s">
        <v>1418</v>
      </c>
    </row>
    <row r="422" spans="1:18" ht="27.7" hidden="1" thickBot="1" x14ac:dyDescent="0.55000000000000004">
      <c r="A422" s="36">
        <v>420</v>
      </c>
      <c r="B422" s="37" t="s">
        <v>1419</v>
      </c>
      <c r="C422" s="37" t="s">
        <v>1262</v>
      </c>
      <c r="D422" s="37" t="s">
        <v>1262</v>
      </c>
      <c r="E422" s="37" t="s">
        <v>1079</v>
      </c>
      <c r="F422" s="37" t="s">
        <v>1274</v>
      </c>
      <c r="G422" s="37" t="s">
        <v>1274</v>
      </c>
      <c r="H422" s="37" t="s">
        <v>1274</v>
      </c>
      <c r="I422" s="37" t="s">
        <v>1264</v>
      </c>
      <c r="J422" s="37" t="s">
        <v>1264</v>
      </c>
      <c r="K422" s="37" t="s">
        <v>1264</v>
      </c>
      <c r="L422" s="36">
        <v>1</v>
      </c>
      <c r="M422" s="36">
        <v>1</v>
      </c>
      <c r="N422" s="36">
        <v>1</v>
      </c>
      <c r="O422" s="36">
        <v>5</v>
      </c>
      <c r="P422" s="37" t="s">
        <v>292</v>
      </c>
      <c r="Q422" s="37"/>
      <c r="R422" s="37" t="s">
        <v>1420</v>
      </c>
    </row>
    <row r="423" spans="1:18" ht="68.7" hidden="1" thickBot="1" x14ac:dyDescent="0.55000000000000004">
      <c r="A423" s="36">
        <v>421</v>
      </c>
      <c r="B423" s="37" t="s">
        <v>1273</v>
      </c>
      <c r="C423" s="37" t="s">
        <v>1262</v>
      </c>
      <c r="D423" s="37" t="s">
        <v>1262</v>
      </c>
      <c r="E423" s="37" t="s">
        <v>1079</v>
      </c>
      <c r="F423" s="37" t="s">
        <v>1274</v>
      </c>
      <c r="G423" s="37" t="s">
        <v>1274</v>
      </c>
      <c r="H423" s="37" t="s">
        <v>1274</v>
      </c>
      <c r="I423" s="37" t="s">
        <v>1264</v>
      </c>
      <c r="J423" s="37" t="s">
        <v>1264</v>
      </c>
      <c r="K423" s="37" t="s">
        <v>1264</v>
      </c>
      <c r="L423" s="36">
        <v>1</v>
      </c>
      <c r="M423" s="36">
        <v>1</v>
      </c>
      <c r="N423" s="36">
        <v>1</v>
      </c>
      <c r="O423" s="36">
        <v>4</v>
      </c>
      <c r="P423" s="37" t="s">
        <v>265</v>
      </c>
      <c r="Q423" s="37" t="s">
        <v>1421</v>
      </c>
      <c r="R423" s="37" t="s">
        <v>1422</v>
      </c>
    </row>
    <row r="424" spans="1:18" ht="27.7" hidden="1" thickBot="1" x14ac:dyDescent="0.55000000000000004">
      <c r="A424" s="36">
        <v>422</v>
      </c>
      <c r="B424" s="37" t="s">
        <v>1423</v>
      </c>
      <c r="C424" s="37" t="s">
        <v>1424</v>
      </c>
      <c r="D424" s="37" t="s">
        <v>1262</v>
      </c>
      <c r="E424" s="37" t="s">
        <v>1079</v>
      </c>
      <c r="F424" s="37" t="s">
        <v>1263</v>
      </c>
      <c r="G424" s="37" t="s">
        <v>1263</v>
      </c>
      <c r="H424" s="37" t="s">
        <v>1263</v>
      </c>
      <c r="I424" s="37" t="s">
        <v>1264</v>
      </c>
      <c r="J424" s="37" t="s">
        <v>1264</v>
      </c>
      <c r="K424" s="37" t="s">
        <v>1264</v>
      </c>
      <c r="L424" s="36">
        <v>1</v>
      </c>
      <c r="M424" s="36">
        <v>1</v>
      </c>
      <c r="N424" s="36">
        <v>1</v>
      </c>
      <c r="O424" s="36">
        <v>4</v>
      </c>
      <c r="P424" s="37" t="s">
        <v>265</v>
      </c>
      <c r="Q424" s="37"/>
      <c r="R424" s="37" t="s">
        <v>1425</v>
      </c>
    </row>
    <row r="425" spans="1:18" ht="27.7" hidden="1" thickBot="1" x14ac:dyDescent="0.55000000000000004">
      <c r="A425" s="36">
        <v>423</v>
      </c>
      <c r="B425" s="37" t="s">
        <v>1426</v>
      </c>
      <c r="C425" s="37" t="s">
        <v>1262</v>
      </c>
      <c r="D425" s="37" t="s">
        <v>1262</v>
      </c>
      <c r="E425" s="37" t="s">
        <v>1079</v>
      </c>
      <c r="F425" s="37" t="s">
        <v>1274</v>
      </c>
      <c r="G425" s="37" t="s">
        <v>1274</v>
      </c>
      <c r="H425" s="37" t="s">
        <v>1274</v>
      </c>
      <c r="I425" s="37" t="s">
        <v>1264</v>
      </c>
      <c r="J425" s="37" t="s">
        <v>1264</v>
      </c>
      <c r="K425" s="37" t="s">
        <v>1264</v>
      </c>
      <c r="L425" s="36">
        <v>1</v>
      </c>
      <c r="M425" s="36">
        <v>1</v>
      </c>
      <c r="N425" s="36">
        <v>1</v>
      </c>
      <c r="O425" s="36">
        <v>3</v>
      </c>
      <c r="P425" s="37" t="s">
        <v>292</v>
      </c>
      <c r="Q425" s="37"/>
      <c r="R425" s="37" t="s">
        <v>1427</v>
      </c>
    </row>
    <row r="426" spans="1:18" ht="27.7" hidden="1" thickBot="1" x14ac:dyDescent="0.55000000000000004">
      <c r="A426" s="36">
        <v>424</v>
      </c>
      <c r="B426" s="37" t="s">
        <v>1428</v>
      </c>
      <c r="C426" s="37" t="s">
        <v>1424</v>
      </c>
      <c r="D426" s="37" t="s">
        <v>1262</v>
      </c>
      <c r="E426" s="37" t="s">
        <v>1079</v>
      </c>
      <c r="F426" s="37" t="s">
        <v>1274</v>
      </c>
      <c r="G426" s="37" t="s">
        <v>1274</v>
      </c>
      <c r="H426" s="37" t="s">
        <v>1274</v>
      </c>
      <c r="I426" s="37" t="s">
        <v>1264</v>
      </c>
      <c r="J426" s="37" t="s">
        <v>1264</v>
      </c>
      <c r="K426" s="37" t="s">
        <v>1264</v>
      </c>
      <c r="L426" s="36">
        <v>1</v>
      </c>
      <c r="M426" s="36">
        <v>1</v>
      </c>
      <c r="N426" s="36">
        <v>1</v>
      </c>
      <c r="O426" s="36">
        <v>4</v>
      </c>
      <c r="P426" s="37" t="s">
        <v>292</v>
      </c>
      <c r="Q426" s="37"/>
      <c r="R426" s="37" t="s">
        <v>1429</v>
      </c>
    </row>
    <row r="427" spans="1:18" ht="27.7" hidden="1" thickBot="1" x14ac:dyDescent="0.55000000000000004">
      <c r="A427" s="36">
        <v>425</v>
      </c>
      <c r="B427" s="37" t="s">
        <v>1430</v>
      </c>
      <c r="C427" s="37" t="s">
        <v>1431</v>
      </c>
      <c r="D427" s="37" t="s">
        <v>1432</v>
      </c>
      <c r="E427" s="37" t="s">
        <v>1374</v>
      </c>
      <c r="F427" s="37" t="s">
        <v>1274</v>
      </c>
      <c r="G427" s="37" t="s">
        <v>1274</v>
      </c>
      <c r="H427" s="37" t="s">
        <v>1274</v>
      </c>
      <c r="I427" s="37" t="s">
        <v>1264</v>
      </c>
      <c r="J427" s="37" t="s">
        <v>1264</v>
      </c>
      <c r="K427" s="37" t="s">
        <v>1264</v>
      </c>
      <c r="L427" s="36">
        <v>2</v>
      </c>
      <c r="M427" s="36">
        <v>2</v>
      </c>
      <c r="N427" s="36">
        <v>2</v>
      </c>
      <c r="O427" s="36">
        <v>3</v>
      </c>
      <c r="P427" s="37" t="s">
        <v>292</v>
      </c>
      <c r="Q427" s="37"/>
      <c r="R427" s="37" t="s">
        <v>1433</v>
      </c>
    </row>
    <row r="428" spans="1:18" ht="27.7" hidden="1" thickBot="1" x14ac:dyDescent="0.55000000000000004">
      <c r="A428" s="36">
        <v>426</v>
      </c>
      <c r="B428" s="37" t="s">
        <v>1434</v>
      </c>
      <c r="C428" s="37" t="s">
        <v>1262</v>
      </c>
      <c r="D428" s="37" t="s">
        <v>1262</v>
      </c>
      <c r="E428" s="37" t="s">
        <v>1079</v>
      </c>
      <c r="F428" s="37" t="s">
        <v>1274</v>
      </c>
      <c r="G428" s="37" t="s">
        <v>1274</v>
      </c>
      <c r="H428" s="37" t="s">
        <v>1274</v>
      </c>
      <c r="I428" s="37" t="s">
        <v>1264</v>
      </c>
      <c r="J428" s="37" t="s">
        <v>1264</v>
      </c>
      <c r="K428" s="37" t="s">
        <v>1264</v>
      </c>
      <c r="L428" s="36">
        <v>1</v>
      </c>
      <c r="M428" s="36">
        <v>1</v>
      </c>
      <c r="N428" s="36">
        <v>1</v>
      </c>
      <c r="O428" s="36">
        <v>4</v>
      </c>
      <c r="P428" s="37" t="s">
        <v>292</v>
      </c>
      <c r="Q428" s="37"/>
      <c r="R428" s="37" t="s">
        <v>1435</v>
      </c>
    </row>
    <row r="429" spans="1:18" ht="27.7" hidden="1" thickBot="1" x14ac:dyDescent="0.55000000000000004">
      <c r="A429" s="36">
        <v>427</v>
      </c>
      <c r="B429" s="37" t="s">
        <v>1436</v>
      </c>
      <c r="C429" s="37" t="s">
        <v>1261</v>
      </c>
      <c r="D429" s="37" t="s">
        <v>1262</v>
      </c>
      <c r="E429" s="37" t="s">
        <v>1079</v>
      </c>
      <c r="F429" s="37" t="s">
        <v>1263</v>
      </c>
      <c r="G429" s="37" t="s">
        <v>1263</v>
      </c>
      <c r="H429" s="37" t="s">
        <v>1263</v>
      </c>
      <c r="I429" s="37" t="s">
        <v>1264</v>
      </c>
      <c r="J429" s="37" t="s">
        <v>1264</v>
      </c>
      <c r="K429" s="37" t="s">
        <v>1264</v>
      </c>
      <c r="L429" s="36">
        <v>1</v>
      </c>
      <c r="M429" s="36">
        <v>1</v>
      </c>
      <c r="N429" s="36">
        <v>1</v>
      </c>
      <c r="O429" s="36">
        <v>4</v>
      </c>
      <c r="P429" s="37" t="s">
        <v>292</v>
      </c>
      <c r="Q429" s="37"/>
      <c r="R429" s="37" t="s">
        <v>1437</v>
      </c>
    </row>
    <row r="430" spans="1:18" ht="27.7" hidden="1" thickBot="1" x14ac:dyDescent="0.55000000000000004">
      <c r="A430" s="36">
        <v>428</v>
      </c>
      <c r="B430" s="37" t="s">
        <v>1438</v>
      </c>
      <c r="C430" s="37" t="s">
        <v>1439</v>
      </c>
      <c r="D430" s="37" t="s">
        <v>1440</v>
      </c>
      <c r="E430" s="37" t="s">
        <v>1079</v>
      </c>
      <c r="F430" s="37" t="s">
        <v>1441</v>
      </c>
      <c r="G430" s="37" t="s">
        <v>1441</v>
      </c>
      <c r="H430" s="37" t="s">
        <v>1441</v>
      </c>
      <c r="I430" s="37" t="s">
        <v>944</v>
      </c>
      <c r="J430" s="37" t="s">
        <v>944</v>
      </c>
      <c r="K430" s="37" t="s">
        <v>105</v>
      </c>
      <c r="L430" s="36">
        <v>1</v>
      </c>
      <c r="M430" s="36">
        <v>1</v>
      </c>
      <c r="N430" s="36">
        <v>3</v>
      </c>
      <c r="O430" s="36">
        <v>5</v>
      </c>
      <c r="P430" s="37" t="s">
        <v>292</v>
      </c>
      <c r="Q430" s="37"/>
      <c r="R430" s="37" t="s">
        <v>1442</v>
      </c>
    </row>
    <row r="431" spans="1:18" ht="27.7" hidden="1" thickBot="1" x14ac:dyDescent="0.55000000000000004">
      <c r="A431" s="36">
        <v>429</v>
      </c>
      <c r="B431" s="37" t="s">
        <v>1443</v>
      </c>
      <c r="C431" s="37" t="s">
        <v>1444</v>
      </c>
      <c r="D431" s="37" t="s">
        <v>1440</v>
      </c>
      <c r="E431" s="37" t="s">
        <v>1079</v>
      </c>
      <c r="F431" s="37" t="s">
        <v>1441</v>
      </c>
      <c r="G431" s="37" t="s">
        <v>1441</v>
      </c>
      <c r="H431" s="37" t="s">
        <v>1441</v>
      </c>
      <c r="I431" s="37" t="s">
        <v>944</v>
      </c>
      <c r="J431" s="37" t="s">
        <v>944</v>
      </c>
      <c r="K431" s="37" t="s">
        <v>105</v>
      </c>
      <c r="L431" s="36">
        <v>1</v>
      </c>
      <c r="M431" s="36">
        <v>1</v>
      </c>
      <c r="N431" s="36">
        <v>1</v>
      </c>
      <c r="O431" s="36">
        <v>2</v>
      </c>
      <c r="P431" s="37" t="s">
        <v>292</v>
      </c>
      <c r="Q431" s="37" t="s">
        <v>1445</v>
      </c>
      <c r="R431" s="37" t="s">
        <v>1446</v>
      </c>
    </row>
    <row r="432" spans="1:18" ht="27.7" hidden="1" thickBot="1" x14ac:dyDescent="0.55000000000000004">
      <c r="A432" s="36">
        <v>430</v>
      </c>
      <c r="B432" s="37" t="s">
        <v>1447</v>
      </c>
      <c r="C432" s="37" t="s">
        <v>1444</v>
      </c>
      <c r="D432" s="37" t="s">
        <v>1440</v>
      </c>
      <c r="E432" s="37" t="s">
        <v>1079</v>
      </c>
      <c r="F432" s="37" t="s">
        <v>1441</v>
      </c>
      <c r="G432" s="37" t="s">
        <v>1441</v>
      </c>
      <c r="H432" s="37" t="s">
        <v>1441</v>
      </c>
      <c r="I432" s="37" t="s">
        <v>944</v>
      </c>
      <c r="J432" s="37" t="s">
        <v>944</v>
      </c>
      <c r="K432" s="37" t="s">
        <v>105</v>
      </c>
      <c r="L432" s="36">
        <v>1</v>
      </c>
      <c r="M432" s="36">
        <v>1</v>
      </c>
      <c r="N432" s="36">
        <v>1</v>
      </c>
      <c r="O432" s="36">
        <v>3</v>
      </c>
      <c r="P432" s="37" t="s">
        <v>292</v>
      </c>
      <c r="Q432" s="37" t="s">
        <v>1448</v>
      </c>
      <c r="R432" s="37" t="s">
        <v>1449</v>
      </c>
    </row>
    <row r="433" spans="1:18" ht="27.7" hidden="1" thickBot="1" x14ac:dyDescent="0.55000000000000004">
      <c r="A433" s="36">
        <v>431</v>
      </c>
      <c r="B433" s="37" t="s">
        <v>1450</v>
      </c>
      <c r="C433" s="37" t="s">
        <v>1444</v>
      </c>
      <c r="D433" s="37" t="s">
        <v>1440</v>
      </c>
      <c r="E433" s="37" t="s">
        <v>1079</v>
      </c>
      <c r="F433" s="37" t="s">
        <v>1441</v>
      </c>
      <c r="G433" s="37" t="s">
        <v>1441</v>
      </c>
      <c r="H433" s="37" t="s">
        <v>1441</v>
      </c>
      <c r="I433" s="37" t="s">
        <v>944</v>
      </c>
      <c r="J433" s="37" t="s">
        <v>944</v>
      </c>
      <c r="K433" s="37" t="s">
        <v>105</v>
      </c>
      <c r="L433" s="36">
        <v>1</v>
      </c>
      <c r="M433" s="36">
        <v>1</v>
      </c>
      <c r="N433" s="36">
        <v>3</v>
      </c>
      <c r="O433" s="36">
        <v>6</v>
      </c>
      <c r="P433" s="37" t="s">
        <v>292</v>
      </c>
      <c r="Q433" s="37" t="s">
        <v>1451</v>
      </c>
      <c r="R433" s="37" t="s">
        <v>1452</v>
      </c>
    </row>
    <row r="434" spans="1:18" ht="27.7" hidden="1" thickBot="1" x14ac:dyDescent="0.55000000000000004">
      <c r="A434" s="36">
        <v>432</v>
      </c>
      <c r="B434" s="37" t="s">
        <v>1453</v>
      </c>
      <c r="C434" s="37" t="s">
        <v>1444</v>
      </c>
      <c r="D434" s="37" t="s">
        <v>1440</v>
      </c>
      <c r="E434" s="37" t="s">
        <v>1079</v>
      </c>
      <c r="F434" s="37" t="s">
        <v>1441</v>
      </c>
      <c r="G434" s="37" t="s">
        <v>1441</v>
      </c>
      <c r="H434" s="37" t="s">
        <v>1441</v>
      </c>
      <c r="I434" s="37" t="s">
        <v>944</v>
      </c>
      <c r="J434" s="37" t="s">
        <v>944</v>
      </c>
      <c r="K434" s="37" t="s">
        <v>105</v>
      </c>
      <c r="L434" s="36">
        <v>1</v>
      </c>
      <c r="M434" s="36">
        <v>1</v>
      </c>
      <c r="N434" s="36">
        <v>3</v>
      </c>
      <c r="O434" s="36">
        <v>5</v>
      </c>
      <c r="P434" s="37" t="s">
        <v>292</v>
      </c>
      <c r="Q434" s="37"/>
      <c r="R434" s="37" t="s">
        <v>1454</v>
      </c>
    </row>
    <row r="435" spans="1:18" ht="27.7" hidden="1" thickBot="1" x14ac:dyDescent="0.55000000000000004">
      <c r="A435" s="36">
        <v>433</v>
      </c>
      <c r="B435" s="37" t="s">
        <v>1455</v>
      </c>
      <c r="C435" s="37" t="s">
        <v>1456</v>
      </c>
      <c r="D435" s="37" t="s">
        <v>1440</v>
      </c>
      <c r="E435" s="37" t="s">
        <v>1079</v>
      </c>
      <c r="F435" s="37" t="s">
        <v>1441</v>
      </c>
      <c r="G435" s="37" t="s">
        <v>1441</v>
      </c>
      <c r="H435" s="37" t="s">
        <v>1441</v>
      </c>
      <c r="I435" s="37" t="s">
        <v>944</v>
      </c>
      <c r="J435" s="37" t="s">
        <v>944</v>
      </c>
      <c r="K435" s="37" t="s">
        <v>105</v>
      </c>
      <c r="L435" s="36">
        <v>1</v>
      </c>
      <c r="M435" s="36">
        <v>1</v>
      </c>
      <c r="N435" s="36">
        <v>3</v>
      </c>
      <c r="O435" s="36">
        <v>5</v>
      </c>
      <c r="P435" s="37" t="s">
        <v>292</v>
      </c>
      <c r="Q435" s="37" t="s">
        <v>1457</v>
      </c>
      <c r="R435" s="37" t="s">
        <v>1458</v>
      </c>
    </row>
    <row r="436" spans="1:18" ht="27.7" hidden="1" thickBot="1" x14ac:dyDescent="0.55000000000000004">
      <c r="A436" s="36">
        <v>434</v>
      </c>
      <c r="B436" s="37" t="s">
        <v>1459</v>
      </c>
      <c r="C436" s="37" t="s">
        <v>1456</v>
      </c>
      <c r="D436" s="37" t="s">
        <v>1440</v>
      </c>
      <c r="E436" s="37" t="s">
        <v>1079</v>
      </c>
      <c r="F436" s="37" t="s">
        <v>1441</v>
      </c>
      <c r="G436" s="37" t="s">
        <v>1441</v>
      </c>
      <c r="H436" s="37" t="s">
        <v>1441</v>
      </c>
      <c r="I436" s="37" t="s">
        <v>944</v>
      </c>
      <c r="J436" s="37" t="s">
        <v>944</v>
      </c>
      <c r="K436" s="37" t="s">
        <v>105</v>
      </c>
      <c r="L436" s="36">
        <v>1</v>
      </c>
      <c r="M436" s="36">
        <v>1</v>
      </c>
      <c r="N436" s="36">
        <v>3</v>
      </c>
      <c r="O436" s="36">
        <v>5</v>
      </c>
      <c r="P436" s="37" t="s">
        <v>292</v>
      </c>
      <c r="Q436" s="37"/>
      <c r="R436" s="37" t="s">
        <v>1460</v>
      </c>
    </row>
    <row r="437" spans="1:18" ht="27.7" hidden="1" thickBot="1" x14ac:dyDescent="0.55000000000000004">
      <c r="A437" s="36">
        <v>435</v>
      </c>
      <c r="B437" s="37" t="s">
        <v>1461</v>
      </c>
      <c r="C437" s="37" t="s">
        <v>1456</v>
      </c>
      <c r="D437" s="37" t="s">
        <v>1440</v>
      </c>
      <c r="E437" s="37" t="s">
        <v>1079</v>
      </c>
      <c r="F437" s="37" t="s">
        <v>1441</v>
      </c>
      <c r="G437" s="37" t="s">
        <v>1441</v>
      </c>
      <c r="H437" s="37" t="s">
        <v>1441</v>
      </c>
      <c r="I437" s="37" t="s">
        <v>944</v>
      </c>
      <c r="J437" s="37" t="s">
        <v>944</v>
      </c>
      <c r="K437" s="37" t="s">
        <v>105</v>
      </c>
      <c r="L437" s="36">
        <v>2</v>
      </c>
      <c r="M437" s="36">
        <v>2</v>
      </c>
      <c r="N437" s="36">
        <v>3</v>
      </c>
      <c r="O437" s="36">
        <v>5</v>
      </c>
      <c r="P437" s="37" t="s">
        <v>292</v>
      </c>
      <c r="Q437" s="37"/>
      <c r="R437" s="37" t="s">
        <v>1462</v>
      </c>
    </row>
    <row r="438" spans="1:18" ht="27.7" hidden="1" thickBot="1" x14ac:dyDescent="0.55000000000000004">
      <c r="A438" s="36">
        <v>436</v>
      </c>
      <c r="B438" s="37" t="s">
        <v>1463</v>
      </c>
      <c r="C438" s="37" t="s">
        <v>1464</v>
      </c>
      <c r="D438" s="37" t="s">
        <v>1366</v>
      </c>
      <c r="E438" s="37" t="s">
        <v>1345</v>
      </c>
      <c r="F438" s="37" t="s">
        <v>1464</v>
      </c>
      <c r="G438" s="37" t="s">
        <v>1464</v>
      </c>
      <c r="H438" s="37" t="s">
        <v>1464</v>
      </c>
      <c r="I438" s="37" t="s">
        <v>1465</v>
      </c>
      <c r="J438" s="37" t="s">
        <v>1465</v>
      </c>
      <c r="K438" s="37" t="s">
        <v>88</v>
      </c>
      <c r="L438" s="36">
        <v>1</v>
      </c>
      <c r="M438" s="36">
        <v>1</v>
      </c>
      <c r="N438" s="36">
        <v>1</v>
      </c>
      <c r="O438" s="36">
        <v>3</v>
      </c>
      <c r="P438" s="37" t="s">
        <v>292</v>
      </c>
      <c r="Q438" s="37"/>
      <c r="R438" s="37" t="s">
        <v>1466</v>
      </c>
    </row>
    <row r="439" spans="1:18" ht="41.35" hidden="1" thickBot="1" x14ac:dyDescent="0.55000000000000004">
      <c r="A439" s="36">
        <v>437</v>
      </c>
      <c r="B439" s="37" t="s">
        <v>1467</v>
      </c>
      <c r="C439" s="37" t="s">
        <v>1239</v>
      </c>
      <c r="D439" s="37" t="s">
        <v>1239</v>
      </c>
      <c r="E439" s="37" t="s">
        <v>502</v>
      </c>
      <c r="F439" s="37" t="s">
        <v>1240</v>
      </c>
      <c r="G439" s="37" t="s">
        <v>1240</v>
      </c>
      <c r="H439" s="37" t="s">
        <v>1240</v>
      </c>
      <c r="I439" s="37" t="s">
        <v>944</v>
      </c>
      <c r="J439" s="37" t="s">
        <v>944</v>
      </c>
      <c r="K439" s="37" t="s">
        <v>105</v>
      </c>
      <c r="L439" s="36">
        <v>1</v>
      </c>
      <c r="M439" s="36">
        <v>4</v>
      </c>
      <c r="N439" s="36">
        <v>5</v>
      </c>
      <c r="O439" s="36">
        <v>7</v>
      </c>
      <c r="P439" s="37" t="s">
        <v>292</v>
      </c>
      <c r="Q439" s="37" t="s">
        <v>1468</v>
      </c>
      <c r="R439" s="37" t="s">
        <v>1469</v>
      </c>
    </row>
    <row r="440" spans="1:18" ht="41.35" hidden="1" thickBot="1" x14ac:dyDescent="0.55000000000000004">
      <c r="A440" s="36">
        <v>438</v>
      </c>
      <c r="B440" s="37" t="s">
        <v>1470</v>
      </c>
      <c r="C440" s="37" t="s">
        <v>1471</v>
      </c>
      <c r="D440" s="37" t="s">
        <v>1239</v>
      </c>
      <c r="E440" s="37" t="s">
        <v>502</v>
      </c>
      <c r="F440" s="37" t="s">
        <v>1240</v>
      </c>
      <c r="G440" s="37" t="s">
        <v>1240</v>
      </c>
      <c r="H440" s="37" t="s">
        <v>1240</v>
      </c>
      <c r="I440" s="37" t="s">
        <v>944</v>
      </c>
      <c r="J440" s="37" t="s">
        <v>944</v>
      </c>
      <c r="K440" s="37" t="s">
        <v>105</v>
      </c>
      <c r="L440" s="36">
        <v>1</v>
      </c>
      <c r="M440" s="36">
        <v>1</v>
      </c>
      <c r="N440" s="36">
        <v>3</v>
      </c>
      <c r="O440" s="36">
        <v>5</v>
      </c>
      <c r="P440" s="37" t="s">
        <v>292</v>
      </c>
      <c r="Q440" s="37"/>
      <c r="R440" s="37" t="s">
        <v>1472</v>
      </c>
    </row>
    <row r="441" spans="1:18" ht="41.35" hidden="1" thickBot="1" x14ac:dyDescent="0.55000000000000004">
      <c r="A441" s="36">
        <v>439</v>
      </c>
      <c r="B441" s="37" t="s">
        <v>1473</v>
      </c>
      <c r="C441" s="37" t="s">
        <v>1239</v>
      </c>
      <c r="D441" s="37" t="s">
        <v>1239</v>
      </c>
      <c r="E441" s="37" t="s">
        <v>502</v>
      </c>
      <c r="F441" s="37" t="s">
        <v>1240</v>
      </c>
      <c r="G441" s="37" t="s">
        <v>1240</v>
      </c>
      <c r="H441" s="37" t="s">
        <v>1240</v>
      </c>
      <c r="I441" s="37" t="s">
        <v>944</v>
      </c>
      <c r="J441" s="37" t="s">
        <v>944</v>
      </c>
      <c r="K441" s="37" t="s">
        <v>105</v>
      </c>
      <c r="L441" s="36">
        <v>1</v>
      </c>
      <c r="M441" s="36">
        <v>3</v>
      </c>
      <c r="N441" s="36">
        <v>3</v>
      </c>
      <c r="O441" s="36">
        <v>4</v>
      </c>
      <c r="P441" s="37" t="s">
        <v>292</v>
      </c>
      <c r="Q441" s="37" t="s">
        <v>1474</v>
      </c>
      <c r="R441" s="37" t="s">
        <v>1475</v>
      </c>
    </row>
    <row r="442" spans="1:18" ht="41.35" hidden="1" thickBot="1" x14ac:dyDescent="0.55000000000000004">
      <c r="A442" s="36">
        <v>440</v>
      </c>
      <c r="B442" s="37" t="s">
        <v>1476</v>
      </c>
      <c r="C442" s="37" t="s">
        <v>1471</v>
      </c>
      <c r="D442" s="37" t="s">
        <v>1239</v>
      </c>
      <c r="E442" s="37" t="s">
        <v>502</v>
      </c>
      <c r="F442" s="37" t="s">
        <v>1240</v>
      </c>
      <c r="G442" s="37" t="s">
        <v>1240</v>
      </c>
      <c r="H442" s="37" t="s">
        <v>1240</v>
      </c>
      <c r="I442" s="37" t="s">
        <v>944</v>
      </c>
      <c r="J442" s="37" t="s">
        <v>105</v>
      </c>
      <c r="K442" s="37" t="s">
        <v>105</v>
      </c>
      <c r="L442" s="36">
        <v>2</v>
      </c>
      <c r="M442" s="36">
        <v>3</v>
      </c>
      <c r="N442" s="36">
        <v>4</v>
      </c>
      <c r="O442" s="36">
        <v>5</v>
      </c>
      <c r="P442" s="37" t="s">
        <v>292</v>
      </c>
      <c r="Q442" s="37"/>
      <c r="R442" s="37" t="s">
        <v>1477</v>
      </c>
    </row>
    <row r="443" spans="1:18" ht="41.35" hidden="1" thickBot="1" x14ac:dyDescent="0.55000000000000004">
      <c r="A443" s="36">
        <v>441</v>
      </c>
      <c r="B443" s="37" t="s">
        <v>1478</v>
      </c>
      <c r="C443" s="37" t="s">
        <v>1471</v>
      </c>
      <c r="D443" s="37" t="s">
        <v>1239</v>
      </c>
      <c r="E443" s="37" t="s">
        <v>502</v>
      </c>
      <c r="F443" s="37" t="s">
        <v>1240</v>
      </c>
      <c r="G443" s="37" t="s">
        <v>1240</v>
      </c>
      <c r="H443" s="37" t="s">
        <v>1240</v>
      </c>
      <c r="I443" s="37" t="s">
        <v>944</v>
      </c>
      <c r="J443" s="37" t="s">
        <v>105</v>
      </c>
      <c r="K443" s="37" t="s">
        <v>105</v>
      </c>
      <c r="L443" s="36">
        <v>2</v>
      </c>
      <c r="M443" s="36">
        <v>3</v>
      </c>
      <c r="N443" s="36">
        <v>3</v>
      </c>
      <c r="O443" s="36">
        <v>4</v>
      </c>
      <c r="P443" s="37" t="s">
        <v>292</v>
      </c>
      <c r="Q443" s="37"/>
      <c r="R443" s="37" t="s">
        <v>1479</v>
      </c>
    </row>
    <row r="444" spans="1:18" ht="27.7" hidden="1" thickBot="1" x14ac:dyDescent="0.55000000000000004">
      <c r="A444" s="36">
        <v>442</v>
      </c>
      <c r="B444" s="37" t="s">
        <v>1480</v>
      </c>
      <c r="C444" s="37" t="s">
        <v>1481</v>
      </c>
      <c r="D444" s="37" t="s">
        <v>1482</v>
      </c>
      <c r="E444" s="37" t="s">
        <v>1483</v>
      </c>
      <c r="F444" s="37" t="s">
        <v>1240</v>
      </c>
      <c r="G444" s="37" t="s">
        <v>1240</v>
      </c>
      <c r="H444" s="37" t="s">
        <v>1484</v>
      </c>
      <c r="I444" s="37" t="s">
        <v>944</v>
      </c>
      <c r="J444" s="37" t="s">
        <v>105</v>
      </c>
      <c r="K444" s="37" t="s">
        <v>105</v>
      </c>
      <c r="L444" s="36">
        <v>1</v>
      </c>
      <c r="M444" s="36">
        <v>1</v>
      </c>
      <c r="N444" s="36">
        <v>3</v>
      </c>
      <c r="O444" s="36">
        <v>4</v>
      </c>
      <c r="P444" s="37" t="s">
        <v>292</v>
      </c>
      <c r="Q444" s="37"/>
      <c r="R444" s="37" t="s">
        <v>1485</v>
      </c>
    </row>
    <row r="445" spans="1:18" ht="27.7" hidden="1" thickBot="1" x14ac:dyDescent="0.55000000000000004">
      <c r="A445" s="36">
        <v>443</v>
      </c>
      <c r="B445" s="37" t="s">
        <v>1486</v>
      </c>
      <c r="C445" s="37" t="s">
        <v>1481</v>
      </c>
      <c r="D445" s="37" t="s">
        <v>1482</v>
      </c>
      <c r="E445" s="37" t="s">
        <v>1483</v>
      </c>
      <c r="F445" s="37" t="s">
        <v>1240</v>
      </c>
      <c r="G445" s="37" t="s">
        <v>1240</v>
      </c>
      <c r="H445" s="37" t="s">
        <v>1240</v>
      </c>
      <c r="I445" s="37" t="s">
        <v>944</v>
      </c>
      <c r="J445" s="37" t="s">
        <v>105</v>
      </c>
      <c r="K445" s="37" t="s">
        <v>105</v>
      </c>
      <c r="L445" s="36">
        <v>1</v>
      </c>
      <c r="M445" s="36">
        <v>1</v>
      </c>
      <c r="N445" s="36">
        <v>3</v>
      </c>
      <c r="O445" s="36">
        <v>4</v>
      </c>
      <c r="P445" s="37" t="s">
        <v>292</v>
      </c>
      <c r="Q445" s="37" t="s">
        <v>1487</v>
      </c>
      <c r="R445" s="37" t="s">
        <v>1488</v>
      </c>
    </row>
    <row r="446" spans="1:18" ht="55" hidden="1" thickBot="1" x14ac:dyDescent="0.55000000000000004">
      <c r="A446" s="36">
        <v>444</v>
      </c>
      <c r="B446" s="37" t="s">
        <v>1489</v>
      </c>
      <c r="C446" s="37" t="s">
        <v>1489</v>
      </c>
      <c r="D446" s="37" t="s">
        <v>1482</v>
      </c>
      <c r="E446" s="37" t="s">
        <v>1483</v>
      </c>
      <c r="F446" s="37" t="s">
        <v>1490</v>
      </c>
      <c r="G446" s="37" t="s">
        <v>1240</v>
      </c>
      <c r="H446" s="37" t="s">
        <v>1484</v>
      </c>
      <c r="I446" s="37" t="s">
        <v>1465</v>
      </c>
      <c r="J446" s="37" t="s">
        <v>105</v>
      </c>
      <c r="K446" s="37" t="s">
        <v>105</v>
      </c>
      <c r="L446" s="36">
        <v>1</v>
      </c>
      <c r="M446" s="36">
        <v>3</v>
      </c>
      <c r="N446" s="36">
        <v>3</v>
      </c>
      <c r="O446" s="36">
        <v>5</v>
      </c>
      <c r="P446" s="37" t="s">
        <v>292</v>
      </c>
      <c r="Q446" s="37" t="s">
        <v>1491</v>
      </c>
      <c r="R446" s="37" t="s">
        <v>1492</v>
      </c>
    </row>
    <row r="447" spans="1:18" ht="41.35" hidden="1" thickBot="1" x14ac:dyDescent="0.55000000000000004">
      <c r="A447" s="36">
        <v>445</v>
      </c>
      <c r="B447" s="37" t="s">
        <v>1493</v>
      </c>
      <c r="C447" s="37" t="s">
        <v>1489</v>
      </c>
      <c r="D447" s="37" t="s">
        <v>1482</v>
      </c>
      <c r="E447" s="37" t="s">
        <v>1483</v>
      </c>
      <c r="F447" s="37" t="s">
        <v>1240</v>
      </c>
      <c r="G447" s="37" t="s">
        <v>1240</v>
      </c>
      <c r="H447" s="37" t="s">
        <v>1240</v>
      </c>
      <c r="I447" s="37" t="s">
        <v>944</v>
      </c>
      <c r="J447" s="37" t="s">
        <v>105</v>
      </c>
      <c r="K447" s="37" t="s">
        <v>105</v>
      </c>
      <c r="L447" s="36">
        <v>2</v>
      </c>
      <c r="M447" s="36">
        <v>4</v>
      </c>
      <c r="N447" s="36">
        <v>4</v>
      </c>
      <c r="O447" s="36">
        <v>5</v>
      </c>
      <c r="P447" s="37" t="s">
        <v>292</v>
      </c>
      <c r="Q447" s="37" t="s">
        <v>1494</v>
      </c>
      <c r="R447" s="37" t="s">
        <v>1495</v>
      </c>
    </row>
    <row r="448" spans="1:18" ht="41.35" hidden="1" thickBot="1" x14ac:dyDescent="0.55000000000000004">
      <c r="A448" s="36">
        <v>446</v>
      </c>
      <c r="B448" s="37" t="s">
        <v>1496</v>
      </c>
      <c r="C448" s="37" t="s">
        <v>1471</v>
      </c>
      <c r="D448" s="37" t="s">
        <v>1239</v>
      </c>
      <c r="E448" s="37" t="s">
        <v>502</v>
      </c>
      <c r="F448" s="37" t="s">
        <v>1240</v>
      </c>
      <c r="G448" s="37" t="s">
        <v>1240</v>
      </c>
      <c r="H448" s="37" t="s">
        <v>1240</v>
      </c>
      <c r="I448" s="37" t="s">
        <v>944</v>
      </c>
      <c r="J448" s="37" t="s">
        <v>105</v>
      </c>
      <c r="K448" s="37" t="s">
        <v>105</v>
      </c>
      <c r="L448" s="36">
        <v>2</v>
      </c>
      <c r="M448" s="36">
        <v>4</v>
      </c>
      <c r="N448" s="36">
        <v>4</v>
      </c>
      <c r="O448" s="36">
        <v>4</v>
      </c>
      <c r="P448" s="37" t="s">
        <v>292</v>
      </c>
      <c r="Q448" s="37"/>
      <c r="R448" s="37" t="s">
        <v>1497</v>
      </c>
    </row>
    <row r="449" spans="1:18" ht="41.35" hidden="1" thickBot="1" x14ac:dyDescent="0.55000000000000004">
      <c r="A449" s="36">
        <v>447</v>
      </c>
      <c r="B449" s="37" t="s">
        <v>1498</v>
      </c>
      <c r="C449" s="37" t="s">
        <v>1499</v>
      </c>
      <c r="D449" s="37" t="s">
        <v>1110</v>
      </c>
      <c r="E449" s="37" t="s">
        <v>502</v>
      </c>
      <c r="F449" s="37" t="s">
        <v>515</v>
      </c>
      <c r="G449" s="37" t="s">
        <v>515</v>
      </c>
      <c r="H449" s="37" t="s">
        <v>515</v>
      </c>
      <c r="I449" s="37" t="s">
        <v>105</v>
      </c>
      <c r="J449" s="37" t="s">
        <v>105</v>
      </c>
      <c r="K449" s="37" t="s">
        <v>105</v>
      </c>
      <c r="L449" s="36">
        <v>2</v>
      </c>
      <c r="M449" s="36">
        <v>2</v>
      </c>
      <c r="N449" s="36">
        <v>2</v>
      </c>
      <c r="O449" s="36">
        <v>3</v>
      </c>
      <c r="P449" s="37" t="s">
        <v>292</v>
      </c>
      <c r="Q449" s="37"/>
      <c r="R449" s="37" t="s">
        <v>1500</v>
      </c>
    </row>
    <row r="450" spans="1:18" ht="41.35" hidden="1" thickBot="1" x14ac:dyDescent="0.55000000000000004">
      <c r="A450" s="36">
        <v>448</v>
      </c>
      <c r="B450" s="37" t="s">
        <v>1501</v>
      </c>
      <c r="C450" s="37" t="s">
        <v>1501</v>
      </c>
      <c r="D450" s="37" t="s">
        <v>1110</v>
      </c>
      <c r="E450" s="37" t="s">
        <v>502</v>
      </c>
      <c r="F450" s="37" t="s">
        <v>515</v>
      </c>
      <c r="G450" s="37" t="s">
        <v>515</v>
      </c>
      <c r="H450" s="37" t="s">
        <v>515</v>
      </c>
      <c r="I450" s="37" t="s">
        <v>105</v>
      </c>
      <c r="J450" s="37" t="s">
        <v>105</v>
      </c>
      <c r="K450" s="37" t="s">
        <v>105</v>
      </c>
      <c r="L450" s="36">
        <v>3</v>
      </c>
      <c r="M450" s="36">
        <v>3</v>
      </c>
      <c r="N450" s="36">
        <v>3</v>
      </c>
      <c r="O450" s="36">
        <v>4</v>
      </c>
      <c r="P450" s="37" t="s">
        <v>292</v>
      </c>
      <c r="Q450" s="37"/>
      <c r="R450" s="37" t="s">
        <v>1502</v>
      </c>
    </row>
    <row r="451" spans="1:18" ht="55" hidden="1" thickBot="1" x14ac:dyDescent="0.55000000000000004">
      <c r="A451" s="36">
        <v>449</v>
      </c>
      <c r="B451" s="37" t="s">
        <v>1503</v>
      </c>
      <c r="C451" s="37" t="s">
        <v>1499</v>
      </c>
      <c r="D451" s="37" t="s">
        <v>1110</v>
      </c>
      <c r="E451" s="37" t="s">
        <v>502</v>
      </c>
      <c r="F451" s="37" t="s">
        <v>1504</v>
      </c>
      <c r="G451" s="37" t="s">
        <v>515</v>
      </c>
      <c r="H451" s="37" t="s">
        <v>515</v>
      </c>
      <c r="I451" s="37" t="s">
        <v>944</v>
      </c>
      <c r="J451" s="37" t="s">
        <v>105</v>
      </c>
      <c r="K451" s="37" t="s">
        <v>105</v>
      </c>
      <c r="L451" s="36">
        <v>1</v>
      </c>
      <c r="M451" s="36">
        <v>3</v>
      </c>
      <c r="N451" s="36">
        <v>3</v>
      </c>
      <c r="O451" s="36">
        <v>5</v>
      </c>
      <c r="P451" s="37" t="s">
        <v>292</v>
      </c>
      <c r="Q451" s="37" t="s">
        <v>1505</v>
      </c>
      <c r="R451" s="37" t="s">
        <v>1506</v>
      </c>
    </row>
    <row r="452" spans="1:18" ht="27.7" hidden="1" thickBot="1" x14ac:dyDescent="0.55000000000000004">
      <c r="A452" s="36">
        <v>450</v>
      </c>
      <c r="B452" s="37" t="s">
        <v>1507</v>
      </c>
      <c r="C452" s="37" t="s">
        <v>1489</v>
      </c>
      <c r="D452" s="37" t="s">
        <v>1482</v>
      </c>
      <c r="E452" s="37" t="s">
        <v>1483</v>
      </c>
      <c r="F452" s="37" t="s">
        <v>1504</v>
      </c>
      <c r="G452" s="37" t="s">
        <v>1504</v>
      </c>
      <c r="H452" s="37" t="s">
        <v>1484</v>
      </c>
      <c r="I452" s="37" t="s">
        <v>944</v>
      </c>
      <c r="J452" s="37" t="s">
        <v>105</v>
      </c>
      <c r="K452" s="37" t="s">
        <v>105</v>
      </c>
      <c r="L452" s="36">
        <v>1</v>
      </c>
      <c r="M452" s="36">
        <v>3</v>
      </c>
      <c r="N452" s="36">
        <v>3</v>
      </c>
      <c r="O452" s="36">
        <v>4</v>
      </c>
      <c r="P452" s="37" t="s">
        <v>292</v>
      </c>
      <c r="Q452" s="37" t="s">
        <v>1508</v>
      </c>
      <c r="R452" s="37" t="s">
        <v>1509</v>
      </c>
    </row>
    <row r="453" spans="1:18" ht="27.7" hidden="1" thickBot="1" x14ac:dyDescent="0.55000000000000004">
      <c r="A453" s="36">
        <v>451</v>
      </c>
      <c r="B453" s="37" t="s">
        <v>1510</v>
      </c>
      <c r="C453" s="37" t="s">
        <v>1511</v>
      </c>
      <c r="D453" s="37" t="s">
        <v>1482</v>
      </c>
      <c r="E453" s="37" t="s">
        <v>1483</v>
      </c>
      <c r="F453" s="37" t="s">
        <v>1490</v>
      </c>
      <c r="G453" s="37" t="s">
        <v>1504</v>
      </c>
      <c r="H453" s="37" t="s">
        <v>1484</v>
      </c>
      <c r="I453" s="37" t="s">
        <v>1465</v>
      </c>
      <c r="J453" s="37" t="s">
        <v>105</v>
      </c>
      <c r="K453" s="37" t="s">
        <v>105</v>
      </c>
      <c r="L453" s="36">
        <v>1</v>
      </c>
      <c r="M453" s="36">
        <v>3</v>
      </c>
      <c r="N453" s="36">
        <v>3</v>
      </c>
      <c r="O453" s="36">
        <v>4</v>
      </c>
      <c r="P453" s="37" t="s">
        <v>292</v>
      </c>
      <c r="Q453" s="37" t="s">
        <v>1512</v>
      </c>
      <c r="R453" s="37" t="s">
        <v>1513</v>
      </c>
    </row>
    <row r="454" spans="1:18" ht="68.7" hidden="1" thickBot="1" x14ac:dyDescent="0.55000000000000004">
      <c r="A454" s="36">
        <v>452</v>
      </c>
      <c r="B454" s="37" t="s">
        <v>1511</v>
      </c>
      <c r="C454" s="37" t="s">
        <v>1511</v>
      </c>
      <c r="D454" s="37" t="s">
        <v>1482</v>
      </c>
      <c r="E454" s="37" t="s">
        <v>1483</v>
      </c>
      <c r="F454" s="37" t="s">
        <v>1490</v>
      </c>
      <c r="G454" s="37" t="s">
        <v>1504</v>
      </c>
      <c r="H454" s="37" t="s">
        <v>1484</v>
      </c>
      <c r="I454" s="37" t="s">
        <v>1465</v>
      </c>
      <c r="J454" s="37" t="s">
        <v>105</v>
      </c>
      <c r="K454" s="37" t="s">
        <v>105</v>
      </c>
      <c r="L454" s="36">
        <v>1</v>
      </c>
      <c r="M454" s="36">
        <v>3</v>
      </c>
      <c r="N454" s="36">
        <v>3</v>
      </c>
      <c r="O454" s="36">
        <v>5</v>
      </c>
      <c r="P454" s="37" t="s">
        <v>292</v>
      </c>
      <c r="Q454" s="37" t="s">
        <v>1514</v>
      </c>
      <c r="R454" s="37" t="s">
        <v>1515</v>
      </c>
    </row>
    <row r="455" spans="1:18" ht="41.35" hidden="1" thickBot="1" x14ac:dyDescent="0.55000000000000004">
      <c r="A455" s="36">
        <v>453</v>
      </c>
      <c r="B455" s="37" t="s">
        <v>1516</v>
      </c>
      <c r="C455" s="37" t="s">
        <v>1511</v>
      </c>
      <c r="D455" s="37" t="s">
        <v>1482</v>
      </c>
      <c r="E455" s="37" t="s">
        <v>1483</v>
      </c>
      <c r="F455" s="37" t="s">
        <v>1490</v>
      </c>
      <c r="G455" s="37" t="s">
        <v>1504</v>
      </c>
      <c r="H455" s="37" t="s">
        <v>1484</v>
      </c>
      <c r="I455" s="37" t="s">
        <v>1465</v>
      </c>
      <c r="J455" s="37" t="s">
        <v>105</v>
      </c>
      <c r="K455" s="37" t="s">
        <v>105</v>
      </c>
      <c r="L455" s="36">
        <v>1</v>
      </c>
      <c r="M455" s="36">
        <v>3</v>
      </c>
      <c r="N455" s="36">
        <v>3</v>
      </c>
      <c r="O455" s="36">
        <v>4</v>
      </c>
      <c r="P455" s="37" t="s">
        <v>292</v>
      </c>
      <c r="Q455" s="37" t="s">
        <v>1517</v>
      </c>
      <c r="R455" s="37" t="s">
        <v>1518</v>
      </c>
    </row>
    <row r="456" spans="1:18" ht="41.35" hidden="1" thickBot="1" x14ac:dyDescent="0.55000000000000004">
      <c r="A456" s="36">
        <v>454</v>
      </c>
      <c r="B456" s="37" t="s">
        <v>1519</v>
      </c>
      <c r="C456" s="37" t="s">
        <v>1511</v>
      </c>
      <c r="D456" s="37" t="s">
        <v>1482</v>
      </c>
      <c r="E456" s="37" t="s">
        <v>1483</v>
      </c>
      <c r="F456" s="37" t="s">
        <v>1504</v>
      </c>
      <c r="G456" s="37" t="s">
        <v>1504</v>
      </c>
      <c r="H456" s="37" t="s">
        <v>1484</v>
      </c>
      <c r="I456" s="37" t="s">
        <v>944</v>
      </c>
      <c r="J456" s="37" t="s">
        <v>105</v>
      </c>
      <c r="K456" s="37" t="s">
        <v>105</v>
      </c>
      <c r="L456" s="36">
        <v>1</v>
      </c>
      <c r="M456" s="36">
        <v>3</v>
      </c>
      <c r="N456" s="36">
        <v>3</v>
      </c>
      <c r="O456" s="36">
        <v>4</v>
      </c>
      <c r="P456" s="37" t="s">
        <v>292</v>
      </c>
      <c r="Q456" s="37" t="s">
        <v>1520</v>
      </c>
      <c r="R456" s="37" t="s">
        <v>1521</v>
      </c>
    </row>
    <row r="457" spans="1:18" ht="41.35" hidden="1" thickBot="1" x14ac:dyDescent="0.55000000000000004">
      <c r="A457" s="36">
        <v>455</v>
      </c>
      <c r="B457" s="37" t="s">
        <v>1522</v>
      </c>
      <c r="C457" s="37" t="s">
        <v>1499</v>
      </c>
      <c r="D457" s="37" t="s">
        <v>1110</v>
      </c>
      <c r="E457" s="37" t="s">
        <v>502</v>
      </c>
      <c r="F457" s="37" t="s">
        <v>1504</v>
      </c>
      <c r="G457" s="37" t="s">
        <v>515</v>
      </c>
      <c r="H457" s="37" t="s">
        <v>515</v>
      </c>
      <c r="I457" s="37" t="s">
        <v>944</v>
      </c>
      <c r="J457" s="37" t="s">
        <v>105</v>
      </c>
      <c r="K457" s="37" t="s">
        <v>105</v>
      </c>
      <c r="L457" s="36">
        <v>1</v>
      </c>
      <c r="M457" s="36">
        <v>1</v>
      </c>
      <c r="N457" s="36">
        <v>1</v>
      </c>
      <c r="O457" s="36">
        <v>3</v>
      </c>
      <c r="P457" s="37" t="s">
        <v>292</v>
      </c>
      <c r="Q457" s="37"/>
      <c r="R457" s="37" t="s">
        <v>1523</v>
      </c>
    </row>
    <row r="458" spans="1:18" ht="41.35" hidden="1" thickBot="1" x14ac:dyDescent="0.55000000000000004">
      <c r="A458" s="36">
        <v>456</v>
      </c>
      <c r="B458" s="37" t="s">
        <v>1524</v>
      </c>
      <c r="C458" s="37" t="s">
        <v>1227</v>
      </c>
      <c r="D458" s="37" t="s">
        <v>1227</v>
      </c>
      <c r="E458" s="37" t="s">
        <v>502</v>
      </c>
      <c r="F458" s="37" t="s">
        <v>1504</v>
      </c>
      <c r="G458" s="37" t="s">
        <v>1504</v>
      </c>
      <c r="H458" s="37" t="s">
        <v>1504</v>
      </c>
      <c r="I458" s="37" t="s">
        <v>944</v>
      </c>
      <c r="J458" s="37" t="s">
        <v>105</v>
      </c>
      <c r="K458" s="37" t="s">
        <v>105</v>
      </c>
      <c r="L458" s="36">
        <v>1</v>
      </c>
      <c r="M458" s="36">
        <v>3</v>
      </c>
      <c r="N458" s="36">
        <v>3</v>
      </c>
      <c r="O458" s="36">
        <v>4</v>
      </c>
      <c r="P458" s="37" t="s">
        <v>292</v>
      </c>
      <c r="Q458" s="37"/>
      <c r="R458" s="37" t="s">
        <v>1525</v>
      </c>
    </row>
    <row r="459" spans="1:18" ht="41.35" hidden="1" thickBot="1" x14ac:dyDescent="0.55000000000000004">
      <c r="A459" s="36">
        <v>457</v>
      </c>
      <c r="B459" s="37" t="s">
        <v>1526</v>
      </c>
      <c r="C459" s="37" t="s">
        <v>1527</v>
      </c>
      <c r="D459" s="37" t="s">
        <v>1227</v>
      </c>
      <c r="E459" s="37" t="s">
        <v>502</v>
      </c>
      <c r="F459" s="37" t="s">
        <v>1504</v>
      </c>
      <c r="G459" s="37" t="s">
        <v>1504</v>
      </c>
      <c r="H459" s="37" t="s">
        <v>1504</v>
      </c>
      <c r="I459" s="37" t="s">
        <v>944</v>
      </c>
      <c r="J459" s="37" t="s">
        <v>105</v>
      </c>
      <c r="K459" s="37" t="s">
        <v>105</v>
      </c>
      <c r="L459" s="36">
        <v>1</v>
      </c>
      <c r="M459" s="36">
        <v>3</v>
      </c>
      <c r="N459" s="36">
        <v>3</v>
      </c>
      <c r="O459" s="36">
        <v>4</v>
      </c>
      <c r="P459" s="37" t="s">
        <v>292</v>
      </c>
      <c r="Q459" s="37"/>
      <c r="R459" s="37" t="s">
        <v>1528</v>
      </c>
    </row>
    <row r="460" spans="1:18" ht="41.35" hidden="1" thickBot="1" x14ac:dyDescent="0.55000000000000004">
      <c r="A460" s="36">
        <v>458</v>
      </c>
      <c r="B460" s="37" t="s">
        <v>1529</v>
      </c>
      <c r="C460" s="37" t="s">
        <v>1527</v>
      </c>
      <c r="D460" s="37" t="s">
        <v>1227</v>
      </c>
      <c r="E460" s="37" t="s">
        <v>502</v>
      </c>
      <c r="F460" s="37" t="s">
        <v>1530</v>
      </c>
      <c r="G460" s="37" t="s">
        <v>1530</v>
      </c>
      <c r="H460" s="37" t="s">
        <v>1530</v>
      </c>
      <c r="I460" s="37" t="s">
        <v>105</v>
      </c>
      <c r="J460" s="37" t="s">
        <v>105</v>
      </c>
      <c r="K460" s="37" t="s">
        <v>105</v>
      </c>
      <c r="L460" s="36">
        <v>3</v>
      </c>
      <c r="M460" s="36">
        <v>3</v>
      </c>
      <c r="N460" s="36">
        <v>3</v>
      </c>
      <c r="O460" s="36">
        <v>4</v>
      </c>
      <c r="P460" s="37" t="s">
        <v>265</v>
      </c>
      <c r="Q460" s="37"/>
      <c r="R460" s="37" t="s">
        <v>1531</v>
      </c>
    </row>
    <row r="461" spans="1:18" ht="27.7" hidden="1" thickBot="1" x14ac:dyDescent="0.55000000000000004">
      <c r="A461" s="36">
        <v>459</v>
      </c>
      <c r="B461" s="37" t="s">
        <v>1532</v>
      </c>
      <c r="C461" s="37" t="s">
        <v>1533</v>
      </c>
      <c r="D461" s="37" t="s">
        <v>1533</v>
      </c>
      <c r="E461" s="37" t="s">
        <v>1163</v>
      </c>
      <c r="F461" s="37" t="s">
        <v>1530</v>
      </c>
      <c r="G461" s="37" t="s">
        <v>1530</v>
      </c>
      <c r="H461" s="37" t="s">
        <v>1530</v>
      </c>
      <c r="I461" s="37" t="s">
        <v>944</v>
      </c>
      <c r="J461" s="37" t="s">
        <v>105</v>
      </c>
      <c r="K461" s="37" t="s">
        <v>105</v>
      </c>
      <c r="L461" s="36">
        <v>1</v>
      </c>
      <c r="M461" s="36">
        <v>3</v>
      </c>
      <c r="N461" s="36">
        <v>3</v>
      </c>
      <c r="O461" s="36">
        <v>4</v>
      </c>
      <c r="P461" s="37" t="s">
        <v>265</v>
      </c>
      <c r="Q461" s="37" t="s">
        <v>1534</v>
      </c>
      <c r="R461" s="37" t="s">
        <v>1535</v>
      </c>
    </row>
    <row r="462" spans="1:18" ht="27.7" hidden="1" thickBot="1" x14ac:dyDescent="0.55000000000000004">
      <c r="A462" s="36">
        <v>460</v>
      </c>
      <c r="B462" s="37" t="s">
        <v>1536</v>
      </c>
      <c r="C462" s="37" t="s">
        <v>1537</v>
      </c>
      <c r="D462" s="37" t="s">
        <v>1533</v>
      </c>
      <c r="E462" s="37" t="s">
        <v>1163</v>
      </c>
      <c r="F462" s="37" t="s">
        <v>1530</v>
      </c>
      <c r="G462" s="37" t="s">
        <v>1530</v>
      </c>
      <c r="H462" s="37" t="s">
        <v>1530</v>
      </c>
      <c r="I462" s="37" t="s">
        <v>944</v>
      </c>
      <c r="J462" s="37" t="s">
        <v>105</v>
      </c>
      <c r="K462" s="37" t="s">
        <v>105</v>
      </c>
      <c r="L462" s="36">
        <v>1</v>
      </c>
      <c r="M462" s="36">
        <v>3</v>
      </c>
      <c r="N462" s="36">
        <v>3</v>
      </c>
      <c r="O462" s="36">
        <v>4</v>
      </c>
      <c r="P462" s="37" t="s">
        <v>292</v>
      </c>
      <c r="Q462" s="37"/>
      <c r="R462" s="37" t="s">
        <v>1538</v>
      </c>
    </row>
    <row r="463" spans="1:18" ht="27.7" hidden="1" thickBot="1" x14ac:dyDescent="0.55000000000000004">
      <c r="A463" s="36">
        <v>461</v>
      </c>
      <c r="B463" s="37" t="s">
        <v>1539</v>
      </c>
      <c r="C463" s="37" t="s">
        <v>1537</v>
      </c>
      <c r="D463" s="37" t="s">
        <v>1533</v>
      </c>
      <c r="E463" s="37" t="s">
        <v>1163</v>
      </c>
      <c r="F463" s="37" t="s">
        <v>1530</v>
      </c>
      <c r="G463" s="37" t="s">
        <v>1530</v>
      </c>
      <c r="H463" s="37" t="s">
        <v>1530</v>
      </c>
      <c r="I463" s="37" t="s">
        <v>944</v>
      </c>
      <c r="J463" s="37" t="s">
        <v>105</v>
      </c>
      <c r="K463" s="37" t="s">
        <v>105</v>
      </c>
      <c r="L463" s="36">
        <v>1</v>
      </c>
      <c r="M463" s="36">
        <v>3</v>
      </c>
      <c r="N463" s="36">
        <v>3</v>
      </c>
      <c r="O463" s="36">
        <v>4</v>
      </c>
      <c r="P463" s="37" t="s">
        <v>292</v>
      </c>
      <c r="Q463" s="37"/>
      <c r="R463" s="37" t="s">
        <v>1540</v>
      </c>
    </row>
    <row r="464" spans="1:18" ht="27.7" hidden="1" thickBot="1" x14ac:dyDescent="0.55000000000000004">
      <c r="A464" s="36">
        <v>462</v>
      </c>
      <c r="B464" s="37" t="s">
        <v>1541</v>
      </c>
      <c r="C464" s="37" t="s">
        <v>1537</v>
      </c>
      <c r="D464" s="37" t="s">
        <v>1533</v>
      </c>
      <c r="E464" s="37" t="s">
        <v>1163</v>
      </c>
      <c r="F464" s="37" t="s">
        <v>1530</v>
      </c>
      <c r="G464" s="37" t="s">
        <v>1530</v>
      </c>
      <c r="H464" s="37" t="s">
        <v>1530</v>
      </c>
      <c r="I464" s="37" t="s">
        <v>944</v>
      </c>
      <c r="J464" s="37" t="s">
        <v>105</v>
      </c>
      <c r="K464" s="37" t="s">
        <v>105</v>
      </c>
      <c r="L464" s="36">
        <v>1</v>
      </c>
      <c r="M464" s="36">
        <v>3</v>
      </c>
      <c r="N464" s="36">
        <v>3</v>
      </c>
      <c r="O464" s="36">
        <v>4</v>
      </c>
      <c r="P464" s="37" t="s">
        <v>292</v>
      </c>
      <c r="Q464" s="37"/>
      <c r="R464" s="37" t="s">
        <v>1542</v>
      </c>
    </row>
    <row r="465" spans="1:18" ht="27.7" hidden="1" thickBot="1" x14ac:dyDescent="0.55000000000000004">
      <c r="A465" s="36">
        <v>463</v>
      </c>
      <c r="B465" s="37" t="s">
        <v>1543</v>
      </c>
      <c r="C465" s="37" t="s">
        <v>1544</v>
      </c>
      <c r="D465" s="37" t="s">
        <v>1533</v>
      </c>
      <c r="E465" s="37" t="s">
        <v>1163</v>
      </c>
      <c r="F465" s="37" t="s">
        <v>1530</v>
      </c>
      <c r="G465" s="37" t="s">
        <v>1545</v>
      </c>
      <c r="H465" s="37" t="s">
        <v>1545</v>
      </c>
      <c r="I465" s="37" t="s">
        <v>944</v>
      </c>
      <c r="J465" s="37" t="s">
        <v>105</v>
      </c>
      <c r="K465" s="37" t="s">
        <v>105</v>
      </c>
      <c r="L465" s="36">
        <v>1</v>
      </c>
      <c r="M465" s="36">
        <v>2</v>
      </c>
      <c r="N465" s="36">
        <v>2</v>
      </c>
      <c r="O465" s="36">
        <v>3</v>
      </c>
      <c r="P465" s="37" t="s">
        <v>292</v>
      </c>
      <c r="Q465" s="37"/>
      <c r="R465" s="37" t="s">
        <v>1546</v>
      </c>
    </row>
    <row r="466" spans="1:18" ht="55" hidden="1" thickBot="1" x14ac:dyDescent="0.55000000000000004">
      <c r="A466" s="36">
        <v>464</v>
      </c>
      <c r="B466" s="37" t="s">
        <v>1547</v>
      </c>
      <c r="C466" s="37" t="s">
        <v>1533</v>
      </c>
      <c r="D466" s="37" t="s">
        <v>1533</v>
      </c>
      <c r="E466" s="37" t="s">
        <v>1163</v>
      </c>
      <c r="F466" s="37" t="s">
        <v>1530</v>
      </c>
      <c r="G466" s="37" t="s">
        <v>1530</v>
      </c>
      <c r="H466" s="37" t="s">
        <v>1530</v>
      </c>
      <c r="I466" s="37" t="s">
        <v>944</v>
      </c>
      <c r="J466" s="37" t="s">
        <v>105</v>
      </c>
      <c r="K466" s="37" t="s">
        <v>105</v>
      </c>
      <c r="L466" s="36">
        <v>1</v>
      </c>
      <c r="M466" s="36">
        <v>3</v>
      </c>
      <c r="N466" s="36">
        <v>3</v>
      </c>
      <c r="O466" s="36">
        <v>4</v>
      </c>
      <c r="P466" s="37" t="s">
        <v>265</v>
      </c>
      <c r="Q466" s="37" t="s">
        <v>1548</v>
      </c>
      <c r="R466" s="37" t="s">
        <v>1549</v>
      </c>
    </row>
    <row r="467" spans="1:18" ht="27.7" hidden="1" thickBot="1" x14ac:dyDescent="0.55000000000000004">
      <c r="A467" s="36">
        <v>465</v>
      </c>
      <c r="B467" s="37" t="s">
        <v>1550</v>
      </c>
      <c r="C467" s="37" t="s">
        <v>1533</v>
      </c>
      <c r="D467" s="37" t="s">
        <v>1533</v>
      </c>
      <c r="E467" s="37" t="s">
        <v>1163</v>
      </c>
      <c r="F467" s="37" t="s">
        <v>1551</v>
      </c>
      <c r="G467" s="37" t="s">
        <v>1551</v>
      </c>
      <c r="H467" s="37" t="s">
        <v>1530</v>
      </c>
      <c r="I467" s="37" t="s">
        <v>944</v>
      </c>
      <c r="J467" s="37" t="s">
        <v>105</v>
      </c>
      <c r="K467" s="37" t="s">
        <v>105</v>
      </c>
      <c r="L467" s="36">
        <v>3</v>
      </c>
      <c r="M467" s="36">
        <v>3</v>
      </c>
      <c r="N467" s="36">
        <v>3</v>
      </c>
      <c r="O467" s="36">
        <v>4</v>
      </c>
      <c r="P467" s="37" t="s">
        <v>265</v>
      </c>
      <c r="Q467" s="37" t="s">
        <v>1552</v>
      </c>
      <c r="R467" s="37" t="s">
        <v>1553</v>
      </c>
    </row>
    <row r="468" spans="1:18" ht="27.7" hidden="1" thickBot="1" x14ac:dyDescent="0.55000000000000004">
      <c r="A468" s="36">
        <v>466</v>
      </c>
      <c r="B468" s="37" t="s">
        <v>1554</v>
      </c>
      <c r="C468" s="37" t="s">
        <v>1555</v>
      </c>
      <c r="D468" s="37" t="s">
        <v>1533</v>
      </c>
      <c r="E468" s="37" t="s">
        <v>1163</v>
      </c>
      <c r="F468" s="37" t="s">
        <v>1530</v>
      </c>
      <c r="G468" s="37" t="s">
        <v>1530</v>
      </c>
      <c r="H468" s="37" t="s">
        <v>1545</v>
      </c>
      <c r="I468" s="37" t="s">
        <v>944</v>
      </c>
      <c r="J468" s="37" t="s">
        <v>1165</v>
      </c>
      <c r="K468" s="37" t="s">
        <v>1165</v>
      </c>
      <c r="L468" s="36">
        <v>1</v>
      </c>
      <c r="M468" s="36">
        <v>3</v>
      </c>
      <c r="N468" s="36">
        <v>3</v>
      </c>
      <c r="O468" s="36">
        <v>4</v>
      </c>
      <c r="P468" s="37" t="s">
        <v>292</v>
      </c>
      <c r="Q468" s="37"/>
      <c r="R468" s="37" t="s">
        <v>1556</v>
      </c>
    </row>
    <row r="469" spans="1:18" ht="41.35" hidden="1" thickBot="1" x14ac:dyDescent="0.55000000000000004">
      <c r="A469" s="36">
        <v>467</v>
      </c>
      <c r="B469" s="37" t="s">
        <v>1557</v>
      </c>
      <c r="C469" s="37" t="s">
        <v>1533</v>
      </c>
      <c r="D469" s="37" t="s">
        <v>1533</v>
      </c>
      <c r="E469" s="37" t="s">
        <v>1163</v>
      </c>
      <c r="F469" s="37" t="s">
        <v>1551</v>
      </c>
      <c r="G469" s="37" t="s">
        <v>1551</v>
      </c>
      <c r="H469" s="37" t="s">
        <v>1530</v>
      </c>
      <c r="I469" s="37" t="s">
        <v>1165</v>
      </c>
      <c r="J469" s="37" t="s">
        <v>105</v>
      </c>
      <c r="K469" s="37" t="s">
        <v>105</v>
      </c>
      <c r="L469" s="36">
        <v>3</v>
      </c>
      <c r="M469" s="36">
        <v>3</v>
      </c>
      <c r="N469" s="36">
        <v>3</v>
      </c>
      <c r="O469" s="36">
        <v>4</v>
      </c>
      <c r="P469" s="37" t="s">
        <v>265</v>
      </c>
      <c r="Q469" s="37" t="s">
        <v>1558</v>
      </c>
      <c r="R469" s="37" t="s">
        <v>1559</v>
      </c>
    </row>
    <row r="470" spans="1:18" ht="41.35" hidden="1" thickBot="1" x14ac:dyDescent="0.55000000000000004">
      <c r="A470" s="36">
        <v>468</v>
      </c>
      <c r="B470" s="37" t="s">
        <v>1560</v>
      </c>
      <c r="C470" s="37" t="s">
        <v>1561</v>
      </c>
      <c r="D470" s="37" t="s">
        <v>1562</v>
      </c>
      <c r="E470" s="37" t="s">
        <v>1163</v>
      </c>
      <c r="F470" s="37" t="s">
        <v>1551</v>
      </c>
      <c r="G470" s="37" t="s">
        <v>1551</v>
      </c>
      <c r="H470" s="37" t="s">
        <v>1551</v>
      </c>
      <c r="I470" s="37" t="s">
        <v>1165</v>
      </c>
      <c r="J470" s="37" t="s">
        <v>1165</v>
      </c>
      <c r="K470" s="37" t="s">
        <v>1165</v>
      </c>
      <c r="L470" s="36">
        <v>3</v>
      </c>
      <c r="M470" s="36">
        <v>3</v>
      </c>
      <c r="N470" s="36">
        <v>3</v>
      </c>
      <c r="O470" s="36">
        <v>5</v>
      </c>
      <c r="P470" s="37" t="s">
        <v>265</v>
      </c>
      <c r="Q470" s="37" t="s">
        <v>1563</v>
      </c>
      <c r="R470" s="37" t="s">
        <v>1564</v>
      </c>
    </row>
    <row r="471" spans="1:18" ht="27.7" hidden="1" thickBot="1" x14ac:dyDescent="0.55000000000000004">
      <c r="A471" s="36">
        <v>469</v>
      </c>
      <c r="B471" s="37" t="s">
        <v>1565</v>
      </c>
      <c r="C471" s="37" t="s">
        <v>1561</v>
      </c>
      <c r="D471" s="37" t="s">
        <v>1562</v>
      </c>
      <c r="E471" s="37" t="s">
        <v>1163</v>
      </c>
      <c r="F471" s="37" t="s">
        <v>1566</v>
      </c>
      <c r="G471" s="37" t="s">
        <v>1566</v>
      </c>
      <c r="H471" s="37" t="s">
        <v>1566</v>
      </c>
      <c r="I471" s="37" t="s">
        <v>944</v>
      </c>
      <c r="J471" s="37" t="s">
        <v>944</v>
      </c>
      <c r="K471" s="37" t="s">
        <v>1165</v>
      </c>
      <c r="L471" s="36">
        <v>1</v>
      </c>
      <c r="M471" s="36">
        <v>3</v>
      </c>
      <c r="N471" s="36">
        <v>3</v>
      </c>
      <c r="O471" s="36">
        <v>4</v>
      </c>
      <c r="P471" s="37" t="s">
        <v>265</v>
      </c>
      <c r="Q471" s="37"/>
      <c r="R471" s="37" t="s">
        <v>1567</v>
      </c>
    </row>
    <row r="472" spans="1:18" ht="41.35" hidden="1" thickBot="1" x14ac:dyDescent="0.55000000000000004">
      <c r="A472" s="36">
        <v>470</v>
      </c>
      <c r="B472" s="37" t="s">
        <v>1568</v>
      </c>
      <c r="C472" s="37" t="s">
        <v>1568</v>
      </c>
      <c r="D472" s="37" t="s">
        <v>1569</v>
      </c>
      <c r="E472" s="37" t="s">
        <v>1163</v>
      </c>
      <c r="F472" s="37" t="s">
        <v>1164</v>
      </c>
      <c r="G472" s="37" t="s">
        <v>1164</v>
      </c>
      <c r="H472" s="37" t="s">
        <v>1570</v>
      </c>
      <c r="I472" s="37" t="s">
        <v>1165</v>
      </c>
      <c r="J472" s="37" t="s">
        <v>1165</v>
      </c>
      <c r="K472" s="37" t="s">
        <v>1165</v>
      </c>
      <c r="L472" s="36">
        <v>3</v>
      </c>
      <c r="M472" s="36">
        <v>3</v>
      </c>
      <c r="N472" s="36">
        <v>3</v>
      </c>
      <c r="O472" s="36">
        <v>4</v>
      </c>
      <c r="P472" s="37" t="s">
        <v>265</v>
      </c>
      <c r="Q472" s="37" t="s">
        <v>1571</v>
      </c>
      <c r="R472" s="37" t="s">
        <v>1572</v>
      </c>
    </row>
    <row r="473" spans="1:18" ht="27.7" hidden="1" thickBot="1" x14ac:dyDescent="0.55000000000000004">
      <c r="A473" s="36">
        <v>471</v>
      </c>
      <c r="B473" s="37" t="s">
        <v>1573</v>
      </c>
      <c r="C473" s="37" t="s">
        <v>1574</v>
      </c>
      <c r="D473" s="37" t="s">
        <v>1569</v>
      </c>
      <c r="E473" s="37" t="s">
        <v>1163</v>
      </c>
      <c r="F473" s="37" t="s">
        <v>1566</v>
      </c>
      <c r="G473" s="37" t="s">
        <v>1566</v>
      </c>
      <c r="H473" s="37" t="s">
        <v>1566</v>
      </c>
      <c r="I473" s="37" t="s">
        <v>1165</v>
      </c>
      <c r="J473" s="37" t="s">
        <v>1165</v>
      </c>
      <c r="K473" s="37" t="s">
        <v>1165</v>
      </c>
      <c r="L473" s="36">
        <v>2</v>
      </c>
      <c r="M473" s="36">
        <v>2</v>
      </c>
      <c r="N473" s="36">
        <v>2</v>
      </c>
      <c r="O473" s="36">
        <v>3</v>
      </c>
      <c r="P473" s="37" t="s">
        <v>292</v>
      </c>
      <c r="Q473" s="37" t="s">
        <v>1575</v>
      </c>
      <c r="R473" s="37" t="s">
        <v>1576</v>
      </c>
    </row>
    <row r="474" spans="1:18" ht="27.7" hidden="1" thickBot="1" x14ac:dyDescent="0.55000000000000004">
      <c r="A474" s="36">
        <v>472</v>
      </c>
      <c r="B474" s="37" t="s">
        <v>1577</v>
      </c>
      <c r="C474" s="37" t="s">
        <v>1578</v>
      </c>
      <c r="D474" s="37" t="s">
        <v>1569</v>
      </c>
      <c r="E474" s="37" t="s">
        <v>1163</v>
      </c>
      <c r="F474" s="37" t="s">
        <v>1164</v>
      </c>
      <c r="G474" s="37" t="s">
        <v>1164</v>
      </c>
      <c r="H474" s="37" t="s">
        <v>1164</v>
      </c>
      <c r="I474" s="37" t="s">
        <v>1165</v>
      </c>
      <c r="J474" s="37" t="s">
        <v>1165</v>
      </c>
      <c r="K474" s="37" t="s">
        <v>1165</v>
      </c>
      <c r="L474" s="36">
        <v>3</v>
      </c>
      <c r="M474" s="36">
        <v>3</v>
      </c>
      <c r="N474" s="36">
        <v>3</v>
      </c>
      <c r="O474" s="36">
        <v>4</v>
      </c>
      <c r="P474" s="37" t="s">
        <v>265</v>
      </c>
      <c r="Q474" s="37"/>
      <c r="R474" s="37" t="s">
        <v>1579</v>
      </c>
    </row>
    <row r="475" spans="1:18" ht="27.7" hidden="1" thickBot="1" x14ac:dyDescent="0.55000000000000004">
      <c r="A475" s="36">
        <v>473</v>
      </c>
      <c r="B475" s="37" t="s">
        <v>1580</v>
      </c>
      <c r="C475" s="37" t="s">
        <v>1578</v>
      </c>
      <c r="D475" s="37" t="s">
        <v>1569</v>
      </c>
      <c r="E475" s="37" t="s">
        <v>1163</v>
      </c>
      <c r="F475" s="37" t="s">
        <v>1164</v>
      </c>
      <c r="G475" s="37" t="s">
        <v>1164</v>
      </c>
      <c r="H475" s="37" t="s">
        <v>1164</v>
      </c>
      <c r="I475" s="37" t="s">
        <v>1165</v>
      </c>
      <c r="J475" s="37" t="s">
        <v>1165</v>
      </c>
      <c r="K475" s="37" t="s">
        <v>1165</v>
      </c>
      <c r="L475" s="36">
        <v>3</v>
      </c>
      <c r="M475" s="36">
        <v>3</v>
      </c>
      <c r="N475" s="36">
        <v>3</v>
      </c>
      <c r="O475" s="36">
        <v>3</v>
      </c>
      <c r="P475" s="37" t="s">
        <v>265</v>
      </c>
      <c r="Q475" s="37"/>
      <c r="R475" s="37" t="s">
        <v>1581</v>
      </c>
    </row>
    <row r="476" spans="1:18" ht="27.7" hidden="1" thickBot="1" x14ac:dyDescent="0.55000000000000004">
      <c r="A476" s="36">
        <v>474</v>
      </c>
      <c r="B476" s="37" t="s">
        <v>1582</v>
      </c>
      <c r="C476" s="37" t="s">
        <v>1582</v>
      </c>
      <c r="D476" s="37" t="s">
        <v>1569</v>
      </c>
      <c r="E476" s="37" t="s">
        <v>1163</v>
      </c>
      <c r="F476" s="37" t="s">
        <v>1164</v>
      </c>
      <c r="G476" s="37" t="s">
        <v>1164</v>
      </c>
      <c r="H476" s="37" t="s">
        <v>1164</v>
      </c>
      <c r="I476" s="37" t="s">
        <v>1165</v>
      </c>
      <c r="J476" s="37" t="s">
        <v>1165</v>
      </c>
      <c r="K476" s="37" t="s">
        <v>1165</v>
      </c>
      <c r="L476" s="36">
        <v>1</v>
      </c>
      <c r="M476" s="36">
        <v>1</v>
      </c>
      <c r="N476" s="36">
        <v>1</v>
      </c>
      <c r="O476" s="36">
        <v>2</v>
      </c>
      <c r="P476" s="37" t="s">
        <v>265</v>
      </c>
      <c r="Q476" s="37" t="s">
        <v>1583</v>
      </c>
      <c r="R476" s="37" t="s">
        <v>1584</v>
      </c>
    </row>
    <row r="477" spans="1:18" ht="27.7" hidden="1" thickBot="1" x14ac:dyDescent="0.55000000000000004">
      <c r="A477" s="36">
        <v>475</v>
      </c>
      <c r="B477" s="37" t="s">
        <v>1585</v>
      </c>
      <c r="C477" s="37" t="s">
        <v>1586</v>
      </c>
      <c r="D477" s="37" t="s">
        <v>1569</v>
      </c>
      <c r="E477" s="37" t="s">
        <v>1163</v>
      </c>
      <c r="F477" s="37" t="s">
        <v>1164</v>
      </c>
      <c r="G477" s="37" t="s">
        <v>1164</v>
      </c>
      <c r="H477" s="37" t="s">
        <v>1164</v>
      </c>
      <c r="I477" s="37" t="s">
        <v>1165</v>
      </c>
      <c r="J477" s="37" t="s">
        <v>1165</v>
      </c>
      <c r="K477" s="37" t="s">
        <v>1165</v>
      </c>
      <c r="L477" s="36">
        <v>3</v>
      </c>
      <c r="M477" s="36">
        <v>3</v>
      </c>
      <c r="N477" s="36">
        <v>3</v>
      </c>
      <c r="O477" s="36">
        <v>4</v>
      </c>
      <c r="P477" s="37" t="s">
        <v>265</v>
      </c>
      <c r="Q477" s="37"/>
      <c r="R477" s="37" t="s">
        <v>1587</v>
      </c>
    </row>
    <row r="478" spans="1:18" ht="27.7" hidden="1" thickBot="1" x14ac:dyDescent="0.55000000000000004">
      <c r="A478" s="36">
        <v>476</v>
      </c>
      <c r="B478" s="37" t="s">
        <v>1588</v>
      </c>
      <c r="C478" s="37" t="s">
        <v>1588</v>
      </c>
      <c r="D478" s="37" t="s">
        <v>1569</v>
      </c>
      <c r="E478" s="37" t="s">
        <v>1163</v>
      </c>
      <c r="F478" s="37" t="s">
        <v>1164</v>
      </c>
      <c r="G478" s="37" t="s">
        <v>1164</v>
      </c>
      <c r="H478" s="37" t="s">
        <v>1164</v>
      </c>
      <c r="I478" s="37" t="s">
        <v>1165</v>
      </c>
      <c r="J478" s="37" t="s">
        <v>1165</v>
      </c>
      <c r="K478" s="37" t="s">
        <v>1165</v>
      </c>
      <c r="L478" s="36">
        <v>2</v>
      </c>
      <c r="M478" s="36">
        <v>2</v>
      </c>
      <c r="N478" s="36">
        <v>2</v>
      </c>
      <c r="O478" s="36">
        <v>3</v>
      </c>
      <c r="P478" s="37" t="s">
        <v>265</v>
      </c>
      <c r="Q478" s="37"/>
      <c r="R478" s="37" t="s">
        <v>1589</v>
      </c>
    </row>
    <row r="479" spans="1:18" ht="27.7" hidden="1" thickBot="1" x14ac:dyDescent="0.55000000000000004">
      <c r="A479" s="36">
        <v>477</v>
      </c>
      <c r="B479" s="37" t="s">
        <v>1590</v>
      </c>
      <c r="C479" s="37" t="s">
        <v>1588</v>
      </c>
      <c r="D479" s="37" t="s">
        <v>1569</v>
      </c>
      <c r="E479" s="37" t="s">
        <v>1163</v>
      </c>
      <c r="F479" s="37" t="s">
        <v>1164</v>
      </c>
      <c r="G479" s="37" t="s">
        <v>1164</v>
      </c>
      <c r="H479" s="37" t="s">
        <v>1164</v>
      </c>
      <c r="I479" s="37" t="s">
        <v>1165</v>
      </c>
      <c r="J479" s="37" t="s">
        <v>1165</v>
      </c>
      <c r="K479" s="37" t="s">
        <v>1165</v>
      </c>
      <c r="L479" s="36">
        <v>3</v>
      </c>
      <c r="M479" s="36">
        <v>3</v>
      </c>
      <c r="N479" s="36">
        <v>3</v>
      </c>
      <c r="O479" s="36">
        <v>3</v>
      </c>
      <c r="P479" s="37" t="s">
        <v>265</v>
      </c>
      <c r="Q479" s="37"/>
      <c r="R479" s="37" t="s">
        <v>1591</v>
      </c>
    </row>
    <row r="480" spans="1:18" ht="27.7" hidden="1" thickBot="1" x14ac:dyDescent="0.55000000000000004">
      <c r="A480" s="36">
        <v>478</v>
      </c>
      <c r="B480" s="37" t="s">
        <v>1592</v>
      </c>
      <c r="C480" s="37" t="s">
        <v>1588</v>
      </c>
      <c r="D480" s="37" t="s">
        <v>1569</v>
      </c>
      <c r="E480" s="37" t="s">
        <v>1163</v>
      </c>
      <c r="F480" s="37" t="s">
        <v>1164</v>
      </c>
      <c r="G480" s="37" t="s">
        <v>1164</v>
      </c>
      <c r="H480" s="37" t="s">
        <v>1164</v>
      </c>
      <c r="I480" s="37" t="s">
        <v>1593</v>
      </c>
      <c r="J480" s="37" t="s">
        <v>1165</v>
      </c>
      <c r="K480" s="37" t="s">
        <v>1165</v>
      </c>
      <c r="L480" s="36">
        <v>3</v>
      </c>
      <c r="M480" s="36">
        <v>3</v>
      </c>
      <c r="N480" s="36">
        <v>3</v>
      </c>
      <c r="O480" s="36">
        <v>3</v>
      </c>
      <c r="P480" s="37" t="s">
        <v>265</v>
      </c>
      <c r="Q480" s="37"/>
      <c r="R480" s="37" t="s">
        <v>1594</v>
      </c>
    </row>
    <row r="481" spans="1:18" ht="41.35" hidden="1" thickBot="1" x14ac:dyDescent="0.55000000000000004">
      <c r="A481" s="36">
        <v>479</v>
      </c>
      <c r="B481" s="37" t="s">
        <v>1595</v>
      </c>
      <c r="C481" s="37" t="s">
        <v>1596</v>
      </c>
      <c r="D481" s="37" t="s">
        <v>1569</v>
      </c>
      <c r="E481" s="37" t="s">
        <v>1163</v>
      </c>
      <c r="F481" s="37" t="s">
        <v>1164</v>
      </c>
      <c r="G481" s="37" t="s">
        <v>1164</v>
      </c>
      <c r="H481" s="37" t="s">
        <v>1164</v>
      </c>
      <c r="I481" s="37" t="s">
        <v>1165</v>
      </c>
      <c r="J481" s="37" t="s">
        <v>1165</v>
      </c>
      <c r="K481" s="37" t="s">
        <v>1165</v>
      </c>
      <c r="L481" s="36">
        <v>2</v>
      </c>
      <c r="M481" s="36">
        <v>2</v>
      </c>
      <c r="N481" s="36">
        <v>2</v>
      </c>
      <c r="O481" s="36">
        <v>3</v>
      </c>
      <c r="P481" s="37" t="s">
        <v>265</v>
      </c>
      <c r="Q481" s="37" t="s">
        <v>1597</v>
      </c>
      <c r="R481" s="37" t="s">
        <v>1598</v>
      </c>
    </row>
    <row r="482" spans="1:18" ht="27.7" hidden="1" thickBot="1" x14ac:dyDescent="0.55000000000000004">
      <c r="A482" s="36">
        <v>480</v>
      </c>
      <c r="B482" s="37" t="s">
        <v>1599</v>
      </c>
      <c r="C482" s="37" t="s">
        <v>1596</v>
      </c>
      <c r="D482" s="37" t="s">
        <v>1569</v>
      </c>
      <c r="E482" s="37" t="s">
        <v>1163</v>
      </c>
      <c r="F482" s="37" t="s">
        <v>1164</v>
      </c>
      <c r="G482" s="37" t="s">
        <v>1164</v>
      </c>
      <c r="H482" s="37" t="s">
        <v>1164</v>
      </c>
      <c r="I482" s="37" t="s">
        <v>1165</v>
      </c>
      <c r="J482" s="37" t="s">
        <v>1165</v>
      </c>
      <c r="K482" s="37" t="s">
        <v>1165</v>
      </c>
      <c r="L482" s="36">
        <v>3</v>
      </c>
      <c r="M482" s="36">
        <v>3</v>
      </c>
      <c r="N482" s="36">
        <v>3</v>
      </c>
      <c r="O482" s="36">
        <v>4</v>
      </c>
      <c r="P482" s="37" t="s">
        <v>265</v>
      </c>
      <c r="Q482" s="37" t="s">
        <v>1600</v>
      </c>
      <c r="R482" s="37" t="s">
        <v>1601</v>
      </c>
    </row>
    <row r="483" spans="1:18" ht="27.7" hidden="1" thickBot="1" x14ac:dyDescent="0.55000000000000004">
      <c r="A483" s="36">
        <v>481</v>
      </c>
      <c r="B483" s="37" t="s">
        <v>1602</v>
      </c>
      <c r="C483" s="37" t="s">
        <v>1588</v>
      </c>
      <c r="D483" s="37" t="s">
        <v>1569</v>
      </c>
      <c r="E483" s="37" t="s">
        <v>1163</v>
      </c>
      <c r="F483" s="37" t="s">
        <v>1164</v>
      </c>
      <c r="G483" s="37" t="s">
        <v>1164</v>
      </c>
      <c r="H483" s="37" t="s">
        <v>1164</v>
      </c>
      <c r="I483" s="37" t="s">
        <v>1165</v>
      </c>
      <c r="J483" s="37" t="s">
        <v>1165</v>
      </c>
      <c r="K483" s="37" t="s">
        <v>1165</v>
      </c>
      <c r="L483" s="36">
        <v>3</v>
      </c>
      <c r="M483" s="36">
        <v>3</v>
      </c>
      <c r="N483" s="36">
        <v>3</v>
      </c>
      <c r="O483" s="36">
        <v>4</v>
      </c>
      <c r="P483" s="37" t="s">
        <v>265</v>
      </c>
      <c r="Q483" s="37"/>
      <c r="R483" s="37" t="s">
        <v>1603</v>
      </c>
    </row>
    <row r="484" spans="1:18" ht="27.7" hidden="1" thickBot="1" x14ac:dyDescent="0.55000000000000004">
      <c r="A484" s="36">
        <v>482</v>
      </c>
      <c r="B484" s="37" t="s">
        <v>1604</v>
      </c>
      <c r="C484" s="37" t="s">
        <v>1586</v>
      </c>
      <c r="D484" s="37" t="s">
        <v>1569</v>
      </c>
      <c r="E484" s="37" t="s">
        <v>1163</v>
      </c>
      <c r="F484" s="37" t="s">
        <v>1164</v>
      </c>
      <c r="G484" s="37" t="s">
        <v>1164</v>
      </c>
      <c r="H484" s="37" t="s">
        <v>1164</v>
      </c>
      <c r="I484" s="37" t="s">
        <v>1165</v>
      </c>
      <c r="J484" s="37" t="s">
        <v>1165</v>
      </c>
      <c r="K484" s="37" t="s">
        <v>1165</v>
      </c>
      <c r="L484" s="36">
        <v>3</v>
      </c>
      <c r="M484" s="36">
        <v>3</v>
      </c>
      <c r="N484" s="36">
        <v>3</v>
      </c>
      <c r="O484" s="36">
        <v>4</v>
      </c>
      <c r="P484" s="37" t="s">
        <v>265</v>
      </c>
      <c r="Q484" s="37"/>
      <c r="R484" s="37" t="s">
        <v>1605</v>
      </c>
    </row>
    <row r="485" spans="1:18" ht="27.7" hidden="1" thickBot="1" x14ac:dyDescent="0.55000000000000004">
      <c r="A485" s="36">
        <v>483</v>
      </c>
      <c r="B485" s="37" t="s">
        <v>1606</v>
      </c>
      <c r="C485" s="37" t="s">
        <v>1607</v>
      </c>
      <c r="D485" s="37" t="s">
        <v>1608</v>
      </c>
      <c r="E485" s="37" t="s">
        <v>1163</v>
      </c>
      <c r="F485" s="37" t="s">
        <v>1164</v>
      </c>
      <c r="G485" s="37" t="s">
        <v>1164</v>
      </c>
      <c r="H485" s="37" t="s">
        <v>1164</v>
      </c>
      <c r="I485" s="37" t="s">
        <v>1165</v>
      </c>
      <c r="J485" s="37" t="s">
        <v>1165</v>
      </c>
      <c r="K485" s="37" t="s">
        <v>1165</v>
      </c>
      <c r="L485" s="36">
        <v>2</v>
      </c>
      <c r="M485" s="36">
        <v>2</v>
      </c>
      <c r="N485" s="36">
        <v>2</v>
      </c>
      <c r="O485" s="36">
        <v>3</v>
      </c>
      <c r="P485" s="37" t="s">
        <v>265</v>
      </c>
      <c r="Q485" s="37"/>
      <c r="R485" s="37" t="s">
        <v>1609</v>
      </c>
    </row>
    <row r="486" spans="1:18" ht="41.35" hidden="1" thickBot="1" x14ac:dyDescent="0.55000000000000004">
      <c r="A486" s="36">
        <v>484</v>
      </c>
      <c r="B486" s="37" t="s">
        <v>1610</v>
      </c>
      <c r="C486" s="37" t="s">
        <v>1611</v>
      </c>
      <c r="D486" s="37" t="s">
        <v>1569</v>
      </c>
      <c r="E486" s="37" t="s">
        <v>1163</v>
      </c>
      <c r="F486" s="37" t="s">
        <v>1164</v>
      </c>
      <c r="G486" s="37" t="s">
        <v>1164</v>
      </c>
      <c r="H486" s="37" t="s">
        <v>1164</v>
      </c>
      <c r="I486" s="37" t="s">
        <v>1165</v>
      </c>
      <c r="J486" s="37" t="s">
        <v>1165</v>
      </c>
      <c r="K486" s="37" t="s">
        <v>1165</v>
      </c>
      <c r="L486" s="36">
        <v>2</v>
      </c>
      <c r="M486" s="36">
        <v>2</v>
      </c>
      <c r="N486" s="36">
        <v>2</v>
      </c>
      <c r="O486" s="36">
        <v>3</v>
      </c>
      <c r="P486" s="37" t="s">
        <v>265</v>
      </c>
      <c r="Q486" s="37" t="s">
        <v>1612</v>
      </c>
      <c r="R486" s="37" t="s">
        <v>1613</v>
      </c>
    </row>
    <row r="487" spans="1:18" ht="41.35" hidden="1" thickBot="1" x14ac:dyDescent="0.55000000000000004">
      <c r="A487" s="36">
        <v>485</v>
      </c>
      <c r="B487" s="37" t="s">
        <v>1614</v>
      </c>
      <c r="C487" s="37" t="s">
        <v>1611</v>
      </c>
      <c r="D487" s="37" t="s">
        <v>1569</v>
      </c>
      <c r="E487" s="37" t="s">
        <v>1163</v>
      </c>
      <c r="F487" s="37" t="s">
        <v>1164</v>
      </c>
      <c r="G487" s="37" t="s">
        <v>1164</v>
      </c>
      <c r="H487" s="37" t="s">
        <v>1164</v>
      </c>
      <c r="I487" s="37" t="s">
        <v>1165</v>
      </c>
      <c r="J487" s="37" t="s">
        <v>1165</v>
      </c>
      <c r="K487" s="37" t="s">
        <v>1165</v>
      </c>
      <c r="L487" s="36">
        <v>2</v>
      </c>
      <c r="M487" s="36">
        <v>2</v>
      </c>
      <c r="N487" s="36">
        <v>2</v>
      </c>
      <c r="O487" s="36">
        <v>3</v>
      </c>
      <c r="P487" s="37" t="s">
        <v>265</v>
      </c>
      <c r="Q487" s="37" t="s">
        <v>1615</v>
      </c>
      <c r="R487" s="37" t="s">
        <v>1616</v>
      </c>
    </row>
    <row r="488" spans="1:18" ht="27.7" hidden="1" thickBot="1" x14ac:dyDescent="0.55000000000000004">
      <c r="A488" s="36">
        <v>486</v>
      </c>
      <c r="B488" s="37" t="s">
        <v>1617</v>
      </c>
      <c r="C488" s="37" t="s">
        <v>1618</v>
      </c>
      <c r="D488" s="37" t="s">
        <v>1608</v>
      </c>
      <c r="E488" s="37" t="s">
        <v>1163</v>
      </c>
      <c r="F488" s="37" t="s">
        <v>1164</v>
      </c>
      <c r="G488" s="37" t="s">
        <v>1164</v>
      </c>
      <c r="H488" s="37" t="s">
        <v>1164</v>
      </c>
      <c r="I488" s="37" t="s">
        <v>1165</v>
      </c>
      <c r="J488" s="37" t="s">
        <v>1165</v>
      </c>
      <c r="K488" s="37" t="s">
        <v>1165</v>
      </c>
      <c r="L488" s="36">
        <v>3</v>
      </c>
      <c r="M488" s="36">
        <v>3</v>
      </c>
      <c r="N488" s="36">
        <v>3</v>
      </c>
      <c r="O488" s="36">
        <v>3</v>
      </c>
      <c r="P488" s="37" t="s">
        <v>265</v>
      </c>
      <c r="Q488" s="37" t="s">
        <v>1619</v>
      </c>
      <c r="R488" s="37" t="s">
        <v>1620</v>
      </c>
    </row>
    <row r="489" spans="1:18" ht="27.7" hidden="1" thickBot="1" x14ac:dyDescent="0.55000000000000004">
      <c r="A489" s="36">
        <v>487</v>
      </c>
      <c r="B489" s="37" t="s">
        <v>1621</v>
      </c>
      <c r="C489" s="37" t="s">
        <v>1622</v>
      </c>
      <c r="D489" s="37" t="s">
        <v>1623</v>
      </c>
      <c r="E489" s="37" t="s">
        <v>1163</v>
      </c>
      <c r="F489" s="37" t="s">
        <v>1164</v>
      </c>
      <c r="G489" s="37" t="s">
        <v>1164</v>
      </c>
      <c r="H489" s="37" t="s">
        <v>1164</v>
      </c>
      <c r="I489" s="37" t="s">
        <v>1165</v>
      </c>
      <c r="J489" s="37" t="s">
        <v>1165</v>
      </c>
      <c r="K489" s="37" t="s">
        <v>1165</v>
      </c>
      <c r="L489" s="36">
        <v>2</v>
      </c>
      <c r="M489" s="36">
        <v>2</v>
      </c>
      <c r="N489" s="36">
        <v>2</v>
      </c>
      <c r="O489" s="36">
        <v>3</v>
      </c>
      <c r="P489" s="37" t="s">
        <v>265</v>
      </c>
      <c r="Q489" s="37" t="s">
        <v>1624</v>
      </c>
      <c r="R489" s="37" t="s">
        <v>1625</v>
      </c>
    </row>
    <row r="490" spans="1:18" ht="27.7" hidden="1" thickBot="1" x14ac:dyDescent="0.55000000000000004">
      <c r="A490" s="36">
        <v>488</v>
      </c>
      <c r="B490" s="37" t="s">
        <v>1626</v>
      </c>
      <c r="C490" s="37" t="s">
        <v>1586</v>
      </c>
      <c r="D490" s="37" t="s">
        <v>1569</v>
      </c>
      <c r="E490" s="37" t="s">
        <v>1163</v>
      </c>
      <c r="F490" s="37" t="s">
        <v>1164</v>
      </c>
      <c r="G490" s="37" t="s">
        <v>1164</v>
      </c>
      <c r="H490" s="37" t="s">
        <v>1164</v>
      </c>
      <c r="I490" s="37" t="s">
        <v>1165</v>
      </c>
      <c r="J490" s="37" t="s">
        <v>1165</v>
      </c>
      <c r="K490" s="37" t="s">
        <v>1165</v>
      </c>
      <c r="L490" s="36">
        <v>2</v>
      </c>
      <c r="M490" s="36">
        <v>2</v>
      </c>
      <c r="N490" s="36">
        <v>2</v>
      </c>
      <c r="O490" s="36">
        <v>3</v>
      </c>
      <c r="P490" s="37" t="s">
        <v>265</v>
      </c>
      <c r="Q490" s="37"/>
      <c r="R490" s="37" t="s">
        <v>1627</v>
      </c>
    </row>
    <row r="491" spans="1:18" ht="27.7" hidden="1" thickBot="1" x14ac:dyDescent="0.55000000000000004">
      <c r="A491" s="36">
        <v>489</v>
      </c>
      <c r="B491" s="37" t="s">
        <v>1628</v>
      </c>
      <c r="C491" s="37" t="s">
        <v>1586</v>
      </c>
      <c r="D491" s="37" t="s">
        <v>1569</v>
      </c>
      <c r="E491" s="37" t="s">
        <v>1163</v>
      </c>
      <c r="F491" s="37" t="s">
        <v>1164</v>
      </c>
      <c r="G491" s="37" t="s">
        <v>1164</v>
      </c>
      <c r="H491" s="37" t="s">
        <v>1164</v>
      </c>
      <c r="I491" s="37" t="s">
        <v>1165</v>
      </c>
      <c r="J491" s="37" t="s">
        <v>1165</v>
      </c>
      <c r="K491" s="37" t="s">
        <v>1165</v>
      </c>
      <c r="L491" s="36">
        <v>3</v>
      </c>
      <c r="M491" s="36">
        <v>3</v>
      </c>
      <c r="N491" s="36">
        <v>3</v>
      </c>
      <c r="O491" s="36">
        <v>4</v>
      </c>
      <c r="P491" s="37" t="s">
        <v>265</v>
      </c>
      <c r="Q491" s="37" t="s">
        <v>1629</v>
      </c>
      <c r="R491" s="37" t="s">
        <v>1630</v>
      </c>
    </row>
    <row r="492" spans="1:18" ht="27.7" hidden="1" thickBot="1" x14ac:dyDescent="0.55000000000000004">
      <c r="A492" s="36">
        <v>490</v>
      </c>
      <c r="B492" s="37" t="s">
        <v>1631</v>
      </c>
      <c r="C492" s="37" t="s">
        <v>1632</v>
      </c>
      <c r="D492" s="37" t="s">
        <v>1569</v>
      </c>
      <c r="E492" s="37" t="s">
        <v>1163</v>
      </c>
      <c r="F492" s="37" t="s">
        <v>1164</v>
      </c>
      <c r="G492" s="37" t="s">
        <v>1164</v>
      </c>
      <c r="H492" s="37" t="s">
        <v>1164</v>
      </c>
      <c r="I492" s="37" t="s">
        <v>1165</v>
      </c>
      <c r="J492" s="37" t="s">
        <v>1165</v>
      </c>
      <c r="K492" s="37" t="s">
        <v>1165</v>
      </c>
      <c r="L492" s="36">
        <v>4</v>
      </c>
      <c r="M492" s="36">
        <v>4</v>
      </c>
      <c r="N492" s="36">
        <v>4</v>
      </c>
      <c r="O492" s="36">
        <v>6</v>
      </c>
      <c r="P492" s="37" t="s">
        <v>265</v>
      </c>
      <c r="Q492" s="37" t="s">
        <v>1633</v>
      </c>
      <c r="R492" s="37" t="s">
        <v>1634</v>
      </c>
    </row>
    <row r="493" spans="1:18" ht="27.7" hidden="1" thickBot="1" x14ac:dyDescent="0.55000000000000004">
      <c r="A493" s="36">
        <v>491</v>
      </c>
      <c r="B493" s="37" t="s">
        <v>1635</v>
      </c>
      <c r="C493" s="37" t="s">
        <v>1632</v>
      </c>
      <c r="D493" s="37" t="s">
        <v>1569</v>
      </c>
      <c r="E493" s="37" t="s">
        <v>1163</v>
      </c>
      <c r="F493" s="37" t="s">
        <v>1164</v>
      </c>
      <c r="G493" s="37" t="s">
        <v>1164</v>
      </c>
      <c r="H493" s="37" t="s">
        <v>1164</v>
      </c>
      <c r="I493" s="37" t="s">
        <v>1165</v>
      </c>
      <c r="J493" s="37" t="s">
        <v>1165</v>
      </c>
      <c r="K493" s="37" t="s">
        <v>1165</v>
      </c>
      <c r="L493" s="36">
        <v>2</v>
      </c>
      <c r="M493" s="36">
        <v>2</v>
      </c>
      <c r="N493" s="36">
        <v>2</v>
      </c>
      <c r="O493" s="36">
        <v>3</v>
      </c>
      <c r="P493" s="37" t="s">
        <v>265</v>
      </c>
      <c r="Q493" s="37"/>
      <c r="R493" s="37" t="s">
        <v>1636</v>
      </c>
    </row>
    <row r="494" spans="1:18" ht="27.7" hidden="1" thickBot="1" x14ac:dyDescent="0.55000000000000004">
      <c r="A494" s="36">
        <v>492</v>
      </c>
      <c r="B494" s="37" t="s">
        <v>1637</v>
      </c>
      <c r="C494" s="37" t="s">
        <v>1637</v>
      </c>
      <c r="D494" s="37" t="s">
        <v>1638</v>
      </c>
      <c r="E494" s="37" t="s">
        <v>1163</v>
      </c>
      <c r="F494" s="37" t="s">
        <v>1639</v>
      </c>
      <c r="G494" s="37" t="s">
        <v>1639</v>
      </c>
      <c r="H494" s="37" t="s">
        <v>1639</v>
      </c>
      <c r="I494" s="37" t="s">
        <v>1165</v>
      </c>
      <c r="J494" s="37" t="s">
        <v>1165</v>
      </c>
      <c r="K494" s="37" t="s">
        <v>1165</v>
      </c>
      <c r="L494" s="36">
        <v>2</v>
      </c>
      <c r="M494" s="36">
        <v>2</v>
      </c>
      <c r="N494" s="36">
        <v>2</v>
      </c>
      <c r="O494" s="36">
        <v>3</v>
      </c>
      <c r="P494" s="37" t="s">
        <v>292</v>
      </c>
      <c r="Q494" s="37"/>
      <c r="R494" s="37" t="s">
        <v>1640</v>
      </c>
    </row>
    <row r="495" spans="1:18" ht="27.7" hidden="1" thickBot="1" x14ac:dyDescent="0.55000000000000004">
      <c r="A495" s="36">
        <v>493</v>
      </c>
      <c r="B495" s="37" t="s">
        <v>1641</v>
      </c>
      <c r="C495" s="37" t="s">
        <v>1642</v>
      </c>
      <c r="D495" s="37" t="s">
        <v>1623</v>
      </c>
      <c r="E495" s="37" t="s">
        <v>1163</v>
      </c>
      <c r="F495" s="37" t="s">
        <v>1164</v>
      </c>
      <c r="G495" s="37" t="s">
        <v>1164</v>
      </c>
      <c r="H495" s="37" t="s">
        <v>1164</v>
      </c>
      <c r="I495" s="37" t="s">
        <v>1643</v>
      </c>
      <c r="J495" s="37" t="s">
        <v>1643</v>
      </c>
      <c r="K495" s="37" t="s">
        <v>1643</v>
      </c>
      <c r="L495" s="36">
        <v>3</v>
      </c>
      <c r="M495" s="36">
        <v>3</v>
      </c>
      <c r="N495" s="36">
        <v>3</v>
      </c>
      <c r="O495" s="36">
        <v>3</v>
      </c>
      <c r="P495" s="37" t="s">
        <v>265</v>
      </c>
      <c r="Q495" s="37" t="s">
        <v>1644</v>
      </c>
      <c r="R495" s="37" t="s">
        <v>1645</v>
      </c>
    </row>
    <row r="496" spans="1:18" ht="27.7" hidden="1" thickBot="1" x14ac:dyDescent="0.55000000000000004">
      <c r="A496" s="36">
        <v>494</v>
      </c>
      <c r="B496" s="37" t="s">
        <v>1642</v>
      </c>
      <c r="C496" s="37" t="s">
        <v>1642</v>
      </c>
      <c r="D496" s="37" t="s">
        <v>1623</v>
      </c>
      <c r="E496" s="37" t="s">
        <v>1163</v>
      </c>
      <c r="F496" s="37" t="s">
        <v>1164</v>
      </c>
      <c r="G496" s="37" t="s">
        <v>1164</v>
      </c>
      <c r="H496" s="37" t="s">
        <v>1164</v>
      </c>
      <c r="I496" s="37" t="s">
        <v>1165</v>
      </c>
      <c r="J496" s="37" t="s">
        <v>1165</v>
      </c>
      <c r="K496" s="37" t="s">
        <v>1165</v>
      </c>
      <c r="L496" s="36">
        <v>3</v>
      </c>
      <c r="M496" s="36">
        <v>3</v>
      </c>
      <c r="N496" s="36">
        <v>3</v>
      </c>
      <c r="O496" s="36">
        <v>4</v>
      </c>
      <c r="P496" s="37" t="s">
        <v>265</v>
      </c>
      <c r="Q496" s="37" t="s">
        <v>1646</v>
      </c>
      <c r="R496" s="37" t="s">
        <v>1647</v>
      </c>
    </row>
    <row r="497" spans="1:18" ht="27.7" hidden="1" thickBot="1" x14ac:dyDescent="0.55000000000000004">
      <c r="A497" s="36">
        <v>495</v>
      </c>
      <c r="B497" s="37" t="s">
        <v>1648</v>
      </c>
      <c r="C497" s="37" t="s">
        <v>1623</v>
      </c>
      <c r="D497" s="37" t="s">
        <v>1623</v>
      </c>
      <c r="E497" s="37" t="s">
        <v>1163</v>
      </c>
      <c r="F497" s="37" t="s">
        <v>1164</v>
      </c>
      <c r="G497" s="37" t="s">
        <v>1164</v>
      </c>
      <c r="H497" s="37" t="s">
        <v>1164</v>
      </c>
      <c r="I497" s="37" t="s">
        <v>1165</v>
      </c>
      <c r="J497" s="37" t="s">
        <v>1165</v>
      </c>
      <c r="K497" s="37" t="s">
        <v>1165</v>
      </c>
      <c r="L497" s="36">
        <v>3</v>
      </c>
      <c r="M497" s="36">
        <v>3</v>
      </c>
      <c r="N497" s="36">
        <v>3</v>
      </c>
      <c r="O497" s="36">
        <v>4</v>
      </c>
      <c r="P497" s="37" t="s">
        <v>265</v>
      </c>
      <c r="Q497" s="37" t="s">
        <v>1649</v>
      </c>
      <c r="R497" s="37" t="s">
        <v>1650</v>
      </c>
    </row>
    <row r="498" spans="1:18" ht="27.7" hidden="1" thickBot="1" x14ac:dyDescent="0.55000000000000004">
      <c r="A498" s="36">
        <v>496</v>
      </c>
      <c r="B498" s="37" t="s">
        <v>1651</v>
      </c>
      <c r="C498" s="37" t="s">
        <v>1623</v>
      </c>
      <c r="D498" s="37" t="s">
        <v>1623</v>
      </c>
      <c r="E498" s="37" t="s">
        <v>1163</v>
      </c>
      <c r="F498" s="37" t="s">
        <v>1164</v>
      </c>
      <c r="G498" s="37" t="s">
        <v>1164</v>
      </c>
      <c r="H498" s="37" t="s">
        <v>1164</v>
      </c>
      <c r="I498" s="37" t="s">
        <v>1165</v>
      </c>
      <c r="J498" s="37" t="s">
        <v>1165</v>
      </c>
      <c r="K498" s="37" t="s">
        <v>1165</v>
      </c>
      <c r="L498" s="36">
        <v>7</v>
      </c>
      <c r="M498" s="36">
        <v>7</v>
      </c>
      <c r="N498" s="36">
        <v>7</v>
      </c>
      <c r="O498" s="36">
        <v>7</v>
      </c>
      <c r="P498" s="37" t="s">
        <v>265</v>
      </c>
      <c r="Q498" s="37" t="s">
        <v>1652</v>
      </c>
      <c r="R498" s="37" t="s">
        <v>1653</v>
      </c>
    </row>
    <row r="499" spans="1:18" ht="27.7" hidden="1" thickBot="1" x14ac:dyDescent="0.55000000000000004">
      <c r="A499" s="36">
        <v>497</v>
      </c>
      <c r="B499" s="37" t="s">
        <v>1654</v>
      </c>
      <c r="C499" s="37" t="s">
        <v>1623</v>
      </c>
      <c r="D499" s="37" t="s">
        <v>1623</v>
      </c>
      <c r="E499" s="37" t="s">
        <v>1163</v>
      </c>
      <c r="F499" s="37" t="s">
        <v>1164</v>
      </c>
      <c r="G499" s="37" t="s">
        <v>1164</v>
      </c>
      <c r="H499" s="37" t="s">
        <v>1164</v>
      </c>
      <c r="I499" s="37" t="s">
        <v>1165</v>
      </c>
      <c r="J499" s="37" t="s">
        <v>1165</v>
      </c>
      <c r="K499" s="37" t="s">
        <v>1165</v>
      </c>
      <c r="L499" s="36">
        <v>4</v>
      </c>
      <c r="M499" s="36">
        <v>4</v>
      </c>
      <c r="N499" s="36">
        <v>4</v>
      </c>
      <c r="O499" s="36">
        <v>5</v>
      </c>
      <c r="P499" s="37" t="s">
        <v>265</v>
      </c>
      <c r="Q499" s="37" t="s">
        <v>1655</v>
      </c>
      <c r="R499" s="37" t="s">
        <v>1656</v>
      </c>
    </row>
    <row r="500" spans="1:18" ht="27.7" hidden="1" thickBot="1" x14ac:dyDescent="0.55000000000000004">
      <c r="A500" s="36">
        <v>498</v>
      </c>
      <c r="B500" s="37" t="s">
        <v>1657</v>
      </c>
      <c r="C500" s="37" t="s">
        <v>1658</v>
      </c>
      <c r="D500" s="37" t="s">
        <v>1638</v>
      </c>
      <c r="E500" s="37" t="s">
        <v>1163</v>
      </c>
      <c r="F500" s="37" t="s">
        <v>1639</v>
      </c>
      <c r="G500" s="37" t="s">
        <v>1639</v>
      </c>
      <c r="H500" s="37" t="s">
        <v>1639</v>
      </c>
      <c r="I500" s="37" t="s">
        <v>944</v>
      </c>
      <c r="J500" s="37" t="s">
        <v>1165</v>
      </c>
      <c r="K500" s="37" t="s">
        <v>1165</v>
      </c>
      <c r="L500" s="36">
        <v>3</v>
      </c>
      <c r="M500" s="36">
        <v>3</v>
      </c>
      <c r="N500" s="36">
        <v>3</v>
      </c>
      <c r="O500" s="36">
        <v>5</v>
      </c>
      <c r="P500" s="37" t="s">
        <v>265</v>
      </c>
      <c r="Q500" s="37"/>
      <c r="R500" s="37" t="s">
        <v>1659</v>
      </c>
    </row>
    <row r="501" spans="1:18" ht="27.7" hidden="1" thickBot="1" x14ac:dyDescent="0.55000000000000004">
      <c r="A501" s="36">
        <v>499</v>
      </c>
      <c r="B501" s="37" t="s">
        <v>1660</v>
      </c>
      <c r="C501" s="37" t="s">
        <v>1661</v>
      </c>
      <c r="D501" s="37" t="s">
        <v>1638</v>
      </c>
      <c r="E501" s="37" t="s">
        <v>1163</v>
      </c>
      <c r="F501" s="37" t="s">
        <v>1639</v>
      </c>
      <c r="G501" s="37" t="s">
        <v>1639</v>
      </c>
      <c r="H501" s="37" t="s">
        <v>1639</v>
      </c>
      <c r="I501" s="37" t="s">
        <v>944</v>
      </c>
      <c r="J501" s="37" t="s">
        <v>1165</v>
      </c>
      <c r="K501" s="37" t="s">
        <v>1165</v>
      </c>
      <c r="L501" s="36">
        <v>3</v>
      </c>
      <c r="M501" s="36">
        <v>3</v>
      </c>
      <c r="N501" s="36">
        <v>3</v>
      </c>
      <c r="O501" s="36">
        <v>4</v>
      </c>
      <c r="P501" s="37" t="s">
        <v>292</v>
      </c>
      <c r="Q501" s="37" t="s">
        <v>1661</v>
      </c>
      <c r="R501" s="37" t="s">
        <v>1662</v>
      </c>
    </row>
    <row r="502" spans="1:18" ht="27.7" hidden="1" thickBot="1" x14ac:dyDescent="0.55000000000000004">
      <c r="A502" s="36">
        <v>500</v>
      </c>
      <c r="B502" s="37" t="s">
        <v>1663</v>
      </c>
      <c r="C502" s="37" t="s">
        <v>1661</v>
      </c>
      <c r="D502" s="37" t="s">
        <v>1638</v>
      </c>
      <c r="E502" s="37" t="s">
        <v>1163</v>
      </c>
      <c r="F502" s="37" t="s">
        <v>1639</v>
      </c>
      <c r="G502" s="37" t="s">
        <v>1639</v>
      </c>
      <c r="H502" s="37" t="s">
        <v>1639</v>
      </c>
      <c r="I502" s="37" t="s">
        <v>1165</v>
      </c>
      <c r="J502" s="37" t="s">
        <v>1165</v>
      </c>
      <c r="K502" s="37" t="s">
        <v>1165</v>
      </c>
      <c r="L502" s="36">
        <v>3</v>
      </c>
      <c r="M502" s="36">
        <v>3</v>
      </c>
      <c r="N502" s="36">
        <v>3</v>
      </c>
      <c r="O502" s="36">
        <v>4</v>
      </c>
      <c r="P502" s="37" t="s">
        <v>292</v>
      </c>
      <c r="Q502" s="37" t="s">
        <v>1664</v>
      </c>
      <c r="R502" s="37" t="s">
        <v>1665</v>
      </c>
    </row>
    <row r="503" spans="1:18" ht="27.7" hidden="1" thickBot="1" x14ac:dyDescent="0.55000000000000004">
      <c r="A503" s="36">
        <v>501</v>
      </c>
      <c r="B503" s="37" t="s">
        <v>1666</v>
      </c>
      <c r="C503" s="37" t="s">
        <v>1667</v>
      </c>
      <c r="D503" s="37" t="s">
        <v>1638</v>
      </c>
      <c r="E503" s="37" t="s">
        <v>1163</v>
      </c>
      <c r="F503" s="37" t="s">
        <v>1668</v>
      </c>
      <c r="G503" s="37" t="s">
        <v>1668</v>
      </c>
      <c r="H503" s="37" t="s">
        <v>1566</v>
      </c>
      <c r="I503" s="37" t="s">
        <v>1165</v>
      </c>
      <c r="J503" s="37" t="s">
        <v>1165</v>
      </c>
      <c r="K503" s="37" t="s">
        <v>1165</v>
      </c>
      <c r="L503" s="36">
        <v>3</v>
      </c>
      <c r="M503" s="36">
        <v>3</v>
      </c>
      <c r="N503" s="36">
        <v>3</v>
      </c>
      <c r="O503" s="36">
        <v>4</v>
      </c>
      <c r="P503" s="37" t="s">
        <v>292</v>
      </c>
      <c r="Q503" s="37" t="s">
        <v>1669</v>
      </c>
      <c r="R503" s="37" t="s">
        <v>1670</v>
      </c>
    </row>
    <row r="504" spans="1:18" ht="27.7" hidden="1" thickBot="1" x14ac:dyDescent="0.55000000000000004">
      <c r="A504" s="36">
        <v>502</v>
      </c>
      <c r="B504" s="37" t="s">
        <v>1671</v>
      </c>
      <c r="C504" s="37" t="s">
        <v>1671</v>
      </c>
      <c r="D504" s="37" t="s">
        <v>1562</v>
      </c>
      <c r="E504" s="37" t="s">
        <v>1163</v>
      </c>
      <c r="F504" s="37" t="s">
        <v>1566</v>
      </c>
      <c r="G504" s="37" t="s">
        <v>1566</v>
      </c>
      <c r="H504" s="37" t="s">
        <v>1566</v>
      </c>
      <c r="I504" s="37" t="s">
        <v>944</v>
      </c>
      <c r="J504" s="37" t="s">
        <v>944</v>
      </c>
      <c r="K504" s="37" t="s">
        <v>1165</v>
      </c>
      <c r="L504" s="36">
        <v>1</v>
      </c>
      <c r="M504" s="36">
        <v>3</v>
      </c>
      <c r="N504" s="36">
        <v>3</v>
      </c>
      <c r="O504" s="36">
        <v>4</v>
      </c>
      <c r="P504" s="37" t="s">
        <v>292</v>
      </c>
      <c r="Q504" s="37" t="s">
        <v>1672</v>
      </c>
      <c r="R504" s="37" t="s">
        <v>1673</v>
      </c>
    </row>
    <row r="505" spans="1:18" ht="27.7" hidden="1" thickBot="1" x14ac:dyDescent="0.55000000000000004">
      <c r="A505" s="36">
        <v>503</v>
      </c>
      <c r="B505" s="37" t="s">
        <v>1674</v>
      </c>
      <c r="C505" s="37" t="s">
        <v>1671</v>
      </c>
      <c r="D505" s="37" t="s">
        <v>1562</v>
      </c>
      <c r="E505" s="37" t="s">
        <v>1163</v>
      </c>
      <c r="F505" s="37" t="s">
        <v>1566</v>
      </c>
      <c r="G505" s="37" t="s">
        <v>1566</v>
      </c>
      <c r="H505" s="37" t="s">
        <v>1566</v>
      </c>
      <c r="I505" s="37" t="s">
        <v>944</v>
      </c>
      <c r="J505" s="37" t="s">
        <v>944</v>
      </c>
      <c r="K505" s="37" t="s">
        <v>1675</v>
      </c>
      <c r="L505" s="36">
        <v>1</v>
      </c>
      <c r="M505" s="36">
        <v>3</v>
      </c>
      <c r="N505" s="36">
        <v>3</v>
      </c>
      <c r="O505" s="36">
        <v>4</v>
      </c>
      <c r="P505" s="37" t="s">
        <v>292</v>
      </c>
      <c r="Q505" s="37" t="s">
        <v>1676</v>
      </c>
      <c r="R505" s="37" t="s">
        <v>1677</v>
      </c>
    </row>
    <row r="506" spans="1:18" ht="27.7" hidden="1" thickBot="1" x14ac:dyDescent="0.55000000000000004">
      <c r="A506" s="36">
        <v>504</v>
      </c>
      <c r="B506" s="37" t="s">
        <v>1678</v>
      </c>
      <c r="C506" s="37" t="s">
        <v>1544</v>
      </c>
      <c r="D506" s="37" t="s">
        <v>1533</v>
      </c>
      <c r="E506" s="37" t="s">
        <v>1163</v>
      </c>
      <c r="F506" s="37" t="s">
        <v>1566</v>
      </c>
      <c r="G506" s="37" t="s">
        <v>1545</v>
      </c>
      <c r="H506" s="37" t="s">
        <v>1566</v>
      </c>
      <c r="I506" s="37" t="s">
        <v>944</v>
      </c>
      <c r="J506" s="37" t="s">
        <v>944</v>
      </c>
      <c r="K506" s="37" t="s">
        <v>1675</v>
      </c>
      <c r="L506" s="36">
        <v>1</v>
      </c>
      <c r="M506" s="36">
        <v>3</v>
      </c>
      <c r="N506" s="36">
        <v>3</v>
      </c>
      <c r="O506" s="36">
        <v>3</v>
      </c>
      <c r="P506" s="37" t="s">
        <v>292</v>
      </c>
      <c r="Q506" s="37"/>
      <c r="R506" s="37" t="s">
        <v>1679</v>
      </c>
    </row>
    <row r="507" spans="1:18" ht="41.35" hidden="1" thickBot="1" x14ac:dyDescent="0.55000000000000004">
      <c r="A507" s="36">
        <v>505</v>
      </c>
      <c r="B507" s="37" t="s">
        <v>1680</v>
      </c>
      <c r="C507" s="37" t="s">
        <v>1671</v>
      </c>
      <c r="D507" s="37" t="s">
        <v>1562</v>
      </c>
      <c r="E507" s="37" t="s">
        <v>1163</v>
      </c>
      <c r="F507" s="37" t="s">
        <v>1566</v>
      </c>
      <c r="G507" s="37" t="s">
        <v>1566</v>
      </c>
      <c r="H507" s="37" t="s">
        <v>1566</v>
      </c>
      <c r="I507" s="37" t="s">
        <v>944</v>
      </c>
      <c r="J507" s="37" t="s">
        <v>1165</v>
      </c>
      <c r="K507" s="37" t="s">
        <v>1165</v>
      </c>
      <c r="L507" s="36">
        <v>1</v>
      </c>
      <c r="M507" s="36">
        <v>3</v>
      </c>
      <c r="N507" s="36">
        <v>3</v>
      </c>
      <c r="O507" s="36">
        <v>4</v>
      </c>
      <c r="P507" s="37" t="s">
        <v>292</v>
      </c>
      <c r="Q507" s="37" t="s">
        <v>1681</v>
      </c>
      <c r="R507" s="37" t="s">
        <v>1682</v>
      </c>
    </row>
    <row r="508" spans="1:18" ht="27.7" hidden="1" thickBot="1" x14ac:dyDescent="0.55000000000000004">
      <c r="A508" s="36">
        <v>506</v>
      </c>
      <c r="B508" s="37" t="s">
        <v>1667</v>
      </c>
      <c r="C508" s="37" t="s">
        <v>1667</v>
      </c>
      <c r="D508" s="37" t="s">
        <v>1638</v>
      </c>
      <c r="E508" s="37" t="s">
        <v>1163</v>
      </c>
      <c r="F508" s="37" t="s">
        <v>1668</v>
      </c>
      <c r="G508" s="37" t="s">
        <v>1668</v>
      </c>
      <c r="H508" s="37" t="s">
        <v>1639</v>
      </c>
      <c r="I508" s="37" t="s">
        <v>944</v>
      </c>
      <c r="J508" s="37" t="s">
        <v>944</v>
      </c>
      <c r="K508" s="37" t="s">
        <v>1165</v>
      </c>
      <c r="L508" s="36">
        <v>3</v>
      </c>
      <c r="M508" s="36">
        <v>3</v>
      </c>
      <c r="N508" s="36">
        <v>3</v>
      </c>
      <c r="O508" s="36">
        <v>4</v>
      </c>
      <c r="P508" s="37" t="s">
        <v>292</v>
      </c>
      <c r="Q508" s="37" t="s">
        <v>1683</v>
      </c>
      <c r="R508" s="37" t="s">
        <v>1684</v>
      </c>
    </row>
    <row r="509" spans="1:18" ht="27.7" hidden="1" thickBot="1" x14ac:dyDescent="0.55000000000000004">
      <c r="A509" s="36">
        <v>507</v>
      </c>
      <c r="B509" s="37" t="s">
        <v>1685</v>
      </c>
      <c r="C509" s="37" t="s">
        <v>1661</v>
      </c>
      <c r="D509" s="37" t="s">
        <v>1638</v>
      </c>
      <c r="E509" s="37" t="s">
        <v>1163</v>
      </c>
      <c r="F509" s="37" t="s">
        <v>1639</v>
      </c>
      <c r="G509" s="37" t="s">
        <v>1639</v>
      </c>
      <c r="H509" s="37" t="s">
        <v>1639</v>
      </c>
      <c r="I509" s="37" t="s">
        <v>944</v>
      </c>
      <c r="J509" s="37" t="s">
        <v>1165</v>
      </c>
      <c r="K509" s="37" t="s">
        <v>1675</v>
      </c>
      <c r="L509" s="36">
        <v>3</v>
      </c>
      <c r="M509" s="36">
        <v>3</v>
      </c>
      <c r="N509" s="36">
        <v>3</v>
      </c>
      <c r="O509" s="36">
        <v>5</v>
      </c>
      <c r="P509" s="37" t="s">
        <v>292</v>
      </c>
      <c r="Q509" s="37"/>
      <c r="R509" s="37" t="s">
        <v>1686</v>
      </c>
    </row>
    <row r="510" spans="1:18" ht="27.7" hidden="1" thickBot="1" x14ac:dyDescent="0.55000000000000004">
      <c r="A510" s="36">
        <v>508</v>
      </c>
      <c r="B510" s="37" t="s">
        <v>1687</v>
      </c>
      <c r="C510" s="37" t="s">
        <v>1661</v>
      </c>
      <c r="D510" s="37" t="s">
        <v>1638</v>
      </c>
      <c r="E510" s="37" t="s">
        <v>1163</v>
      </c>
      <c r="F510" s="37" t="s">
        <v>1639</v>
      </c>
      <c r="G510" s="37" t="s">
        <v>1639</v>
      </c>
      <c r="H510" s="37" t="s">
        <v>1639</v>
      </c>
      <c r="I510" s="37" t="s">
        <v>944</v>
      </c>
      <c r="J510" s="37" t="s">
        <v>1165</v>
      </c>
      <c r="K510" s="37" t="s">
        <v>1165</v>
      </c>
      <c r="L510" s="36">
        <v>3</v>
      </c>
      <c r="M510" s="36">
        <v>3</v>
      </c>
      <c r="N510" s="36">
        <v>3</v>
      </c>
      <c r="O510" s="36">
        <v>3</v>
      </c>
      <c r="P510" s="37" t="s">
        <v>292</v>
      </c>
      <c r="Q510" s="37"/>
      <c r="R510" s="37" t="s">
        <v>1688</v>
      </c>
    </row>
    <row r="511" spans="1:18" ht="27.7" hidden="1" thickBot="1" x14ac:dyDescent="0.55000000000000004">
      <c r="A511" s="36">
        <v>509</v>
      </c>
      <c r="B511" s="37" t="s">
        <v>1658</v>
      </c>
      <c r="C511" s="37" t="s">
        <v>1658</v>
      </c>
      <c r="D511" s="37" t="s">
        <v>1638</v>
      </c>
      <c r="E511" s="37" t="s">
        <v>1163</v>
      </c>
      <c r="F511" s="37" t="s">
        <v>1639</v>
      </c>
      <c r="G511" s="37" t="s">
        <v>1639</v>
      </c>
      <c r="H511" s="37" t="s">
        <v>1639</v>
      </c>
      <c r="I511" s="37" t="s">
        <v>944</v>
      </c>
      <c r="J511" s="37" t="s">
        <v>944</v>
      </c>
      <c r="K511" s="37" t="s">
        <v>1165</v>
      </c>
      <c r="L511" s="36">
        <v>3</v>
      </c>
      <c r="M511" s="36">
        <v>3</v>
      </c>
      <c r="N511" s="36">
        <v>3</v>
      </c>
      <c r="O511" s="36">
        <v>4</v>
      </c>
      <c r="P511" s="37" t="s">
        <v>265</v>
      </c>
      <c r="Q511" s="37" t="s">
        <v>1689</v>
      </c>
      <c r="R511" s="37" t="s">
        <v>1690</v>
      </c>
    </row>
    <row r="512" spans="1:18" ht="27.7" hidden="1" thickBot="1" x14ac:dyDescent="0.55000000000000004">
      <c r="A512" s="36">
        <v>510</v>
      </c>
      <c r="B512" s="37" t="s">
        <v>1691</v>
      </c>
      <c r="C512" s="37" t="s">
        <v>1658</v>
      </c>
      <c r="D512" s="37" t="s">
        <v>1638</v>
      </c>
      <c r="E512" s="37" t="s">
        <v>1163</v>
      </c>
      <c r="F512" s="37" t="s">
        <v>1639</v>
      </c>
      <c r="G512" s="37" t="s">
        <v>1639</v>
      </c>
      <c r="H512" s="37" t="s">
        <v>1639</v>
      </c>
      <c r="I512" s="37" t="s">
        <v>944</v>
      </c>
      <c r="J512" s="37" t="s">
        <v>944</v>
      </c>
      <c r="K512" s="37" t="s">
        <v>1165</v>
      </c>
      <c r="L512" s="36">
        <v>3</v>
      </c>
      <c r="M512" s="36">
        <v>3</v>
      </c>
      <c r="N512" s="36">
        <v>3</v>
      </c>
      <c r="O512" s="36">
        <v>3</v>
      </c>
      <c r="P512" s="37" t="s">
        <v>265</v>
      </c>
      <c r="Q512" s="37"/>
      <c r="R512" s="37" t="s">
        <v>1692</v>
      </c>
    </row>
    <row r="513" spans="1:18" ht="27.7" hidden="1" thickBot="1" x14ac:dyDescent="0.55000000000000004">
      <c r="A513" s="36">
        <v>511</v>
      </c>
      <c r="B513" s="37" t="s">
        <v>1693</v>
      </c>
      <c r="C513" s="37" t="s">
        <v>1694</v>
      </c>
      <c r="D513" s="37" t="s">
        <v>1694</v>
      </c>
      <c r="E513" s="37" t="s">
        <v>1483</v>
      </c>
      <c r="F513" s="37" t="s">
        <v>1464</v>
      </c>
      <c r="G513" s="37" t="s">
        <v>1464</v>
      </c>
      <c r="H513" s="37" t="s">
        <v>1668</v>
      </c>
      <c r="I513" s="37" t="s">
        <v>1465</v>
      </c>
      <c r="J513" s="37" t="s">
        <v>1465</v>
      </c>
      <c r="K513" s="37" t="s">
        <v>1165</v>
      </c>
      <c r="L513" s="36">
        <v>3</v>
      </c>
      <c r="M513" s="36">
        <v>3</v>
      </c>
      <c r="N513" s="36">
        <v>3</v>
      </c>
      <c r="O513" s="36">
        <v>4</v>
      </c>
      <c r="P513" s="37" t="s">
        <v>265</v>
      </c>
      <c r="Q513" s="37"/>
      <c r="R513" s="37" t="s">
        <v>1695</v>
      </c>
    </row>
    <row r="514" spans="1:18" ht="27.7" hidden="1" thickBot="1" x14ac:dyDescent="0.55000000000000004">
      <c r="A514" s="36">
        <v>512</v>
      </c>
      <c r="B514" s="37" t="s">
        <v>1696</v>
      </c>
      <c r="C514" s="37" t="s">
        <v>1697</v>
      </c>
      <c r="D514" s="37" t="s">
        <v>1694</v>
      </c>
      <c r="E514" s="37" t="s">
        <v>1483</v>
      </c>
      <c r="F514" s="37" t="s">
        <v>1464</v>
      </c>
      <c r="G514" s="37" t="s">
        <v>1464</v>
      </c>
      <c r="H514" s="37" t="s">
        <v>1698</v>
      </c>
      <c r="I514" s="37" t="s">
        <v>1465</v>
      </c>
      <c r="J514" s="37" t="s">
        <v>1465</v>
      </c>
      <c r="K514" s="37" t="s">
        <v>1165</v>
      </c>
      <c r="L514" s="36">
        <v>3</v>
      </c>
      <c r="M514" s="36">
        <v>3</v>
      </c>
      <c r="N514" s="36">
        <v>3</v>
      </c>
      <c r="O514" s="36">
        <v>4</v>
      </c>
      <c r="P514" s="37" t="s">
        <v>265</v>
      </c>
      <c r="Q514" s="37"/>
      <c r="R514" s="37" t="s">
        <v>1699</v>
      </c>
    </row>
    <row r="515" spans="1:18" ht="27.7" hidden="1" thickBot="1" x14ac:dyDescent="0.55000000000000004">
      <c r="A515" s="36">
        <v>513</v>
      </c>
      <c r="B515" s="37" t="s">
        <v>1700</v>
      </c>
      <c r="C515" s="37" t="s">
        <v>1697</v>
      </c>
      <c r="D515" s="37" t="s">
        <v>1694</v>
      </c>
      <c r="E515" s="37" t="s">
        <v>1483</v>
      </c>
      <c r="F515" s="37" t="s">
        <v>1464</v>
      </c>
      <c r="G515" s="37" t="s">
        <v>1464</v>
      </c>
      <c r="H515" s="37" t="s">
        <v>1668</v>
      </c>
      <c r="I515" s="37" t="s">
        <v>1465</v>
      </c>
      <c r="J515" s="37" t="s">
        <v>1465</v>
      </c>
      <c r="K515" s="37" t="s">
        <v>1165</v>
      </c>
      <c r="L515" s="36">
        <v>3</v>
      </c>
      <c r="M515" s="36">
        <v>3</v>
      </c>
      <c r="N515" s="36">
        <v>3</v>
      </c>
      <c r="O515" s="36">
        <v>5</v>
      </c>
      <c r="P515" s="37" t="s">
        <v>292</v>
      </c>
      <c r="Q515" s="37"/>
      <c r="R515" s="37" t="s">
        <v>1701</v>
      </c>
    </row>
    <row r="516" spans="1:18" ht="27.7" hidden="1" thickBot="1" x14ac:dyDescent="0.55000000000000004">
      <c r="A516" s="36">
        <v>514</v>
      </c>
      <c r="B516" s="37" t="s">
        <v>1702</v>
      </c>
      <c r="C516" s="37" t="s">
        <v>1694</v>
      </c>
      <c r="D516" s="37" t="s">
        <v>1694</v>
      </c>
      <c r="E516" s="37" t="s">
        <v>1483</v>
      </c>
      <c r="F516" s="37" t="s">
        <v>1464</v>
      </c>
      <c r="G516" s="37" t="s">
        <v>1464</v>
      </c>
      <c r="H516" s="37" t="s">
        <v>1668</v>
      </c>
      <c r="I516" s="37" t="s">
        <v>1465</v>
      </c>
      <c r="J516" s="37" t="s">
        <v>1465</v>
      </c>
      <c r="K516" s="37" t="s">
        <v>1165</v>
      </c>
      <c r="L516" s="36">
        <v>2</v>
      </c>
      <c r="M516" s="36">
        <v>2</v>
      </c>
      <c r="N516" s="36">
        <v>2</v>
      </c>
      <c r="O516" s="36">
        <v>4</v>
      </c>
      <c r="P516" s="37" t="s">
        <v>292</v>
      </c>
      <c r="Q516" s="37"/>
      <c r="R516" s="37" t="s">
        <v>1703</v>
      </c>
    </row>
    <row r="517" spans="1:18" ht="27.7" hidden="1" thickBot="1" x14ac:dyDescent="0.55000000000000004">
      <c r="A517" s="36">
        <v>515</v>
      </c>
      <c r="B517" s="37" t="s">
        <v>1704</v>
      </c>
      <c r="C517" s="37" t="s">
        <v>1694</v>
      </c>
      <c r="D517" s="37" t="s">
        <v>1694</v>
      </c>
      <c r="E517" s="37" t="s">
        <v>1483</v>
      </c>
      <c r="F517" s="37" t="s">
        <v>1464</v>
      </c>
      <c r="G517" s="37" t="s">
        <v>1464</v>
      </c>
      <c r="H517" s="37" t="s">
        <v>1668</v>
      </c>
      <c r="I517" s="37" t="s">
        <v>1465</v>
      </c>
      <c r="J517" s="37" t="s">
        <v>1465</v>
      </c>
      <c r="K517" s="37" t="s">
        <v>1165</v>
      </c>
      <c r="L517" s="36">
        <v>2</v>
      </c>
      <c r="M517" s="36">
        <v>2</v>
      </c>
      <c r="N517" s="36">
        <v>2</v>
      </c>
      <c r="O517" s="36">
        <v>3</v>
      </c>
      <c r="P517" s="37" t="s">
        <v>292</v>
      </c>
      <c r="Q517" s="37"/>
      <c r="R517" s="37" t="s">
        <v>1705</v>
      </c>
    </row>
    <row r="518" spans="1:18" ht="27.7" hidden="1" thickBot="1" x14ac:dyDescent="0.55000000000000004">
      <c r="A518" s="36">
        <v>516</v>
      </c>
      <c r="B518" s="37" t="s">
        <v>1706</v>
      </c>
      <c r="C518" s="37" t="s">
        <v>1694</v>
      </c>
      <c r="D518" s="37" t="s">
        <v>1694</v>
      </c>
      <c r="E518" s="37" t="s">
        <v>1483</v>
      </c>
      <c r="F518" s="37" t="s">
        <v>1668</v>
      </c>
      <c r="G518" s="37" t="s">
        <v>1668</v>
      </c>
      <c r="H518" s="37" t="s">
        <v>1668</v>
      </c>
      <c r="I518" s="37" t="s">
        <v>944</v>
      </c>
      <c r="J518" s="37" t="s">
        <v>944</v>
      </c>
      <c r="K518" s="37" t="s">
        <v>1165</v>
      </c>
      <c r="L518" s="36">
        <v>3</v>
      </c>
      <c r="M518" s="36">
        <v>3</v>
      </c>
      <c r="N518" s="36">
        <v>3</v>
      </c>
      <c r="O518" s="36">
        <v>4</v>
      </c>
      <c r="P518" s="37" t="s">
        <v>292</v>
      </c>
      <c r="Q518" s="37"/>
      <c r="R518" s="37" t="s">
        <v>1707</v>
      </c>
    </row>
    <row r="519" spans="1:18" ht="27.7" hidden="1" thickBot="1" x14ac:dyDescent="0.55000000000000004">
      <c r="A519" s="36">
        <v>517</v>
      </c>
      <c r="B519" s="37" t="s">
        <v>1708</v>
      </c>
      <c r="C519" s="37" t="s">
        <v>1708</v>
      </c>
      <c r="D519" s="37" t="s">
        <v>1482</v>
      </c>
      <c r="E519" s="37" t="s">
        <v>1483</v>
      </c>
      <c r="F519" s="37" t="s">
        <v>1490</v>
      </c>
      <c r="G519" s="37" t="s">
        <v>1490</v>
      </c>
      <c r="H519" s="37" t="s">
        <v>1484</v>
      </c>
      <c r="I519" s="37" t="s">
        <v>1465</v>
      </c>
      <c r="J519" s="37" t="s">
        <v>1465</v>
      </c>
      <c r="K519" s="37" t="s">
        <v>105</v>
      </c>
      <c r="L519" s="36">
        <v>1</v>
      </c>
      <c r="M519" s="36">
        <v>3</v>
      </c>
      <c r="N519" s="36">
        <v>3</v>
      </c>
      <c r="O519" s="36">
        <v>3</v>
      </c>
      <c r="P519" s="37" t="s">
        <v>292</v>
      </c>
      <c r="Q519" s="37" t="s">
        <v>1709</v>
      </c>
      <c r="R519" s="37" t="s">
        <v>1710</v>
      </c>
    </row>
    <row r="520" spans="1:18" ht="27.7" hidden="1" thickBot="1" x14ac:dyDescent="0.55000000000000004">
      <c r="A520" s="36">
        <v>518</v>
      </c>
      <c r="B520" s="37" t="s">
        <v>1711</v>
      </c>
      <c r="C520" s="37" t="s">
        <v>1708</v>
      </c>
      <c r="D520" s="37" t="s">
        <v>1482</v>
      </c>
      <c r="E520" s="37" t="s">
        <v>1483</v>
      </c>
      <c r="F520" s="37" t="s">
        <v>1490</v>
      </c>
      <c r="G520" s="37" t="s">
        <v>1490</v>
      </c>
      <c r="H520" s="37" t="s">
        <v>1484</v>
      </c>
      <c r="I520" s="37" t="s">
        <v>1465</v>
      </c>
      <c r="J520" s="37" t="s">
        <v>1465</v>
      </c>
      <c r="K520" s="37" t="s">
        <v>105</v>
      </c>
      <c r="L520" s="36">
        <v>1</v>
      </c>
      <c r="M520" s="36">
        <v>3</v>
      </c>
      <c r="N520" s="36">
        <v>3</v>
      </c>
      <c r="O520" s="36">
        <v>4</v>
      </c>
      <c r="P520" s="37" t="s">
        <v>292</v>
      </c>
      <c r="Q520" s="37"/>
      <c r="R520" s="37" t="s">
        <v>1712</v>
      </c>
    </row>
    <row r="521" spans="1:18" ht="27.7" hidden="1" thickBot="1" x14ac:dyDescent="0.55000000000000004">
      <c r="A521" s="36">
        <v>519</v>
      </c>
      <c r="B521" s="37" t="s">
        <v>1713</v>
      </c>
      <c r="C521" s="37" t="s">
        <v>1714</v>
      </c>
      <c r="D521" s="37" t="s">
        <v>1482</v>
      </c>
      <c r="E521" s="37" t="s">
        <v>1483</v>
      </c>
      <c r="F521" s="37" t="s">
        <v>1490</v>
      </c>
      <c r="G521" s="37" t="s">
        <v>1490</v>
      </c>
      <c r="H521" s="37" t="s">
        <v>1668</v>
      </c>
      <c r="I521" s="37" t="s">
        <v>1465</v>
      </c>
      <c r="J521" s="37" t="s">
        <v>1465</v>
      </c>
      <c r="K521" s="37" t="s">
        <v>1165</v>
      </c>
      <c r="L521" s="36">
        <v>2</v>
      </c>
      <c r="M521" s="36">
        <v>3</v>
      </c>
      <c r="N521" s="36">
        <v>3</v>
      </c>
      <c r="O521" s="36">
        <v>4</v>
      </c>
      <c r="P521" s="37" t="s">
        <v>292</v>
      </c>
      <c r="Q521" s="37" t="s">
        <v>1715</v>
      </c>
      <c r="R521" s="37" t="s">
        <v>1716</v>
      </c>
    </row>
    <row r="522" spans="1:18" ht="27.7" hidden="1" thickBot="1" x14ac:dyDescent="0.55000000000000004">
      <c r="A522" s="36">
        <v>520</v>
      </c>
      <c r="B522" s="37" t="s">
        <v>1717</v>
      </c>
      <c r="C522" s="37" t="s">
        <v>1714</v>
      </c>
      <c r="D522" s="37" t="s">
        <v>1482</v>
      </c>
      <c r="E522" s="37" t="s">
        <v>1483</v>
      </c>
      <c r="F522" s="37" t="s">
        <v>1490</v>
      </c>
      <c r="G522" s="37" t="s">
        <v>1490</v>
      </c>
      <c r="H522" s="37" t="s">
        <v>1484</v>
      </c>
      <c r="I522" s="37" t="s">
        <v>1465</v>
      </c>
      <c r="J522" s="37" t="s">
        <v>1465</v>
      </c>
      <c r="K522" s="37" t="s">
        <v>105</v>
      </c>
      <c r="L522" s="36">
        <v>1</v>
      </c>
      <c r="M522" s="36">
        <v>3</v>
      </c>
      <c r="N522" s="36">
        <v>3</v>
      </c>
      <c r="O522" s="36">
        <v>4</v>
      </c>
      <c r="P522" s="37" t="s">
        <v>292</v>
      </c>
      <c r="Q522" s="37" t="s">
        <v>1718</v>
      </c>
      <c r="R522" s="37" t="s">
        <v>1719</v>
      </c>
    </row>
    <row r="523" spans="1:18" ht="27.7" hidden="1" thickBot="1" x14ac:dyDescent="0.55000000000000004">
      <c r="A523" s="36">
        <v>521</v>
      </c>
      <c r="B523" s="37" t="s">
        <v>1720</v>
      </c>
      <c r="C523" s="37" t="s">
        <v>1721</v>
      </c>
      <c r="D523" s="37" t="s">
        <v>1482</v>
      </c>
      <c r="E523" s="37" t="s">
        <v>1483</v>
      </c>
      <c r="F523" s="37" t="s">
        <v>1490</v>
      </c>
      <c r="G523" s="37" t="s">
        <v>1490</v>
      </c>
      <c r="H523" s="37" t="s">
        <v>1484</v>
      </c>
      <c r="I523" s="37" t="s">
        <v>1465</v>
      </c>
      <c r="J523" s="37" t="s">
        <v>1465</v>
      </c>
      <c r="K523" s="37" t="s">
        <v>105</v>
      </c>
      <c r="L523" s="36">
        <v>1</v>
      </c>
      <c r="M523" s="36">
        <v>3</v>
      </c>
      <c r="N523" s="36">
        <v>3</v>
      </c>
      <c r="O523" s="36">
        <v>4</v>
      </c>
      <c r="P523" s="37" t="s">
        <v>292</v>
      </c>
      <c r="Q523" s="37"/>
      <c r="R523" s="37" t="s">
        <v>1722</v>
      </c>
    </row>
    <row r="524" spans="1:18" ht="27.7" hidden="1" thickBot="1" x14ac:dyDescent="0.55000000000000004">
      <c r="A524" s="36">
        <v>522</v>
      </c>
      <c r="B524" s="37" t="s">
        <v>1721</v>
      </c>
      <c r="C524" s="37" t="s">
        <v>1721</v>
      </c>
      <c r="D524" s="37" t="s">
        <v>1482</v>
      </c>
      <c r="E524" s="37" t="s">
        <v>1483</v>
      </c>
      <c r="F524" s="37" t="s">
        <v>1490</v>
      </c>
      <c r="G524" s="37" t="s">
        <v>1490</v>
      </c>
      <c r="H524" s="37" t="s">
        <v>1484</v>
      </c>
      <c r="I524" s="37" t="s">
        <v>1465</v>
      </c>
      <c r="J524" s="37" t="s">
        <v>1465</v>
      </c>
      <c r="K524" s="37" t="s">
        <v>105</v>
      </c>
      <c r="L524" s="36">
        <v>2</v>
      </c>
      <c r="M524" s="36">
        <v>3</v>
      </c>
      <c r="N524" s="36">
        <v>3</v>
      </c>
      <c r="O524" s="36">
        <v>5</v>
      </c>
      <c r="P524" s="37" t="s">
        <v>292</v>
      </c>
      <c r="Q524" s="37"/>
      <c r="R524" s="37" t="s">
        <v>1723</v>
      </c>
    </row>
    <row r="525" spans="1:18" ht="27.7" hidden="1" thickBot="1" x14ac:dyDescent="0.55000000000000004">
      <c r="A525" s="36">
        <v>523</v>
      </c>
      <c r="B525" s="37" t="s">
        <v>1724</v>
      </c>
      <c r="C525" s="37" t="s">
        <v>1721</v>
      </c>
      <c r="D525" s="37" t="s">
        <v>1482</v>
      </c>
      <c r="E525" s="37" t="s">
        <v>1483</v>
      </c>
      <c r="F525" s="37" t="s">
        <v>1490</v>
      </c>
      <c r="G525" s="37" t="s">
        <v>1490</v>
      </c>
      <c r="H525" s="37" t="s">
        <v>1484</v>
      </c>
      <c r="I525" s="37" t="s">
        <v>1465</v>
      </c>
      <c r="J525" s="37" t="s">
        <v>1465</v>
      </c>
      <c r="K525" s="37" t="s">
        <v>105</v>
      </c>
      <c r="L525" s="36">
        <v>2</v>
      </c>
      <c r="M525" s="36">
        <v>3</v>
      </c>
      <c r="N525" s="36">
        <v>3</v>
      </c>
      <c r="O525" s="36">
        <v>4</v>
      </c>
      <c r="P525" s="37" t="s">
        <v>292</v>
      </c>
      <c r="Q525" s="37"/>
      <c r="R525" s="37" t="s">
        <v>1725</v>
      </c>
    </row>
    <row r="526" spans="1:18" ht="27.7" hidden="1" thickBot="1" x14ac:dyDescent="0.55000000000000004">
      <c r="A526" s="36">
        <v>524</v>
      </c>
      <c r="B526" s="37" t="s">
        <v>1726</v>
      </c>
      <c r="C526" s="37" t="s">
        <v>1481</v>
      </c>
      <c r="D526" s="37" t="s">
        <v>1482</v>
      </c>
      <c r="E526" s="37" t="s">
        <v>1483</v>
      </c>
      <c r="F526" s="37" t="s">
        <v>1240</v>
      </c>
      <c r="G526" s="37" t="s">
        <v>1240</v>
      </c>
      <c r="H526" s="37" t="s">
        <v>1240</v>
      </c>
      <c r="I526" s="37" t="s">
        <v>944</v>
      </c>
      <c r="J526" s="37" t="s">
        <v>105</v>
      </c>
      <c r="K526" s="37" t="s">
        <v>105</v>
      </c>
      <c r="L526" s="36">
        <v>1</v>
      </c>
      <c r="M526" s="36">
        <v>1</v>
      </c>
      <c r="N526" s="36">
        <v>3</v>
      </c>
      <c r="O526" s="36">
        <v>4</v>
      </c>
      <c r="P526" s="37" t="s">
        <v>292</v>
      </c>
      <c r="Q526" s="37" t="s">
        <v>1727</v>
      </c>
      <c r="R526" s="37" t="s">
        <v>1728</v>
      </c>
    </row>
    <row r="527" spans="1:18" ht="27.7" hidden="1" thickBot="1" x14ac:dyDescent="0.55000000000000004">
      <c r="A527" s="36">
        <v>525</v>
      </c>
      <c r="B527" s="37" t="s">
        <v>1729</v>
      </c>
      <c r="C527" s="37" t="s">
        <v>1481</v>
      </c>
      <c r="D527" s="37" t="s">
        <v>1482</v>
      </c>
      <c r="E527" s="37" t="s">
        <v>1483</v>
      </c>
      <c r="F527" s="37" t="s">
        <v>1240</v>
      </c>
      <c r="G527" s="37" t="s">
        <v>1240</v>
      </c>
      <c r="H527" s="37" t="s">
        <v>1240</v>
      </c>
      <c r="I527" s="37" t="s">
        <v>944</v>
      </c>
      <c r="J527" s="37" t="s">
        <v>944</v>
      </c>
      <c r="K527" s="37" t="s">
        <v>105</v>
      </c>
      <c r="L527" s="36">
        <v>2</v>
      </c>
      <c r="M527" s="36">
        <v>2</v>
      </c>
      <c r="N527" s="36">
        <v>3</v>
      </c>
      <c r="O527" s="36">
        <v>4</v>
      </c>
      <c r="P527" s="37" t="s">
        <v>292</v>
      </c>
      <c r="Q527" s="37" t="s">
        <v>1730</v>
      </c>
      <c r="R527" s="37" t="s">
        <v>1731</v>
      </c>
    </row>
    <row r="528" spans="1:18" ht="27.7" hidden="1" thickBot="1" x14ac:dyDescent="0.55000000000000004">
      <c r="A528" s="36">
        <v>526</v>
      </c>
      <c r="B528" s="37" t="s">
        <v>1732</v>
      </c>
      <c r="C528" s="37" t="s">
        <v>1456</v>
      </c>
      <c r="D528" s="37" t="s">
        <v>1440</v>
      </c>
      <c r="E528" s="37" t="s">
        <v>1079</v>
      </c>
      <c r="F528" s="37" t="s">
        <v>1441</v>
      </c>
      <c r="G528" s="37" t="s">
        <v>1441</v>
      </c>
      <c r="H528" s="37" t="s">
        <v>1441</v>
      </c>
      <c r="I528" s="37" t="s">
        <v>944</v>
      </c>
      <c r="J528" s="37" t="s">
        <v>944</v>
      </c>
      <c r="K528" s="37" t="s">
        <v>105</v>
      </c>
      <c r="L528" s="36">
        <v>1</v>
      </c>
      <c r="M528" s="36">
        <v>1</v>
      </c>
      <c r="N528" s="36">
        <v>2</v>
      </c>
      <c r="O528" s="36">
        <v>3</v>
      </c>
      <c r="P528" s="37" t="s">
        <v>292</v>
      </c>
      <c r="Q528" s="37" t="s">
        <v>1733</v>
      </c>
      <c r="R528" s="37" t="s">
        <v>1734</v>
      </c>
    </row>
    <row r="529" spans="1:18" ht="27.7" hidden="1" thickBot="1" x14ac:dyDescent="0.55000000000000004">
      <c r="A529" s="36">
        <v>527</v>
      </c>
      <c r="B529" s="37" t="s">
        <v>1735</v>
      </c>
      <c r="C529" s="37" t="s">
        <v>1736</v>
      </c>
      <c r="D529" s="37" t="s">
        <v>1440</v>
      </c>
      <c r="E529" s="37" t="s">
        <v>1079</v>
      </c>
      <c r="F529" s="37" t="s">
        <v>1441</v>
      </c>
      <c r="G529" s="37" t="s">
        <v>1441</v>
      </c>
      <c r="H529" s="37" t="s">
        <v>1441</v>
      </c>
      <c r="I529" s="37" t="s">
        <v>944</v>
      </c>
      <c r="J529" s="37" t="s">
        <v>944</v>
      </c>
      <c r="K529" s="37" t="s">
        <v>105</v>
      </c>
      <c r="L529" s="36">
        <v>1</v>
      </c>
      <c r="M529" s="36">
        <v>1</v>
      </c>
      <c r="N529" s="36">
        <v>4</v>
      </c>
      <c r="O529" s="36">
        <v>6</v>
      </c>
      <c r="P529" s="37" t="s">
        <v>292</v>
      </c>
      <c r="Q529" s="37" t="s">
        <v>1737</v>
      </c>
      <c r="R529" s="37" t="s">
        <v>1738</v>
      </c>
    </row>
    <row r="530" spans="1:18" ht="41.35" hidden="1" thickBot="1" x14ac:dyDescent="0.55000000000000004">
      <c r="A530" s="36">
        <v>528</v>
      </c>
      <c r="B530" s="37" t="s">
        <v>1739</v>
      </c>
      <c r="C530" s="37" t="s">
        <v>1740</v>
      </c>
      <c r="D530" s="37" t="s">
        <v>1440</v>
      </c>
      <c r="E530" s="37" t="s">
        <v>1079</v>
      </c>
      <c r="F530" s="37" t="s">
        <v>1441</v>
      </c>
      <c r="G530" s="37" t="s">
        <v>1441</v>
      </c>
      <c r="H530" s="37" t="s">
        <v>1441</v>
      </c>
      <c r="I530" s="37" t="s">
        <v>944</v>
      </c>
      <c r="J530" s="37" t="s">
        <v>944</v>
      </c>
      <c r="K530" s="37" t="s">
        <v>105</v>
      </c>
      <c r="L530" s="36">
        <v>1</v>
      </c>
      <c r="M530" s="36">
        <v>1</v>
      </c>
      <c r="N530" s="36">
        <v>3</v>
      </c>
      <c r="O530" s="36">
        <v>5</v>
      </c>
      <c r="P530" s="37" t="s">
        <v>292</v>
      </c>
      <c r="Q530" s="37" t="s">
        <v>1741</v>
      </c>
      <c r="R530" s="37" t="s">
        <v>1742</v>
      </c>
    </row>
    <row r="531" spans="1:18" ht="27.7" hidden="1" thickBot="1" x14ac:dyDescent="0.55000000000000004">
      <c r="A531" s="36">
        <v>529</v>
      </c>
      <c r="B531" s="37" t="s">
        <v>1743</v>
      </c>
      <c r="C531" s="37" t="s">
        <v>1740</v>
      </c>
      <c r="D531" s="37" t="s">
        <v>1440</v>
      </c>
      <c r="E531" s="37" t="s">
        <v>1079</v>
      </c>
      <c r="F531" s="37" t="s">
        <v>1441</v>
      </c>
      <c r="G531" s="37" t="s">
        <v>1441</v>
      </c>
      <c r="H531" s="37" t="s">
        <v>1441</v>
      </c>
      <c r="I531" s="37" t="s">
        <v>944</v>
      </c>
      <c r="J531" s="37" t="s">
        <v>944</v>
      </c>
      <c r="K531" s="37" t="s">
        <v>105</v>
      </c>
      <c r="L531" s="36">
        <v>2</v>
      </c>
      <c r="M531" s="36">
        <v>2</v>
      </c>
      <c r="N531" s="36">
        <v>4</v>
      </c>
      <c r="O531" s="36">
        <v>5</v>
      </c>
      <c r="P531" s="37" t="s">
        <v>292</v>
      </c>
      <c r="Q531" s="37"/>
      <c r="R531" s="37" t="s">
        <v>1744</v>
      </c>
    </row>
    <row r="532" spans="1:18" ht="27.7" hidden="1" thickBot="1" x14ac:dyDescent="0.55000000000000004">
      <c r="A532" s="36">
        <v>530</v>
      </c>
      <c r="B532" s="37" t="s">
        <v>1745</v>
      </c>
      <c r="C532" s="37" t="s">
        <v>1740</v>
      </c>
      <c r="D532" s="37" t="s">
        <v>1440</v>
      </c>
      <c r="E532" s="37" t="s">
        <v>1079</v>
      </c>
      <c r="F532" s="37" t="s">
        <v>1441</v>
      </c>
      <c r="G532" s="37" t="s">
        <v>1441</v>
      </c>
      <c r="H532" s="37" t="s">
        <v>1441</v>
      </c>
      <c r="I532" s="37" t="s">
        <v>944</v>
      </c>
      <c r="J532" s="37" t="s">
        <v>944</v>
      </c>
      <c r="K532" s="37" t="s">
        <v>105</v>
      </c>
      <c r="L532" s="36">
        <v>1</v>
      </c>
      <c r="M532" s="36">
        <v>1</v>
      </c>
      <c r="N532" s="36">
        <v>1</v>
      </c>
      <c r="O532" s="36">
        <v>2</v>
      </c>
      <c r="P532" s="37" t="s">
        <v>292</v>
      </c>
      <c r="Q532" s="37"/>
      <c r="R532" s="37" t="s">
        <v>1746</v>
      </c>
    </row>
    <row r="533" spans="1:18" ht="27.7" hidden="1" thickBot="1" x14ac:dyDescent="0.55000000000000004">
      <c r="A533" s="36">
        <v>531</v>
      </c>
      <c r="B533" s="37" t="s">
        <v>1747</v>
      </c>
      <c r="C533" s="37" t="s">
        <v>1736</v>
      </c>
      <c r="D533" s="37" t="s">
        <v>1440</v>
      </c>
      <c r="E533" s="37" t="s">
        <v>1079</v>
      </c>
      <c r="F533" s="37" t="s">
        <v>1441</v>
      </c>
      <c r="G533" s="37" t="s">
        <v>1441</v>
      </c>
      <c r="H533" s="37" t="s">
        <v>1441</v>
      </c>
      <c r="I533" s="37" t="s">
        <v>944</v>
      </c>
      <c r="J533" s="37" t="s">
        <v>944</v>
      </c>
      <c r="K533" s="37" t="s">
        <v>105</v>
      </c>
      <c r="L533" s="36">
        <v>1</v>
      </c>
      <c r="M533" s="36">
        <v>1</v>
      </c>
      <c r="N533" s="36">
        <v>3</v>
      </c>
      <c r="O533" s="36">
        <v>5</v>
      </c>
      <c r="P533" s="37" t="s">
        <v>292</v>
      </c>
      <c r="Q533" s="37"/>
      <c r="R533" s="37" t="s">
        <v>1748</v>
      </c>
    </row>
    <row r="534" spans="1:18" ht="27.7" hidden="1" thickBot="1" x14ac:dyDescent="0.55000000000000004">
      <c r="A534" s="36">
        <v>532</v>
      </c>
      <c r="B534" s="37" t="s">
        <v>1749</v>
      </c>
      <c r="C534" s="37" t="s">
        <v>1736</v>
      </c>
      <c r="D534" s="37" t="s">
        <v>1440</v>
      </c>
      <c r="E534" s="37" t="s">
        <v>1079</v>
      </c>
      <c r="F534" s="37" t="s">
        <v>1441</v>
      </c>
      <c r="G534" s="37" t="s">
        <v>1441</v>
      </c>
      <c r="H534" s="37" t="s">
        <v>1441</v>
      </c>
      <c r="I534" s="37" t="s">
        <v>944</v>
      </c>
      <c r="J534" s="37" t="s">
        <v>944</v>
      </c>
      <c r="K534" s="37" t="s">
        <v>105</v>
      </c>
      <c r="L534" s="36">
        <v>2</v>
      </c>
      <c r="M534" s="36">
        <v>2</v>
      </c>
      <c r="N534" s="36">
        <v>3</v>
      </c>
      <c r="O534" s="36">
        <v>5</v>
      </c>
      <c r="P534" s="37" t="s">
        <v>292</v>
      </c>
      <c r="Q534" s="37" t="s">
        <v>1750</v>
      </c>
      <c r="R534" s="37" t="s">
        <v>1751</v>
      </c>
    </row>
    <row r="535" spans="1:18" ht="27.7" hidden="1" thickBot="1" x14ac:dyDescent="0.55000000000000004">
      <c r="A535" s="36">
        <v>533</v>
      </c>
      <c r="B535" s="37" t="s">
        <v>1752</v>
      </c>
      <c r="C535" s="37" t="s">
        <v>1753</v>
      </c>
      <c r="D535" s="37" t="s">
        <v>1482</v>
      </c>
      <c r="E535" s="37" t="s">
        <v>1483</v>
      </c>
      <c r="F535" s="37" t="s">
        <v>1530</v>
      </c>
      <c r="G535" s="37" t="s">
        <v>1530</v>
      </c>
      <c r="H535" s="37" t="s">
        <v>1240</v>
      </c>
      <c r="I535" s="37" t="s">
        <v>944</v>
      </c>
      <c r="J535" s="37" t="s">
        <v>944</v>
      </c>
      <c r="K535" s="37" t="s">
        <v>105</v>
      </c>
      <c r="L535" s="36">
        <v>1</v>
      </c>
      <c r="M535" s="36">
        <v>1</v>
      </c>
      <c r="N535" s="36">
        <v>3</v>
      </c>
      <c r="O535" s="36">
        <v>4</v>
      </c>
      <c r="P535" s="37" t="s">
        <v>292</v>
      </c>
      <c r="Q535" s="37" t="s">
        <v>1754</v>
      </c>
      <c r="R535" s="37" t="s">
        <v>1755</v>
      </c>
    </row>
    <row r="536" spans="1:18" ht="27.7" hidden="1" thickBot="1" x14ac:dyDescent="0.55000000000000004">
      <c r="A536" s="36">
        <v>534</v>
      </c>
      <c r="B536" s="37" t="s">
        <v>1756</v>
      </c>
      <c r="C536" s="37" t="s">
        <v>1757</v>
      </c>
      <c r="D536" s="37" t="s">
        <v>1432</v>
      </c>
      <c r="E536" s="37" t="s">
        <v>1374</v>
      </c>
      <c r="F536" s="37" t="s">
        <v>1758</v>
      </c>
      <c r="G536" s="37" t="s">
        <v>1387</v>
      </c>
      <c r="H536" s="37" t="s">
        <v>1387</v>
      </c>
      <c r="I536" s="37" t="s">
        <v>944</v>
      </c>
      <c r="J536" s="37" t="s">
        <v>944</v>
      </c>
      <c r="K536" s="37" t="s">
        <v>1165</v>
      </c>
      <c r="L536" s="36">
        <v>1</v>
      </c>
      <c r="M536" s="36">
        <v>1</v>
      </c>
      <c r="N536" s="36">
        <v>3</v>
      </c>
      <c r="O536" s="36">
        <v>6</v>
      </c>
      <c r="P536" s="37" t="s">
        <v>292</v>
      </c>
      <c r="Q536" s="37"/>
      <c r="R536" s="37" t="s">
        <v>1759</v>
      </c>
    </row>
    <row r="537" spans="1:18" ht="41.35" hidden="1" thickBot="1" x14ac:dyDescent="0.55000000000000004">
      <c r="A537" s="36">
        <v>535</v>
      </c>
      <c r="B537" s="37" t="s">
        <v>1760</v>
      </c>
      <c r="C537" s="37" t="s">
        <v>1431</v>
      </c>
      <c r="D537" s="37" t="s">
        <v>1432</v>
      </c>
      <c r="E537" s="37" t="s">
        <v>1374</v>
      </c>
      <c r="F537" s="37" t="s">
        <v>1758</v>
      </c>
      <c r="G537" s="37" t="s">
        <v>1387</v>
      </c>
      <c r="H537" s="37" t="s">
        <v>1387</v>
      </c>
      <c r="I537" s="37" t="s">
        <v>944</v>
      </c>
      <c r="J537" s="37" t="s">
        <v>944</v>
      </c>
      <c r="K537" s="37" t="s">
        <v>1165</v>
      </c>
      <c r="L537" s="36">
        <v>1</v>
      </c>
      <c r="M537" s="36">
        <v>1</v>
      </c>
      <c r="N537" s="36">
        <v>3</v>
      </c>
      <c r="O537" s="36">
        <v>4</v>
      </c>
      <c r="P537" s="37" t="s">
        <v>292</v>
      </c>
      <c r="Q537" s="37"/>
      <c r="R537" s="37" t="s">
        <v>1761</v>
      </c>
    </row>
    <row r="538" spans="1:18" ht="27.7" hidden="1" thickBot="1" x14ac:dyDescent="0.55000000000000004">
      <c r="A538" s="36">
        <v>536</v>
      </c>
      <c r="B538" s="37" t="s">
        <v>1762</v>
      </c>
      <c r="C538" s="37" t="s">
        <v>1762</v>
      </c>
      <c r="D538" s="37" t="s">
        <v>1432</v>
      </c>
      <c r="E538" s="37" t="s">
        <v>1374</v>
      </c>
      <c r="F538" s="37" t="s">
        <v>1758</v>
      </c>
      <c r="G538" s="37" t="s">
        <v>1387</v>
      </c>
      <c r="H538" s="37" t="s">
        <v>1387</v>
      </c>
      <c r="I538" s="37" t="s">
        <v>944</v>
      </c>
      <c r="J538" s="37" t="s">
        <v>944</v>
      </c>
      <c r="K538" s="37" t="s">
        <v>1165</v>
      </c>
      <c r="L538" s="36">
        <v>1</v>
      </c>
      <c r="M538" s="36">
        <v>1</v>
      </c>
      <c r="N538" s="36">
        <v>3</v>
      </c>
      <c r="O538" s="36">
        <v>5</v>
      </c>
      <c r="P538" s="37" t="s">
        <v>292</v>
      </c>
      <c r="Q538" s="37"/>
      <c r="R538" s="37" t="s">
        <v>1763</v>
      </c>
    </row>
    <row r="539" spans="1:18" ht="27.7" hidden="1" thickBot="1" x14ac:dyDescent="0.55000000000000004">
      <c r="A539" s="36">
        <v>537</v>
      </c>
      <c r="B539" s="37" t="s">
        <v>1764</v>
      </c>
      <c r="C539" s="37" t="s">
        <v>1753</v>
      </c>
      <c r="D539" s="37" t="s">
        <v>1482</v>
      </c>
      <c r="E539" s="37" t="s">
        <v>1483</v>
      </c>
      <c r="F539" s="37" t="s">
        <v>1530</v>
      </c>
      <c r="G539" s="37" t="s">
        <v>1530</v>
      </c>
      <c r="H539" s="37" t="s">
        <v>1484</v>
      </c>
      <c r="I539" s="37" t="s">
        <v>944</v>
      </c>
      <c r="J539" s="37" t="s">
        <v>944</v>
      </c>
      <c r="K539" s="37" t="s">
        <v>105</v>
      </c>
      <c r="L539" s="36">
        <v>1</v>
      </c>
      <c r="M539" s="36">
        <v>1</v>
      </c>
      <c r="N539" s="36">
        <v>3</v>
      </c>
      <c r="O539" s="36">
        <v>3</v>
      </c>
      <c r="P539" s="37" t="s">
        <v>292</v>
      </c>
      <c r="Q539" s="37" t="s">
        <v>1765</v>
      </c>
      <c r="R539" s="37" t="s">
        <v>1766</v>
      </c>
    </row>
    <row r="540" spans="1:18" ht="27.7" hidden="1" thickBot="1" x14ac:dyDescent="0.55000000000000004">
      <c r="A540" s="36">
        <v>538</v>
      </c>
      <c r="B540" s="37" t="s">
        <v>1767</v>
      </c>
      <c r="C540" s="37" t="s">
        <v>1753</v>
      </c>
      <c r="D540" s="37" t="s">
        <v>1482</v>
      </c>
      <c r="E540" s="37" t="s">
        <v>1483</v>
      </c>
      <c r="F540" s="37" t="s">
        <v>1530</v>
      </c>
      <c r="G540" s="37" t="s">
        <v>1530</v>
      </c>
      <c r="H540" s="37" t="s">
        <v>1484</v>
      </c>
      <c r="I540" s="37" t="s">
        <v>944</v>
      </c>
      <c r="J540" s="37" t="s">
        <v>105</v>
      </c>
      <c r="K540" s="37" t="s">
        <v>105</v>
      </c>
      <c r="L540" s="36">
        <v>2</v>
      </c>
      <c r="M540" s="36">
        <v>2</v>
      </c>
      <c r="N540" s="36">
        <v>3</v>
      </c>
      <c r="O540" s="36">
        <v>4</v>
      </c>
      <c r="P540" s="37" t="s">
        <v>292</v>
      </c>
      <c r="Q540" s="37" t="s">
        <v>1768</v>
      </c>
      <c r="R540" s="37" t="s">
        <v>1769</v>
      </c>
    </row>
    <row r="541" spans="1:18" ht="27.7" hidden="1" thickBot="1" x14ac:dyDescent="0.55000000000000004">
      <c r="A541" s="36">
        <v>539</v>
      </c>
      <c r="B541" s="37" t="s">
        <v>1770</v>
      </c>
      <c r="C541" s="37" t="s">
        <v>1753</v>
      </c>
      <c r="D541" s="37" t="s">
        <v>1482</v>
      </c>
      <c r="E541" s="37" t="s">
        <v>1483</v>
      </c>
      <c r="F541" s="37" t="s">
        <v>1490</v>
      </c>
      <c r="G541" s="37" t="s">
        <v>1490</v>
      </c>
      <c r="H541" s="37" t="s">
        <v>1484</v>
      </c>
      <c r="I541" s="37" t="s">
        <v>1465</v>
      </c>
      <c r="J541" s="37" t="s">
        <v>1465</v>
      </c>
      <c r="K541" s="37" t="s">
        <v>105</v>
      </c>
      <c r="L541" s="36">
        <v>1</v>
      </c>
      <c r="M541" s="36">
        <v>3</v>
      </c>
      <c r="N541" s="36">
        <v>3</v>
      </c>
      <c r="O541" s="36">
        <v>4</v>
      </c>
      <c r="P541" s="37" t="s">
        <v>292</v>
      </c>
      <c r="Q541" s="37" t="s">
        <v>1771</v>
      </c>
      <c r="R541" s="37" t="s">
        <v>1772</v>
      </c>
    </row>
    <row r="542" spans="1:18" ht="27.7" hidden="1" thickBot="1" x14ac:dyDescent="0.55000000000000004">
      <c r="A542" s="36">
        <v>540</v>
      </c>
      <c r="B542" s="37" t="s">
        <v>1773</v>
      </c>
      <c r="C542" s="37" t="s">
        <v>1714</v>
      </c>
      <c r="D542" s="37" t="s">
        <v>1482</v>
      </c>
      <c r="E542" s="37" t="s">
        <v>1483</v>
      </c>
      <c r="F542" s="37" t="s">
        <v>1490</v>
      </c>
      <c r="G542" s="37" t="s">
        <v>1490</v>
      </c>
      <c r="H542" s="37" t="s">
        <v>1484</v>
      </c>
      <c r="I542" s="37" t="s">
        <v>1465</v>
      </c>
      <c r="J542" s="37" t="s">
        <v>1465</v>
      </c>
      <c r="K542" s="37" t="s">
        <v>105</v>
      </c>
      <c r="L542" s="36">
        <v>1</v>
      </c>
      <c r="M542" s="36">
        <v>3</v>
      </c>
      <c r="N542" s="36">
        <v>3</v>
      </c>
      <c r="O542" s="36">
        <v>3</v>
      </c>
      <c r="P542" s="37" t="s">
        <v>292</v>
      </c>
      <c r="Q542" s="37" t="s">
        <v>1774</v>
      </c>
      <c r="R542" s="37" t="s">
        <v>1775</v>
      </c>
    </row>
    <row r="543" spans="1:18" ht="27.7" hidden="1" thickBot="1" x14ac:dyDescent="0.55000000000000004">
      <c r="A543" s="36">
        <v>541</v>
      </c>
      <c r="B543" s="37" t="s">
        <v>1776</v>
      </c>
      <c r="C543" s="37" t="s">
        <v>1777</v>
      </c>
      <c r="D543" s="37" t="s">
        <v>1694</v>
      </c>
      <c r="E543" s="37" t="s">
        <v>1483</v>
      </c>
      <c r="F543" s="37" t="s">
        <v>1758</v>
      </c>
      <c r="G543" s="37" t="s">
        <v>1387</v>
      </c>
      <c r="H543" s="37" t="s">
        <v>1387</v>
      </c>
      <c r="I543" s="37" t="s">
        <v>944</v>
      </c>
      <c r="J543" s="37" t="s">
        <v>944</v>
      </c>
      <c r="K543" s="37" t="s">
        <v>1165</v>
      </c>
      <c r="L543" s="36">
        <v>1</v>
      </c>
      <c r="M543" s="36">
        <v>3</v>
      </c>
      <c r="N543" s="36">
        <v>3</v>
      </c>
      <c r="O543" s="36">
        <v>4</v>
      </c>
      <c r="P543" s="37" t="s">
        <v>292</v>
      </c>
      <c r="Q543" s="37"/>
      <c r="R543" s="37" t="s">
        <v>1778</v>
      </c>
    </row>
    <row r="544" spans="1:18" ht="27.7" hidden="1" thickBot="1" x14ac:dyDescent="0.55000000000000004">
      <c r="A544" s="36">
        <v>542</v>
      </c>
      <c r="B544" s="37" t="s">
        <v>1779</v>
      </c>
      <c r="C544" s="37" t="s">
        <v>1780</v>
      </c>
      <c r="D544" s="37" t="s">
        <v>1694</v>
      </c>
      <c r="E544" s="37" t="s">
        <v>1483</v>
      </c>
      <c r="F544" s="37" t="s">
        <v>1758</v>
      </c>
      <c r="G544" s="37" t="s">
        <v>1758</v>
      </c>
      <c r="H544" s="37" t="s">
        <v>1698</v>
      </c>
      <c r="I544" s="37" t="s">
        <v>944</v>
      </c>
      <c r="J544" s="37" t="s">
        <v>944</v>
      </c>
      <c r="K544" s="37" t="s">
        <v>1465</v>
      </c>
      <c r="L544" s="36">
        <v>1</v>
      </c>
      <c r="M544" s="36">
        <v>1</v>
      </c>
      <c r="N544" s="36">
        <v>1</v>
      </c>
      <c r="O544" s="36">
        <v>1</v>
      </c>
      <c r="P544" s="37" t="s">
        <v>265</v>
      </c>
      <c r="Q544" s="37"/>
      <c r="R544" s="37" t="s">
        <v>1781</v>
      </c>
    </row>
    <row r="545" spans="1:18" ht="27.7" hidden="1" thickBot="1" x14ac:dyDescent="0.55000000000000004">
      <c r="A545" s="36">
        <v>543</v>
      </c>
      <c r="B545" s="37" t="s">
        <v>1782</v>
      </c>
      <c r="C545" s="37" t="s">
        <v>1783</v>
      </c>
      <c r="D545" s="37" t="s">
        <v>1784</v>
      </c>
      <c r="E545" s="37" t="s">
        <v>1785</v>
      </c>
      <c r="F545" s="37" t="s">
        <v>1484</v>
      </c>
      <c r="G545" s="37" t="s">
        <v>1484</v>
      </c>
      <c r="H545" s="37" t="s">
        <v>1698</v>
      </c>
      <c r="I545" s="37" t="s">
        <v>1465</v>
      </c>
      <c r="J545" s="37" t="s">
        <v>1465</v>
      </c>
      <c r="K545" s="37" t="s">
        <v>1465</v>
      </c>
      <c r="L545" s="36">
        <v>1</v>
      </c>
      <c r="M545" s="36">
        <v>1</v>
      </c>
      <c r="N545" s="36">
        <v>1</v>
      </c>
      <c r="O545" s="36">
        <v>2</v>
      </c>
      <c r="P545" s="37" t="s">
        <v>265</v>
      </c>
      <c r="Q545" s="37"/>
      <c r="R545" s="37" t="s">
        <v>1786</v>
      </c>
    </row>
    <row r="546" spans="1:18" ht="27.7" hidden="1" thickBot="1" x14ac:dyDescent="0.55000000000000004">
      <c r="A546" s="36">
        <v>544</v>
      </c>
      <c r="B546" s="37" t="s">
        <v>1787</v>
      </c>
      <c r="C546" s="37" t="s">
        <v>1788</v>
      </c>
      <c r="D546" s="37" t="s">
        <v>1394</v>
      </c>
      <c r="E546" s="37" t="s">
        <v>1374</v>
      </c>
      <c r="F546" s="37" t="s">
        <v>1484</v>
      </c>
      <c r="G546" s="37" t="s">
        <v>1484</v>
      </c>
      <c r="H546" s="37" t="s">
        <v>1698</v>
      </c>
      <c r="I546" s="37" t="s">
        <v>1465</v>
      </c>
      <c r="J546" s="37" t="s">
        <v>1465</v>
      </c>
      <c r="K546" s="37" t="s">
        <v>1165</v>
      </c>
      <c r="L546" s="36">
        <v>1</v>
      </c>
      <c r="M546" s="36">
        <v>1</v>
      </c>
      <c r="N546" s="36">
        <v>1</v>
      </c>
      <c r="O546" s="36">
        <v>2</v>
      </c>
      <c r="P546" s="37" t="s">
        <v>292</v>
      </c>
      <c r="Q546" s="37"/>
      <c r="R546" s="37" t="s">
        <v>1789</v>
      </c>
    </row>
    <row r="547" spans="1:18" ht="27.7" hidden="1" thickBot="1" x14ac:dyDescent="0.55000000000000004">
      <c r="A547" s="36">
        <v>545</v>
      </c>
      <c r="B547" s="37" t="s">
        <v>1790</v>
      </c>
      <c r="C547" s="37" t="s">
        <v>1777</v>
      </c>
      <c r="D547" s="37" t="s">
        <v>1694</v>
      </c>
      <c r="E547" s="37" t="s">
        <v>1483</v>
      </c>
      <c r="F547" s="37" t="s">
        <v>1758</v>
      </c>
      <c r="G547" s="37" t="s">
        <v>1387</v>
      </c>
      <c r="H547" s="37" t="s">
        <v>1387</v>
      </c>
      <c r="I547" s="37" t="s">
        <v>944</v>
      </c>
      <c r="J547" s="37" t="s">
        <v>944</v>
      </c>
      <c r="K547" s="37" t="s">
        <v>1165</v>
      </c>
      <c r="L547" s="36">
        <v>1</v>
      </c>
      <c r="M547" s="36">
        <v>4</v>
      </c>
      <c r="N547" s="36">
        <v>4</v>
      </c>
      <c r="O547" s="36">
        <v>5</v>
      </c>
      <c r="P547" s="37" t="s">
        <v>292</v>
      </c>
      <c r="Q547" s="37"/>
      <c r="R547" s="37" t="s">
        <v>1791</v>
      </c>
    </row>
    <row r="548" spans="1:18" ht="27.7" hidden="1" thickBot="1" x14ac:dyDescent="0.55000000000000004">
      <c r="A548" s="36">
        <v>546</v>
      </c>
      <c r="B548" s="37" t="s">
        <v>1792</v>
      </c>
      <c r="C548" s="37" t="s">
        <v>1762</v>
      </c>
      <c r="D548" s="37" t="s">
        <v>1432</v>
      </c>
      <c r="E548" s="37" t="s">
        <v>1374</v>
      </c>
      <c r="F548" s="37" t="s">
        <v>1758</v>
      </c>
      <c r="G548" s="37" t="s">
        <v>1387</v>
      </c>
      <c r="H548" s="37" t="s">
        <v>1387</v>
      </c>
      <c r="I548" s="37" t="s">
        <v>944</v>
      </c>
      <c r="J548" s="37" t="s">
        <v>944</v>
      </c>
      <c r="K548" s="37" t="s">
        <v>1165</v>
      </c>
      <c r="L548" s="36">
        <v>1</v>
      </c>
      <c r="M548" s="36">
        <v>1</v>
      </c>
      <c r="N548" s="36">
        <v>3</v>
      </c>
      <c r="O548" s="36">
        <v>3</v>
      </c>
      <c r="P548" s="37" t="s">
        <v>292</v>
      </c>
      <c r="Q548" s="37"/>
      <c r="R548" s="37" t="s">
        <v>1793</v>
      </c>
    </row>
    <row r="549" spans="1:18" ht="82.35" hidden="1" thickBot="1" x14ac:dyDescent="0.55000000000000004">
      <c r="A549" s="36">
        <v>547</v>
      </c>
      <c r="B549" s="37" t="s">
        <v>1788</v>
      </c>
      <c r="C549" s="37" t="s">
        <v>1788</v>
      </c>
      <c r="D549" s="37" t="s">
        <v>1394</v>
      </c>
      <c r="E549" s="37" t="s">
        <v>1374</v>
      </c>
      <c r="F549" s="37" t="s">
        <v>1758</v>
      </c>
      <c r="G549" s="37" t="s">
        <v>1387</v>
      </c>
      <c r="H549" s="37" t="s">
        <v>1387</v>
      </c>
      <c r="I549" s="37" t="s">
        <v>944</v>
      </c>
      <c r="J549" s="37" t="s">
        <v>944</v>
      </c>
      <c r="K549" s="37" t="s">
        <v>1165</v>
      </c>
      <c r="L549" s="36">
        <v>2</v>
      </c>
      <c r="M549" s="36">
        <v>2</v>
      </c>
      <c r="N549" s="36">
        <v>5</v>
      </c>
      <c r="O549" s="36">
        <v>7</v>
      </c>
      <c r="P549" s="37" t="s">
        <v>292</v>
      </c>
      <c r="Q549" s="37" t="s">
        <v>1794</v>
      </c>
      <c r="R549" s="37" t="s">
        <v>1795</v>
      </c>
    </row>
    <row r="550" spans="1:18" ht="27.7" hidden="1" thickBot="1" x14ac:dyDescent="0.55000000000000004">
      <c r="A550" s="36">
        <v>548</v>
      </c>
      <c r="B550" s="37" t="s">
        <v>1796</v>
      </c>
      <c r="C550" s="37" t="s">
        <v>1797</v>
      </c>
      <c r="D550" s="37" t="s">
        <v>1394</v>
      </c>
      <c r="E550" s="37" t="s">
        <v>1374</v>
      </c>
      <c r="F550" s="37" t="s">
        <v>1758</v>
      </c>
      <c r="G550" s="37" t="s">
        <v>1387</v>
      </c>
      <c r="H550" s="37" t="s">
        <v>1387</v>
      </c>
      <c r="I550" s="37" t="s">
        <v>944</v>
      </c>
      <c r="J550" s="37" t="s">
        <v>944</v>
      </c>
      <c r="K550" s="37" t="s">
        <v>1165</v>
      </c>
      <c r="L550" s="36">
        <v>1</v>
      </c>
      <c r="M550" s="36">
        <v>1</v>
      </c>
      <c r="N550" s="36">
        <v>2</v>
      </c>
      <c r="O550" s="36">
        <v>3</v>
      </c>
      <c r="P550" s="37" t="s">
        <v>292</v>
      </c>
      <c r="Q550" s="37"/>
      <c r="R550" s="37" t="s">
        <v>1798</v>
      </c>
    </row>
    <row r="551" spans="1:18" ht="27.7" hidden="1" thickBot="1" x14ac:dyDescent="0.55000000000000004">
      <c r="A551" s="36">
        <v>549</v>
      </c>
      <c r="B551" s="37" t="s">
        <v>1799</v>
      </c>
      <c r="C551" s="37" t="s">
        <v>1431</v>
      </c>
      <c r="D551" s="37" t="s">
        <v>1432</v>
      </c>
      <c r="E551" s="37" t="s">
        <v>1374</v>
      </c>
      <c r="F551" s="37" t="s">
        <v>1758</v>
      </c>
      <c r="G551" s="37" t="s">
        <v>1387</v>
      </c>
      <c r="H551" s="37" t="s">
        <v>1387</v>
      </c>
      <c r="I551" s="37" t="s">
        <v>944</v>
      </c>
      <c r="J551" s="37" t="s">
        <v>944</v>
      </c>
      <c r="K551" s="37" t="s">
        <v>1165</v>
      </c>
      <c r="L551" s="36">
        <v>1</v>
      </c>
      <c r="M551" s="36">
        <v>1</v>
      </c>
      <c r="N551" s="36">
        <v>3</v>
      </c>
      <c r="O551" s="36">
        <v>4</v>
      </c>
      <c r="P551" s="37" t="s">
        <v>292</v>
      </c>
      <c r="Q551" s="37"/>
      <c r="R551" s="37" t="s">
        <v>1800</v>
      </c>
    </row>
    <row r="552" spans="1:18" ht="27.7" hidden="1" thickBot="1" x14ac:dyDescent="0.55000000000000004">
      <c r="A552" s="36">
        <v>550</v>
      </c>
      <c r="B552" s="37" t="s">
        <v>1801</v>
      </c>
      <c r="C552" s="37" t="s">
        <v>1801</v>
      </c>
      <c r="D552" s="37" t="s">
        <v>1394</v>
      </c>
      <c r="E552" s="37" t="s">
        <v>1374</v>
      </c>
      <c r="F552" s="37" t="s">
        <v>1395</v>
      </c>
      <c r="G552" s="37" t="s">
        <v>1387</v>
      </c>
      <c r="H552" s="37" t="s">
        <v>1387</v>
      </c>
      <c r="I552" s="37" t="s">
        <v>944</v>
      </c>
      <c r="J552" s="37" t="s">
        <v>944</v>
      </c>
      <c r="K552" s="37" t="s">
        <v>1165</v>
      </c>
      <c r="L552" s="36">
        <v>1</v>
      </c>
      <c r="M552" s="36">
        <v>1</v>
      </c>
      <c r="N552" s="36">
        <v>1</v>
      </c>
      <c r="O552" s="36">
        <v>5</v>
      </c>
      <c r="P552" s="37" t="s">
        <v>292</v>
      </c>
      <c r="Q552" s="37"/>
      <c r="R552" s="37" t="s">
        <v>1802</v>
      </c>
    </row>
    <row r="553" spans="1:18" ht="27.7" hidden="1" thickBot="1" x14ac:dyDescent="0.55000000000000004">
      <c r="A553" s="36">
        <v>551</v>
      </c>
      <c r="B553" s="37" t="s">
        <v>1803</v>
      </c>
      <c r="C553" s="37" t="s">
        <v>1393</v>
      </c>
      <c r="D553" s="37" t="s">
        <v>1394</v>
      </c>
      <c r="E553" s="37" t="s">
        <v>1374</v>
      </c>
      <c r="F553" s="37" t="s">
        <v>1804</v>
      </c>
      <c r="G553" s="37" t="s">
        <v>1387</v>
      </c>
      <c r="H553" s="37" t="s">
        <v>1387</v>
      </c>
      <c r="I553" s="37" t="s">
        <v>944</v>
      </c>
      <c r="J553" s="37" t="s">
        <v>944</v>
      </c>
      <c r="K553" s="37" t="s">
        <v>1165</v>
      </c>
      <c r="L553" s="36">
        <v>1</v>
      </c>
      <c r="M553" s="36">
        <v>1</v>
      </c>
      <c r="N553" s="36">
        <v>1</v>
      </c>
      <c r="O553" s="36">
        <v>5</v>
      </c>
      <c r="P553" s="37" t="s">
        <v>292</v>
      </c>
      <c r="Q553" s="37"/>
      <c r="R553" s="37" t="s">
        <v>1805</v>
      </c>
    </row>
    <row r="554" spans="1:18" ht="27.7" hidden="1" thickBot="1" x14ac:dyDescent="0.55000000000000004">
      <c r="A554" s="36">
        <v>552</v>
      </c>
      <c r="B554" s="37" t="s">
        <v>1797</v>
      </c>
      <c r="C554" s="37" t="s">
        <v>1797</v>
      </c>
      <c r="D554" s="37" t="s">
        <v>1394</v>
      </c>
      <c r="E554" s="37" t="s">
        <v>1374</v>
      </c>
      <c r="F554" s="37" t="s">
        <v>1758</v>
      </c>
      <c r="G554" s="37" t="s">
        <v>1387</v>
      </c>
      <c r="H554" s="37" t="s">
        <v>1387</v>
      </c>
      <c r="I554" s="37" t="s">
        <v>944</v>
      </c>
      <c r="J554" s="37" t="s">
        <v>944</v>
      </c>
      <c r="K554" s="37" t="s">
        <v>1165</v>
      </c>
      <c r="L554" s="36">
        <v>1</v>
      </c>
      <c r="M554" s="36">
        <v>1</v>
      </c>
      <c r="N554" s="36">
        <v>1</v>
      </c>
      <c r="O554" s="36">
        <v>3</v>
      </c>
      <c r="P554" s="37" t="s">
        <v>292</v>
      </c>
      <c r="Q554" s="37"/>
      <c r="R554" s="37" t="s">
        <v>1806</v>
      </c>
    </row>
    <row r="555" spans="1:18" ht="27.7" hidden="1" thickBot="1" x14ac:dyDescent="0.55000000000000004">
      <c r="A555" s="36">
        <v>553</v>
      </c>
      <c r="B555" s="37" t="s">
        <v>1807</v>
      </c>
      <c r="C555" s="37" t="s">
        <v>1808</v>
      </c>
      <c r="D555" s="37" t="s">
        <v>1808</v>
      </c>
      <c r="E555" s="37" t="s">
        <v>1374</v>
      </c>
      <c r="F555" s="37" t="s">
        <v>1804</v>
      </c>
      <c r="G555" s="37" t="s">
        <v>1387</v>
      </c>
      <c r="H555" s="37" t="s">
        <v>1387</v>
      </c>
      <c r="I555" s="37" t="s">
        <v>944</v>
      </c>
      <c r="J555" s="37" t="s">
        <v>944</v>
      </c>
      <c r="K555" s="37" t="s">
        <v>944</v>
      </c>
      <c r="L555" s="36">
        <v>1</v>
      </c>
      <c r="M555" s="36">
        <v>1</v>
      </c>
      <c r="N555" s="36">
        <v>1</v>
      </c>
      <c r="O555" s="36">
        <v>2</v>
      </c>
      <c r="P555" s="37" t="s">
        <v>292</v>
      </c>
      <c r="Q555" s="37"/>
      <c r="R555" s="37" t="s">
        <v>1809</v>
      </c>
    </row>
    <row r="556" spans="1:18" ht="27.7" hidden="1" thickBot="1" x14ac:dyDescent="0.55000000000000004">
      <c r="A556" s="36">
        <v>554</v>
      </c>
      <c r="B556" s="37" t="s">
        <v>1808</v>
      </c>
      <c r="C556" s="37" t="s">
        <v>1808</v>
      </c>
      <c r="D556" s="37" t="s">
        <v>1394</v>
      </c>
      <c r="E556" s="37" t="s">
        <v>1374</v>
      </c>
      <c r="F556" s="37" t="s">
        <v>1804</v>
      </c>
      <c r="G556" s="37" t="s">
        <v>1387</v>
      </c>
      <c r="H556" s="37" t="s">
        <v>1387</v>
      </c>
      <c r="I556" s="37" t="s">
        <v>944</v>
      </c>
      <c r="J556" s="37" t="s">
        <v>944</v>
      </c>
      <c r="K556" s="37" t="s">
        <v>1165</v>
      </c>
      <c r="L556" s="36">
        <v>1</v>
      </c>
      <c r="M556" s="36">
        <v>1</v>
      </c>
      <c r="N556" s="36">
        <v>1</v>
      </c>
      <c r="O556" s="36">
        <v>5</v>
      </c>
      <c r="P556" s="37" t="s">
        <v>292</v>
      </c>
      <c r="Q556" s="37"/>
      <c r="R556" s="37" t="s">
        <v>1810</v>
      </c>
    </row>
    <row r="557" spans="1:18" ht="27.7" hidden="1" thickBot="1" x14ac:dyDescent="0.55000000000000004">
      <c r="A557" s="36">
        <v>555</v>
      </c>
      <c r="B557" s="37" t="s">
        <v>1811</v>
      </c>
      <c r="C557" s="37" t="s">
        <v>1811</v>
      </c>
      <c r="D557" s="37" t="s">
        <v>1394</v>
      </c>
      <c r="E557" s="37" t="s">
        <v>1374</v>
      </c>
      <c r="F557" s="37" t="s">
        <v>1804</v>
      </c>
      <c r="G557" s="37" t="s">
        <v>1387</v>
      </c>
      <c r="H557" s="37" t="s">
        <v>1387</v>
      </c>
      <c r="I557" s="37" t="s">
        <v>944</v>
      </c>
      <c r="J557" s="37" t="s">
        <v>944</v>
      </c>
      <c r="K557" s="37" t="s">
        <v>1165</v>
      </c>
      <c r="L557" s="36">
        <v>1</v>
      </c>
      <c r="M557" s="36">
        <v>1</v>
      </c>
      <c r="N557" s="36">
        <v>1</v>
      </c>
      <c r="O557" s="36">
        <v>4</v>
      </c>
      <c r="P557" s="37" t="s">
        <v>292</v>
      </c>
      <c r="Q557" s="37"/>
      <c r="R557" s="37" t="s">
        <v>1812</v>
      </c>
    </row>
    <row r="558" spans="1:18" ht="27.7" hidden="1" thickBot="1" x14ac:dyDescent="0.55000000000000004">
      <c r="A558" s="36">
        <v>556</v>
      </c>
      <c r="B558" s="37" t="s">
        <v>1813</v>
      </c>
      <c r="C558" s="37" t="s">
        <v>1811</v>
      </c>
      <c r="D558" s="37" t="s">
        <v>1394</v>
      </c>
      <c r="E558" s="37" t="s">
        <v>1374</v>
      </c>
      <c r="F558" s="37" t="s">
        <v>1484</v>
      </c>
      <c r="G558" s="37" t="s">
        <v>1484</v>
      </c>
      <c r="H558" s="37" t="s">
        <v>1698</v>
      </c>
      <c r="I558" s="37" t="s">
        <v>1465</v>
      </c>
      <c r="J558" s="37" t="s">
        <v>1465</v>
      </c>
      <c r="K558" s="37" t="s">
        <v>1465</v>
      </c>
      <c r="L558" s="36">
        <v>1</v>
      </c>
      <c r="M558" s="36">
        <v>1</v>
      </c>
      <c r="N558" s="36">
        <v>1</v>
      </c>
      <c r="O558" s="36">
        <v>4</v>
      </c>
      <c r="P558" s="37" t="s">
        <v>292</v>
      </c>
      <c r="Q558" s="37"/>
      <c r="R558" s="37" t="s">
        <v>1814</v>
      </c>
    </row>
    <row r="559" spans="1:18" ht="27.7" hidden="1" thickBot="1" x14ac:dyDescent="0.55000000000000004">
      <c r="A559" s="36">
        <v>557</v>
      </c>
      <c r="B559" s="37" t="s">
        <v>1815</v>
      </c>
      <c r="C559" s="37" t="s">
        <v>1783</v>
      </c>
      <c r="D559" s="37" t="s">
        <v>1784</v>
      </c>
      <c r="E559" s="37" t="s">
        <v>1816</v>
      </c>
      <c r="F559" s="37" t="s">
        <v>1817</v>
      </c>
      <c r="G559" s="37" t="s">
        <v>1484</v>
      </c>
      <c r="H559" s="37" t="s">
        <v>1698</v>
      </c>
      <c r="I559" s="37" t="s">
        <v>1465</v>
      </c>
      <c r="J559" s="37" t="s">
        <v>1465</v>
      </c>
      <c r="K559" s="37" t="s">
        <v>1465</v>
      </c>
      <c r="L559" s="36">
        <v>1</v>
      </c>
      <c r="M559" s="36">
        <v>1</v>
      </c>
      <c r="N559" s="36">
        <v>1</v>
      </c>
      <c r="O559" s="36">
        <v>3</v>
      </c>
      <c r="P559" s="37" t="s">
        <v>265</v>
      </c>
      <c r="Q559" s="37"/>
      <c r="R559" s="37" t="s">
        <v>1818</v>
      </c>
    </row>
    <row r="560" spans="1:18" ht="27.7" hidden="1" thickBot="1" x14ac:dyDescent="0.55000000000000004">
      <c r="A560" s="36">
        <v>558</v>
      </c>
      <c r="B560" s="37" t="s">
        <v>1819</v>
      </c>
      <c r="C560" s="37" t="s">
        <v>1783</v>
      </c>
      <c r="D560" s="37" t="s">
        <v>1784</v>
      </c>
      <c r="E560" s="37" t="s">
        <v>1816</v>
      </c>
      <c r="F560" s="37" t="s">
        <v>1817</v>
      </c>
      <c r="G560" s="37" t="s">
        <v>1484</v>
      </c>
      <c r="H560" s="37" t="s">
        <v>1698</v>
      </c>
      <c r="I560" s="37" t="s">
        <v>1465</v>
      </c>
      <c r="J560" s="37" t="s">
        <v>1465</v>
      </c>
      <c r="K560" s="37" t="s">
        <v>1465</v>
      </c>
      <c r="L560" s="36">
        <v>1</v>
      </c>
      <c r="M560" s="36">
        <v>1</v>
      </c>
      <c r="N560" s="36">
        <v>1</v>
      </c>
      <c r="O560" s="36">
        <v>5</v>
      </c>
      <c r="P560" s="37" t="s">
        <v>265</v>
      </c>
      <c r="Q560" s="37"/>
      <c r="R560" s="37" t="s">
        <v>1820</v>
      </c>
    </row>
    <row r="561" spans="1:18" ht="27.7" hidden="1" thickBot="1" x14ac:dyDescent="0.55000000000000004">
      <c r="A561" s="36">
        <v>559</v>
      </c>
      <c r="B561" s="37" t="s">
        <v>1783</v>
      </c>
      <c r="C561" s="37" t="s">
        <v>1783</v>
      </c>
      <c r="D561" s="37" t="s">
        <v>1784</v>
      </c>
      <c r="E561" s="37" t="s">
        <v>1816</v>
      </c>
      <c r="F561" s="37" t="s">
        <v>1817</v>
      </c>
      <c r="G561" s="37" t="s">
        <v>1817</v>
      </c>
      <c r="H561" s="37" t="s">
        <v>1821</v>
      </c>
      <c r="I561" s="37" t="s">
        <v>1465</v>
      </c>
      <c r="J561" s="37" t="s">
        <v>1465</v>
      </c>
      <c r="K561" s="37" t="s">
        <v>1465</v>
      </c>
      <c r="L561" s="36">
        <v>2</v>
      </c>
      <c r="M561" s="36">
        <v>2</v>
      </c>
      <c r="N561" s="36">
        <v>2</v>
      </c>
      <c r="O561" s="36">
        <v>5</v>
      </c>
      <c r="P561" s="37" t="s">
        <v>265</v>
      </c>
      <c r="Q561" s="37"/>
      <c r="R561" s="37" t="s">
        <v>1822</v>
      </c>
    </row>
    <row r="562" spans="1:18" ht="27.7" hidden="1" thickBot="1" x14ac:dyDescent="0.55000000000000004">
      <c r="A562" s="36">
        <v>560</v>
      </c>
      <c r="B562" s="37" t="s">
        <v>1823</v>
      </c>
      <c r="C562" s="37" t="s">
        <v>1823</v>
      </c>
      <c r="D562" s="37" t="s">
        <v>1784</v>
      </c>
      <c r="E562" s="37" t="s">
        <v>1816</v>
      </c>
      <c r="F562" s="37" t="s">
        <v>1824</v>
      </c>
      <c r="G562" s="37" t="s">
        <v>1824</v>
      </c>
      <c r="H562" s="37" t="s">
        <v>1824</v>
      </c>
      <c r="I562" s="37" t="s">
        <v>1165</v>
      </c>
      <c r="J562" s="37" t="s">
        <v>1165</v>
      </c>
      <c r="K562" s="37" t="s">
        <v>1165</v>
      </c>
      <c r="L562" s="36">
        <v>3</v>
      </c>
      <c r="M562" s="36">
        <v>3</v>
      </c>
      <c r="N562" s="36">
        <v>3</v>
      </c>
      <c r="O562" s="36">
        <v>4</v>
      </c>
      <c r="P562" s="37" t="s">
        <v>265</v>
      </c>
      <c r="Q562" s="37"/>
      <c r="R562" s="37" t="s">
        <v>1825</v>
      </c>
    </row>
    <row r="563" spans="1:18" ht="27.7" hidden="1" thickBot="1" x14ac:dyDescent="0.55000000000000004">
      <c r="A563" s="36">
        <v>561</v>
      </c>
      <c r="B563" s="37" t="s">
        <v>1826</v>
      </c>
      <c r="C563" s="37" t="s">
        <v>1823</v>
      </c>
      <c r="D563" s="37" t="s">
        <v>1784</v>
      </c>
      <c r="E563" s="37" t="s">
        <v>1816</v>
      </c>
      <c r="F563" s="37" t="s">
        <v>1824</v>
      </c>
      <c r="G563" s="37" t="s">
        <v>1824</v>
      </c>
      <c r="H563" s="37" t="s">
        <v>1824</v>
      </c>
      <c r="I563" s="37" t="s">
        <v>1165</v>
      </c>
      <c r="J563" s="37" t="s">
        <v>1165</v>
      </c>
      <c r="K563" s="37" t="s">
        <v>1165</v>
      </c>
      <c r="L563" s="36">
        <v>1</v>
      </c>
      <c r="M563" s="36">
        <v>1</v>
      </c>
      <c r="N563" s="36">
        <v>3</v>
      </c>
      <c r="O563" s="36">
        <v>5</v>
      </c>
      <c r="P563" s="37" t="s">
        <v>265</v>
      </c>
      <c r="Q563" s="37"/>
      <c r="R563" s="37" t="s">
        <v>1827</v>
      </c>
    </row>
    <row r="564" spans="1:18" ht="27.7" hidden="1" thickBot="1" x14ac:dyDescent="0.55000000000000004">
      <c r="A564" s="36">
        <v>562</v>
      </c>
      <c r="B564" s="37" t="s">
        <v>1828</v>
      </c>
      <c r="C564" s="37" t="s">
        <v>1823</v>
      </c>
      <c r="D564" s="37" t="s">
        <v>1784</v>
      </c>
      <c r="E564" s="37" t="s">
        <v>1816</v>
      </c>
      <c r="F564" s="37" t="s">
        <v>1824</v>
      </c>
      <c r="G564" s="37" t="s">
        <v>1824</v>
      </c>
      <c r="H564" s="37" t="s">
        <v>1164</v>
      </c>
      <c r="I564" s="37" t="s">
        <v>1165</v>
      </c>
      <c r="J564" s="37" t="s">
        <v>1165</v>
      </c>
      <c r="K564" s="37" t="s">
        <v>1165</v>
      </c>
      <c r="L564" s="36">
        <v>2</v>
      </c>
      <c r="M564" s="36">
        <v>2</v>
      </c>
      <c r="N564" s="36">
        <v>2</v>
      </c>
      <c r="O564" s="36">
        <v>4</v>
      </c>
      <c r="P564" s="37" t="s">
        <v>265</v>
      </c>
      <c r="Q564" s="37"/>
      <c r="R564" s="37" t="s">
        <v>1829</v>
      </c>
    </row>
    <row r="565" spans="1:18" ht="27.7" hidden="1" thickBot="1" x14ac:dyDescent="0.55000000000000004">
      <c r="A565" s="36">
        <v>563</v>
      </c>
      <c r="B565" s="37" t="s">
        <v>1830</v>
      </c>
      <c r="C565" s="37" t="s">
        <v>1783</v>
      </c>
      <c r="D565" s="37" t="s">
        <v>1784</v>
      </c>
      <c r="E565" s="37" t="s">
        <v>1816</v>
      </c>
      <c r="F565" s="37" t="s">
        <v>1817</v>
      </c>
      <c r="G565" s="37" t="s">
        <v>1484</v>
      </c>
      <c r="H565" s="37" t="s">
        <v>1698</v>
      </c>
      <c r="I565" s="37" t="s">
        <v>1465</v>
      </c>
      <c r="J565" s="37" t="s">
        <v>1465</v>
      </c>
      <c r="K565" s="37" t="s">
        <v>1465</v>
      </c>
      <c r="L565" s="36">
        <v>1</v>
      </c>
      <c r="M565" s="36">
        <v>1</v>
      </c>
      <c r="N565" s="36">
        <v>1</v>
      </c>
      <c r="O565" s="36">
        <v>3</v>
      </c>
      <c r="P565" s="37" t="s">
        <v>265</v>
      </c>
      <c r="Q565" s="37"/>
      <c r="R565" s="37" t="s">
        <v>1831</v>
      </c>
    </row>
    <row r="566" spans="1:18" ht="27.7" hidden="1" thickBot="1" x14ac:dyDescent="0.55000000000000004">
      <c r="A566" s="36">
        <v>564</v>
      </c>
      <c r="B566" s="37" t="s">
        <v>1832</v>
      </c>
      <c r="C566" s="37" t="s">
        <v>1833</v>
      </c>
      <c r="D566" s="37" t="s">
        <v>1784</v>
      </c>
      <c r="E566" s="37" t="s">
        <v>1816</v>
      </c>
      <c r="F566" s="37" t="s">
        <v>1817</v>
      </c>
      <c r="G566" s="37" t="s">
        <v>1817</v>
      </c>
      <c r="H566" s="37" t="s">
        <v>1817</v>
      </c>
      <c r="I566" s="37" t="s">
        <v>1465</v>
      </c>
      <c r="J566" s="37" t="s">
        <v>1465</v>
      </c>
      <c r="K566" s="37" t="s">
        <v>1465</v>
      </c>
      <c r="L566" s="36">
        <v>1</v>
      </c>
      <c r="M566" s="36">
        <v>1</v>
      </c>
      <c r="N566" s="36">
        <v>1</v>
      </c>
      <c r="O566" s="36">
        <v>5</v>
      </c>
      <c r="P566" s="37" t="s">
        <v>292</v>
      </c>
      <c r="Q566" s="37"/>
      <c r="R566" s="37" t="s">
        <v>1834</v>
      </c>
    </row>
    <row r="567" spans="1:18" ht="27.7" hidden="1" thickBot="1" x14ac:dyDescent="0.55000000000000004">
      <c r="A567" s="36">
        <v>565</v>
      </c>
      <c r="B567" s="37" t="s">
        <v>1835</v>
      </c>
      <c r="C567" s="37" t="s">
        <v>1833</v>
      </c>
      <c r="D567" s="37" t="s">
        <v>1784</v>
      </c>
      <c r="E567" s="37" t="s">
        <v>1816</v>
      </c>
      <c r="F567" s="37" t="s">
        <v>1484</v>
      </c>
      <c r="G567" s="37" t="s">
        <v>1817</v>
      </c>
      <c r="H567" s="37" t="s">
        <v>1817</v>
      </c>
      <c r="I567" s="37" t="s">
        <v>1465</v>
      </c>
      <c r="J567" s="37" t="s">
        <v>1465</v>
      </c>
      <c r="K567" s="37" t="s">
        <v>1465</v>
      </c>
      <c r="L567" s="36">
        <v>1</v>
      </c>
      <c r="M567" s="36">
        <v>1</v>
      </c>
      <c r="N567" s="36">
        <v>1</v>
      </c>
      <c r="O567" s="36">
        <v>5</v>
      </c>
      <c r="P567" s="37" t="s">
        <v>292</v>
      </c>
      <c r="Q567" s="37"/>
      <c r="R567" s="37" t="s">
        <v>1836</v>
      </c>
    </row>
    <row r="568" spans="1:18" ht="27.7" hidden="1" thickBot="1" x14ac:dyDescent="0.55000000000000004">
      <c r="A568" s="36">
        <v>566</v>
      </c>
      <c r="B568" s="37" t="s">
        <v>1837</v>
      </c>
      <c r="C568" s="37" t="s">
        <v>1833</v>
      </c>
      <c r="D568" s="37" t="s">
        <v>1784</v>
      </c>
      <c r="E568" s="37" t="s">
        <v>1816</v>
      </c>
      <c r="F568" s="37" t="s">
        <v>1484</v>
      </c>
      <c r="G568" s="37" t="s">
        <v>1817</v>
      </c>
      <c r="H568" s="37" t="s">
        <v>1817</v>
      </c>
      <c r="I568" s="37" t="s">
        <v>1465</v>
      </c>
      <c r="J568" s="37" t="s">
        <v>1465</v>
      </c>
      <c r="K568" s="37" t="s">
        <v>1465</v>
      </c>
      <c r="L568" s="36">
        <v>1</v>
      </c>
      <c r="M568" s="36">
        <v>1</v>
      </c>
      <c r="N568" s="36">
        <v>1</v>
      </c>
      <c r="O568" s="36">
        <v>4</v>
      </c>
      <c r="P568" s="37" t="s">
        <v>292</v>
      </c>
      <c r="Q568" s="37"/>
      <c r="R568" s="37" t="s">
        <v>1838</v>
      </c>
    </row>
    <row r="569" spans="1:18" ht="41.35" hidden="1" thickBot="1" x14ac:dyDescent="0.55000000000000004">
      <c r="A569" s="36">
        <v>567</v>
      </c>
      <c r="B569" s="37" t="s">
        <v>1839</v>
      </c>
      <c r="C569" s="37" t="s">
        <v>1808</v>
      </c>
      <c r="D569" s="37" t="s">
        <v>1808</v>
      </c>
      <c r="E569" s="37" t="s">
        <v>1374</v>
      </c>
      <c r="F569" s="37" t="s">
        <v>1840</v>
      </c>
      <c r="G569" s="37" t="s">
        <v>1387</v>
      </c>
      <c r="H569" s="37" t="s">
        <v>1387</v>
      </c>
      <c r="I569" s="37" t="s">
        <v>944</v>
      </c>
      <c r="J569" s="37" t="s">
        <v>944</v>
      </c>
      <c r="K569" s="37" t="s">
        <v>1165</v>
      </c>
      <c r="L569" s="36">
        <v>1</v>
      </c>
      <c r="M569" s="36">
        <v>1</v>
      </c>
      <c r="N569" s="36">
        <v>1</v>
      </c>
      <c r="O569" s="36">
        <v>4</v>
      </c>
      <c r="P569" s="37" t="s">
        <v>292</v>
      </c>
      <c r="Q569" s="37"/>
      <c r="R569" s="37" t="s">
        <v>1841</v>
      </c>
    </row>
    <row r="570" spans="1:18" ht="27.7" hidden="1" thickBot="1" x14ac:dyDescent="0.55000000000000004">
      <c r="A570" s="36">
        <v>568</v>
      </c>
      <c r="B570" s="37" t="s">
        <v>1393</v>
      </c>
      <c r="C570" s="37" t="s">
        <v>1393</v>
      </c>
      <c r="D570" s="37" t="s">
        <v>1394</v>
      </c>
      <c r="E570" s="37" t="s">
        <v>1374</v>
      </c>
      <c r="F570" s="37" t="s">
        <v>1395</v>
      </c>
      <c r="G570" s="37" t="s">
        <v>1387</v>
      </c>
      <c r="H570" s="37" t="s">
        <v>1387</v>
      </c>
      <c r="I570" s="37" t="s">
        <v>944</v>
      </c>
      <c r="J570" s="37" t="s">
        <v>944</v>
      </c>
      <c r="K570" s="37" t="s">
        <v>944</v>
      </c>
      <c r="L570" s="36">
        <v>1</v>
      </c>
      <c r="M570" s="36">
        <v>1</v>
      </c>
      <c r="N570" s="36">
        <v>1</v>
      </c>
      <c r="O570" s="36">
        <v>4</v>
      </c>
      <c r="P570" s="37" t="s">
        <v>292</v>
      </c>
      <c r="Q570" s="37" t="s">
        <v>1842</v>
      </c>
      <c r="R570" s="37" t="s">
        <v>1843</v>
      </c>
    </row>
    <row r="571" spans="1:18" ht="27.7" hidden="1" thickBot="1" x14ac:dyDescent="0.55000000000000004">
      <c r="A571" s="36">
        <v>569</v>
      </c>
      <c r="B571" s="37" t="s">
        <v>1844</v>
      </c>
      <c r="C571" s="37" t="s">
        <v>1393</v>
      </c>
      <c r="D571" s="37" t="s">
        <v>1394</v>
      </c>
      <c r="E571" s="37" t="s">
        <v>1374</v>
      </c>
      <c r="F571" s="37" t="s">
        <v>1395</v>
      </c>
      <c r="G571" s="37" t="s">
        <v>1387</v>
      </c>
      <c r="H571" s="37" t="s">
        <v>1387</v>
      </c>
      <c r="I571" s="37" t="s">
        <v>944</v>
      </c>
      <c r="J571" s="37" t="s">
        <v>944</v>
      </c>
      <c r="K571" s="37" t="s">
        <v>1165</v>
      </c>
      <c r="L571" s="36">
        <v>1</v>
      </c>
      <c r="M571" s="36">
        <v>1</v>
      </c>
      <c r="N571" s="36">
        <v>1</v>
      </c>
      <c r="O571" s="36">
        <v>3</v>
      </c>
      <c r="P571" s="37" t="s">
        <v>292</v>
      </c>
      <c r="Q571" s="37"/>
      <c r="R571" s="37" t="s">
        <v>1845</v>
      </c>
    </row>
    <row r="572" spans="1:18" ht="27.7" hidden="1" thickBot="1" x14ac:dyDescent="0.55000000000000004">
      <c r="A572" s="36">
        <v>570</v>
      </c>
      <c r="B572" s="37" t="s">
        <v>1846</v>
      </c>
      <c r="C572" s="37" t="s">
        <v>1846</v>
      </c>
      <c r="D572" s="37" t="s">
        <v>1378</v>
      </c>
      <c r="E572" s="37" t="s">
        <v>1374</v>
      </c>
      <c r="F572" s="37" t="s">
        <v>1395</v>
      </c>
      <c r="G572" s="37" t="s">
        <v>1387</v>
      </c>
      <c r="H572" s="37" t="s">
        <v>1387</v>
      </c>
      <c r="I572" s="37" t="s">
        <v>944</v>
      </c>
      <c r="J572" s="37" t="s">
        <v>944</v>
      </c>
      <c r="K572" s="37" t="s">
        <v>1165</v>
      </c>
      <c r="L572" s="36">
        <v>1</v>
      </c>
      <c r="M572" s="36">
        <v>1</v>
      </c>
      <c r="N572" s="36">
        <v>1</v>
      </c>
      <c r="O572" s="36">
        <v>4</v>
      </c>
      <c r="P572" s="37" t="s">
        <v>292</v>
      </c>
      <c r="Q572" s="37"/>
      <c r="R572" s="37" t="s">
        <v>1847</v>
      </c>
    </row>
    <row r="573" spans="1:18" ht="27.7" hidden="1" thickBot="1" x14ac:dyDescent="0.55000000000000004">
      <c r="A573" s="36">
        <v>571</v>
      </c>
      <c r="B573" s="37" t="s">
        <v>1848</v>
      </c>
      <c r="C573" s="37" t="s">
        <v>1386</v>
      </c>
      <c r="D573" s="37" t="s">
        <v>1378</v>
      </c>
      <c r="E573" s="37" t="s">
        <v>1374</v>
      </c>
      <c r="F573" s="37" t="s">
        <v>1379</v>
      </c>
      <c r="G573" s="37" t="s">
        <v>1379</v>
      </c>
      <c r="H573" s="37" t="s">
        <v>1387</v>
      </c>
      <c r="I573" s="37" t="s">
        <v>1003</v>
      </c>
      <c r="J573" s="37" t="s">
        <v>1003</v>
      </c>
      <c r="K573" s="37" t="s">
        <v>1165</v>
      </c>
      <c r="L573" s="36">
        <v>1</v>
      </c>
      <c r="M573" s="36">
        <v>1</v>
      </c>
      <c r="N573" s="36">
        <v>3</v>
      </c>
      <c r="O573" s="36">
        <v>4</v>
      </c>
      <c r="P573" s="37" t="s">
        <v>292</v>
      </c>
      <c r="Q573" s="37"/>
      <c r="R573" s="37" t="s">
        <v>1849</v>
      </c>
    </row>
    <row r="574" spans="1:18" ht="27.7" hidden="1" thickBot="1" x14ac:dyDescent="0.55000000000000004">
      <c r="A574" s="36">
        <v>572</v>
      </c>
      <c r="B574" s="37" t="s">
        <v>1850</v>
      </c>
      <c r="C574" s="37" t="s">
        <v>1386</v>
      </c>
      <c r="D574" s="37" t="s">
        <v>1378</v>
      </c>
      <c r="E574" s="37" t="s">
        <v>1374</v>
      </c>
      <c r="F574" s="37" t="s">
        <v>1379</v>
      </c>
      <c r="G574" s="37" t="s">
        <v>1379</v>
      </c>
      <c r="H574" s="37" t="s">
        <v>1387</v>
      </c>
      <c r="I574" s="37" t="s">
        <v>1003</v>
      </c>
      <c r="J574" s="37" t="s">
        <v>1003</v>
      </c>
      <c r="K574" s="37" t="s">
        <v>1165</v>
      </c>
      <c r="L574" s="36">
        <v>1</v>
      </c>
      <c r="M574" s="36">
        <v>1</v>
      </c>
      <c r="N574" s="36">
        <v>4</v>
      </c>
      <c r="O574" s="36">
        <v>6</v>
      </c>
      <c r="P574" s="37" t="s">
        <v>292</v>
      </c>
      <c r="Q574" s="37"/>
      <c r="R574" s="37" t="s">
        <v>1851</v>
      </c>
    </row>
    <row r="575" spans="1:18" ht="41.35" hidden="1" thickBot="1" x14ac:dyDescent="0.55000000000000004">
      <c r="A575" s="36">
        <v>573</v>
      </c>
      <c r="B575" s="37" t="s">
        <v>1852</v>
      </c>
      <c r="C575" s="37" t="s">
        <v>1378</v>
      </c>
      <c r="D575" s="37" t="s">
        <v>1378</v>
      </c>
      <c r="E575" s="37" t="s">
        <v>1374</v>
      </c>
      <c r="F575" s="37" t="s">
        <v>1853</v>
      </c>
      <c r="G575" s="37" t="s">
        <v>1853</v>
      </c>
      <c r="H575" s="37" t="s">
        <v>1853</v>
      </c>
      <c r="I575" s="37" t="s">
        <v>1003</v>
      </c>
      <c r="J575" s="37" t="s">
        <v>1003</v>
      </c>
      <c r="K575" s="37" t="s">
        <v>1165</v>
      </c>
      <c r="L575" s="36">
        <v>1</v>
      </c>
      <c r="M575" s="36">
        <v>1</v>
      </c>
      <c r="N575" s="36">
        <v>1</v>
      </c>
      <c r="O575" s="36">
        <v>3</v>
      </c>
      <c r="P575" s="37" t="s">
        <v>292</v>
      </c>
      <c r="Q575" s="37"/>
      <c r="R575" s="37" t="s">
        <v>1854</v>
      </c>
    </row>
    <row r="576" spans="1:18" ht="27.7" hidden="1" thickBot="1" x14ac:dyDescent="0.55000000000000004">
      <c r="A576" s="36">
        <v>574</v>
      </c>
      <c r="B576" s="37" t="s">
        <v>1386</v>
      </c>
      <c r="C576" s="37" t="s">
        <v>1386</v>
      </c>
      <c r="D576" s="37" t="s">
        <v>1378</v>
      </c>
      <c r="E576" s="37" t="s">
        <v>1374</v>
      </c>
      <c r="F576" s="37" t="s">
        <v>1379</v>
      </c>
      <c r="G576" s="37" t="s">
        <v>1379</v>
      </c>
      <c r="H576" s="37" t="s">
        <v>1387</v>
      </c>
      <c r="I576" s="37" t="s">
        <v>1003</v>
      </c>
      <c r="J576" s="37" t="s">
        <v>1003</v>
      </c>
      <c r="K576" s="37" t="s">
        <v>1165</v>
      </c>
      <c r="L576" s="36">
        <v>1</v>
      </c>
      <c r="M576" s="36">
        <v>1</v>
      </c>
      <c r="N576" s="36">
        <v>1</v>
      </c>
      <c r="O576" s="36">
        <v>4</v>
      </c>
      <c r="P576" s="37" t="s">
        <v>292</v>
      </c>
      <c r="Q576" s="37" t="s">
        <v>1855</v>
      </c>
      <c r="R576" s="37" t="s">
        <v>1856</v>
      </c>
    </row>
    <row r="577" spans="1:18" ht="27.7" hidden="1" thickBot="1" x14ac:dyDescent="0.55000000000000004">
      <c r="A577" s="36">
        <v>575</v>
      </c>
      <c r="B577" s="37" t="s">
        <v>1857</v>
      </c>
      <c r="C577" s="37" t="s">
        <v>1857</v>
      </c>
      <c r="D577" s="37" t="s">
        <v>1378</v>
      </c>
      <c r="E577" s="37" t="s">
        <v>1374</v>
      </c>
      <c r="F577" s="37" t="s">
        <v>1853</v>
      </c>
      <c r="G577" s="37" t="s">
        <v>1853</v>
      </c>
      <c r="H577" s="37" t="s">
        <v>1853</v>
      </c>
      <c r="I577" s="37" t="s">
        <v>1003</v>
      </c>
      <c r="J577" s="37" t="s">
        <v>1003</v>
      </c>
      <c r="K577" s="37" t="s">
        <v>1165</v>
      </c>
      <c r="L577" s="36">
        <v>2</v>
      </c>
      <c r="M577" s="36">
        <v>2</v>
      </c>
      <c r="N577" s="36">
        <v>2</v>
      </c>
      <c r="O577" s="36">
        <v>4</v>
      </c>
      <c r="P577" s="37" t="s">
        <v>292</v>
      </c>
      <c r="Q577" s="37" t="s">
        <v>1858</v>
      </c>
      <c r="R577" s="37" t="s">
        <v>1859</v>
      </c>
    </row>
    <row r="578" spans="1:18" ht="27.7" hidden="1" thickBot="1" x14ac:dyDescent="0.55000000000000004">
      <c r="A578" s="36">
        <v>576</v>
      </c>
      <c r="B578" s="37" t="s">
        <v>1860</v>
      </c>
      <c r="C578" s="37" t="s">
        <v>1860</v>
      </c>
      <c r="D578" s="37" t="s">
        <v>1808</v>
      </c>
      <c r="E578" s="37" t="s">
        <v>1374</v>
      </c>
      <c r="F578" s="37" t="s">
        <v>1804</v>
      </c>
      <c r="G578" s="37" t="s">
        <v>1387</v>
      </c>
      <c r="H578" s="37" t="s">
        <v>1387</v>
      </c>
      <c r="I578" s="37" t="s">
        <v>944</v>
      </c>
      <c r="J578" s="37" t="s">
        <v>944</v>
      </c>
      <c r="K578" s="37" t="s">
        <v>1165</v>
      </c>
      <c r="L578" s="36">
        <v>2</v>
      </c>
      <c r="M578" s="36">
        <v>2</v>
      </c>
      <c r="N578" s="36">
        <v>2</v>
      </c>
      <c r="O578" s="36">
        <v>3</v>
      </c>
      <c r="P578" s="37" t="s">
        <v>292</v>
      </c>
      <c r="Q578" s="37"/>
      <c r="R578" s="37" t="s">
        <v>1861</v>
      </c>
    </row>
    <row r="579" spans="1:18" ht="27.7" hidden="1" thickBot="1" x14ac:dyDescent="0.55000000000000004">
      <c r="A579" s="36">
        <v>577</v>
      </c>
      <c r="B579" s="37" t="s">
        <v>1862</v>
      </c>
      <c r="C579" s="37" t="s">
        <v>1863</v>
      </c>
      <c r="D579" s="37" t="s">
        <v>1808</v>
      </c>
      <c r="E579" s="37" t="s">
        <v>1374</v>
      </c>
      <c r="F579" s="37" t="s">
        <v>1379</v>
      </c>
      <c r="G579" s="37" t="s">
        <v>1387</v>
      </c>
      <c r="H579" s="37" t="s">
        <v>1387</v>
      </c>
      <c r="I579" s="37" t="s">
        <v>1003</v>
      </c>
      <c r="J579" s="37" t="s">
        <v>944</v>
      </c>
      <c r="K579" s="37" t="s">
        <v>1165</v>
      </c>
      <c r="L579" s="36">
        <v>1</v>
      </c>
      <c r="M579" s="36">
        <v>1</v>
      </c>
      <c r="N579" s="36">
        <v>1</v>
      </c>
      <c r="O579" s="36">
        <v>4</v>
      </c>
      <c r="P579" s="37" t="s">
        <v>292</v>
      </c>
      <c r="Q579" s="37"/>
      <c r="R579" s="37" t="s">
        <v>1864</v>
      </c>
    </row>
    <row r="580" spans="1:18" ht="27.7" hidden="1" thickBot="1" x14ac:dyDescent="0.55000000000000004">
      <c r="A580" s="36">
        <v>578</v>
      </c>
      <c r="B580" s="37" t="s">
        <v>1865</v>
      </c>
      <c r="C580" s="37" t="s">
        <v>1863</v>
      </c>
      <c r="D580" s="37" t="s">
        <v>1808</v>
      </c>
      <c r="E580" s="37" t="s">
        <v>1374</v>
      </c>
      <c r="F580" s="37" t="s">
        <v>1853</v>
      </c>
      <c r="G580" s="37" t="s">
        <v>1387</v>
      </c>
      <c r="H580" s="37" t="s">
        <v>1387</v>
      </c>
      <c r="I580" s="37" t="s">
        <v>1003</v>
      </c>
      <c r="J580" s="37" t="s">
        <v>944</v>
      </c>
      <c r="K580" s="37" t="s">
        <v>1165</v>
      </c>
      <c r="L580" s="36">
        <v>1</v>
      </c>
      <c r="M580" s="36">
        <v>1</v>
      </c>
      <c r="N580" s="36">
        <v>1</v>
      </c>
      <c r="O580" s="36">
        <v>4</v>
      </c>
      <c r="P580" s="37" t="s">
        <v>292</v>
      </c>
      <c r="Q580" s="37"/>
      <c r="R580" s="37" t="s">
        <v>1866</v>
      </c>
    </row>
    <row r="581" spans="1:18" ht="27.7" hidden="1" thickBot="1" x14ac:dyDescent="0.55000000000000004">
      <c r="A581" s="36">
        <v>579</v>
      </c>
      <c r="B581" s="37" t="s">
        <v>1867</v>
      </c>
      <c r="C581" s="37" t="s">
        <v>1867</v>
      </c>
      <c r="D581" s="37" t="s">
        <v>1366</v>
      </c>
      <c r="E581" s="37" t="s">
        <v>1345</v>
      </c>
      <c r="F581" s="37" t="s">
        <v>1379</v>
      </c>
      <c r="G581" s="37" t="s">
        <v>1379</v>
      </c>
      <c r="H581" s="37" t="s">
        <v>1379</v>
      </c>
      <c r="I581" s="37" t="s">
        <v>1003</v>
      </c>
      <c r="J581" s="37" t="s">
        <v>1003</v>
      </c>
      <c r="K581" s="37" t="s">
        <v>1003</v>
      </c>
      <c r="L581" s="36">
        <v>1</v>
      </c>
      <c r="M581" s="36">
        <v>1</v>
      </c>
      <c r="N581" s="36">
        <v>1</v>
      </c>
      <c r="O581" s="36">
        <v>4</v>
      </c>
      <c r="P581" s="37" t="s">
        <v>292</v>
      </c>
      <c r="Q581" s="37"/>
      <c r="R581" s="37" t="s">
        <v>1868</v>
      </c>
    </row>
    <row r="582" spans="1:18" ht="27.7" hidden="1" thickBot="1" x14ac:dyDescent="0.55000000000000004">
      <c r="A582" s="36">
        <v>580</v>
      </c>
      <c r="B582" s="37" t="s">
        <v>1863</v>
      </c>
      <c r="C582" s="37" t="s">
        <v>1863</v>
      </c>
      <c r="D582" s="37" t="s">
        <v>1808</v>
      </c>
      <c r="E582" s="37" t="s">
        <v>1374</v>
      </c>
      <c r="F582" s="37" t="s">
        <v>1853</v>
      </c>
      <c r="G582" s="37" t="s">
        <v>1387</v>
      </c>
      <c r="H582" s="37" t="s">
        <v>1387</v>
      </c>
      <c r="I582" s="37" t="s">
        <v>1003</v>
      </c>
      <c r="J582" s="37" t="s">
        <v>944</v>
      </c>
      <c r="K582" s="37" t="s">
        <v>1165</v>
      </c>
      <c r="L582" s="36">
        <v>1</v>
      </c>
      <c r="M582" s="36">
        <v>1</v>
      </c>
      <c r="N582" s="36">
        <v>1</v>
      </c>
      <c r="O582" s="36">
        <v>4</v>
      </c>
      <c r="P582" s="37" t="s">
        <v>292</v>
      </c>
      <c r="Q582" s="37"/>
      <c r="R582" s="37" t="s">
        <v>1869</v>
      </c>
    </row>
    <row r="583" spans="1:18" ht="27.7" hidden="1" thickBot="1" x14ac:dyDescent="0.55000000000000004">
      <c r="A583" s="36">
        <v>581</v>
      </c>
      <c r="B583" s="37" t="s">
        <v>1870</v>
      </c>
      <c r="C583" s="37" t="s">
        <v>1870</v>
      </c>
      <c r="D583" s="37" t="s">
        <v>1808</v>
      </c>
      <c r="E583" s="37" t="s">
        <v>1374</v>
      </c>
      <c r="F583" s="37" t="s">
        <v>1379</v>
      </c>
      <c r="G583" s="37" t="s">
        <v>1379</v>
      </c>
      <c r="H583" s="37" t="s">
        <v>1379</v>
      </c>
      <c r="I583" s="37" t="s">
        <v>1003</v>
      </c>
      <c r="J583" s="37" t="s">
        <v>1003</v>
      </c>
      <c r="K583" s="37" t="s">
        <v>1165</v>
      </c>
      <c r="L583" s="36">
        <v>1</v>
      </c>
      <c r="M583" s="36">
        <v>1</v>
      </c>
      <c r="N583" s="36">
        <v>1</v>
      </c>
      <c r="O583" s="36">
        <v>3</v>
      </c>
      <c r="P583" s="37" t="s">
        <v>292</v>
      </c>
      <c r="Q583" s="37" t="s">
        <v>1871</v>
      </c>
      <c r="R583" s="37" t="s">
        <v>1872</v>
      </c>
    </row>
    <row r="584" spans="1:18" ht="27.7" hidden="1" thickBot="1" x14ac:dyDescent="0.55000000000000004">
      <c r="A584" s="36">
        <v>582</v>
      </c>
      <c r="B584" s="37" t="s">
        <v>1378</v>
      </c>
      <c r="C584" s="37" t="s">
        <v>1378</v>
      </c>
      <c r="D584" s="37" t="s">
        <v>1378</v>
      </c>
      <c r="E584" s="37" t="s">
        <v>1374</v>
      </c>
      <c r="F584" s="37" t="s">
        <v>1379</v>
      </c>
      <c r="G584" s="37" t="s">
        <v>1379</v>
      </c>
      <c r="H584" s="37" t="s">
        <v>1379</v>
      </c>
      <c r="I584" s="37" t="s">
        <v>1003</v>
      </c>
      <c r="J584" s="37" t="s">
        <v>1003</v>
      </c>
      <c r="K584" s="37" t="s">
        <v>1165</v>
      </c>
      <c r="L584" s="36">
        <v>1</v>
      </c>
      <c r="M584" s="36">
        <v>1</v>
      </c>
      <c r="N584" s="36">
        <v>1</v>
      </c>
      <c r="O584" s="36">
        <v>6</v>
      </c>
      <c r="P584" s="37" t="s">
        <v>292</v>
      </c>
      <c r="Q584" s="37"/>
      <c r="R584" s="37" t="s">
        <v>1873</v>
      </c>
    </row>
    <row r="585" spans="1:18" ht="27.7" hidden="1" thickBot="1" x14ac:dyDescent="0.55000000000000004">
      <c r="A585" s="36">
        <v>583</v>
      </c>
      <c r="B585" s="37" t="s">
        <v>1874</v>
      </c>
      <c r="C585" s="37" t="s">
        <v>1378</v>
      </c>
      <c r="D585" s="37" t="s">
        <v>1378</v>
      </c>
      <c r="E585" s="37" t="s">
        <v>1374</v>
      </c>
      <c r="F585" s="37" t="s">
        <v>1379</v>
      </c>
      <c r="G585" s="37" t="s">
        <v>1379</v>
      </c>
      <c r="H585" s="37" t="s">
        <v>1387</v>
      </c>
      <c r="I585" s="37" t="s">
        <v>1003</v>
      </c>
      <c r="J585" s="37" t="s">
        <v>1003</v>
      </c>
      <c r="K585" s="37" t="s">
        <v>1165</v>
      </c>
      <c r="L585" s="36">
        <v>1</v>
      </c>
      <c r="M585" s="36">
        <v>1</v>
      </c>
      <c r="N585" s="36">
        <v>2</v>
      </c>
      <c r="O585" s="36">
        <v>4</v>
      </c>
      <c r="P585" s="37" t="s">
        <v>292</v>
      </c>
      <c r="Q585" s="37" t="s">
        <v>1875</v>
      </c>
      <c r="R585" s="37" t="s">
        <v>1876</v>
      </c>
    </row>
    <row r="586" spans="1:18" ht="41.35" hidden="1" thickBot="1" x14ac:dyDescent="0.55000000000000004">
      <c r="A586" s="36">
        <v>584</v>
      </c>
      <c r="B586" s="37" t="s">
        <v>1877</v>
      </c>
      <c r="C586" s="37" t="s">
        <v>1378</v>
      </c>
      <c r="D586" s="37" t="s">
        <v>1378</v>
      </c>
      <c r="E586" s="37" t="s">
        <v>1374</v>
      </c>
      <c r="F586" s="37" t="s">
        <v>1379</v>
      </c>
      <c r="G586" s="37" t="s">
        <v>1379</v>
      </c>
      <c r="H586" s="37" t="s">
        <v>1379</v>
      </c>
      <c r="I586" s="37" t="s">
        <v>1003</v>
      </c>
      <c r="J586" s="37" t="s">
        <v>1003</v>
      </c>
      <c r="K586" s="37" t="s">
        <v>1165</v>
      </c>
      <c r="L586" s="36">
        <v>1</v>
      </c>
      <c r="M586" s="36">
        <v>1</v>
      </c>
      <c r="N586" s="36">
        <v>1</v>
      </c>
      <c r="O586" s="36">
        <v>3</v>
      </c>
      <c r="P586" s="37" t="s">
        <v>292</v>
      </c>
      <c r="Q586" s="37" t="s">
        <v>1878</v>
      </c>
      <c r="R586" s="37" t="s">
        <v>1879</v>
      </c>
    </row>
    <row r="587" spans="1:18" ht="27.7" hidden="1" thickBot="1" x14ac:dyDescent="0.55000000000000004">
      <c r="A587" s="36">
        <v>585</v>
      </c>
      <c r="B587" s="37" t="s">
        <v>1880</v>
      </c>
      <c r="C587" s="37" t="s">
        <v>1378</v>
      </c>
      <c r="D587" s="37" t="s">
        <v>1378</v>
      </c>
      <c r="E587" s="37" t="s">
        <v>1374</v>
      </c>
      <c r="F587" s="37" t="s">
        <v>1379</v>
      </c>
      <c r="G587" s="37" t="s">
        <v>1379</v>
      </c>
      <c r="H587" s="37" t="s">
        <v>1379</v>
      </c>
      <c r="I587" s="37" t="s">
        <v>1003</v>
      </c>
      <c r="J587" s="37" t="s">
        <v>1003</v>
      </c>
      <c r="K587" s="37" t="s">
        <v>1165</v>
      </c>
      <c r="L587" s="36">
        <v>1</v>
      </c>
      <c r="M587" s="36">
        <v>1</v>
      </c>
      <c r="N587" s="36">
        <v>1</v>
      </c>
      <c r="O587" s="36">
        <v>3</v>
      </c>
      <c r="P587" s="37" t="s">
        <v>292</v>
      </c>
      <c r="Q587" s="37"/>
      <c r="R587" s="37" t="s">
        <v>1881</v>
      </c>
    </row>
    <row r="588" spans="1:18" ht="27.7" hidden="1" thickBot="1" x14ac:dyDescent="0.55000000000000004">
      <c r="A588" s="36">
        <v>586</v>
      </c>
      <c r="B588" s="37" t="s">
        <v>1882</v>
      </c>
      <c r="C588" s="37" t="s">
        <v>1365</v>
      </c>
      <c r="D588" s="37" t="s">
        <v>1366</v>
      </c>
      <c r="E588" s="37" t="s">
        <v>1345</v>
      </c>
      <c r="F588" s="37" t="s">
        <v>1379</v>
      </c>
      <c r="G588" s="37" t="s">
        <v>1379</v>
      </c>
      <c r="H588" s="37" t="s">
        <v>1379</v>
      </c>
      <c r="I588" s="37" t="s">
        <v>1003</v>
      </c>
      <c r="J588" s="37" t="s">
        <v>1003</v>
      </c>
      <c r="K588" s="37" t="s">
        <v>1003</v>
      </c>
      <c r="L588" s="36">
        <v>1</v>
      </c>
      <c r="M588" s="36">
        <v>1</v>
      </c>
      <c r="N588" s="36">
        <v>2</v>
      </c>
      <c r="O588" s="36">
        <v>4</v>
      </c>
      <c r="P588" s="37" t="s">
        <v>292</v>
      </c>
      <c r="Q588" s="37"/>
      <c r="R588" s="37" t="s">
        <v>1883</v>
      </c>
    </row>
    <row r="589" spans="1:18" ht="27.7" hidden="1" thickBot="1" x14ac:dyDescent="0.55000000000000004">
      <c r="A589" s="36">
        <v>587</v>
      </c>
      <c r="B589" s="37" t="s">
        <v>1884</v>
      </c>
      <c r="C589" s="37" t="s">
        <v>1846</v>
      </c>
      <c r="D589" s="37" t="s">
        <v>1378</v>
      </c>
      <c r="E589" s="37" t="s">
        <v>1374</v>
      </c>
      <c r="F589" s="37" t="s">
        <v>1853</v>
      </c>
      <c r="G589" s="37" t="s">
        <v>1387</v>
      </c>
      <c r="H589" s="37" t="s">
        <v>1387</v>
      </c>
      <c r="I589" s="37" t="s">
        <v>1003</v>
      </c>
      <c r="J589" s="37" t="s">
        <v>944</v>
      </c>
      <c r="K589" s="37" t="s">
        <v>1165</v>
      </c>
      <c r="L589" s="36">
        <v>1</v>
      </c>
      <c r="M589" s="36">
        <v>1</v>
      </c>
      <c r="N589" s="36">
        <v>2</v>
      </c>
      <c r="O589" s="36">
        <v>3</v>
      </c>
      <c r="P589" s="37" t="s">
        <v>292</v>
      </c>
      <c r="Q589" s="37"/>
      <c r="R589" s="37" t="s">
        <v>1885</v>
      </c>
    </row>
    <row r="590" spans="1:18" ht="27.7" hidden="1" thickBot="1" x14ac:dyDescent="0.55000000000000004">
      <c r="A590" s="36">
        <v>588</v>
      </c>
      <c r="B590" s="37" t="s">
        <v>1365</v>
      </c>
      <c r="C590" s="37" t="s">
        <v>1365</v>
      </c>
      <c r="D590" s="37" t="s">
        <v>1366</v>
      </c>
      <c r="E590" s="37" t="s">
        <v>1345</v>
      </c>
      <c r="F590" s="37" t="s">
        <v>1379</v>
      </c>
      <c r="G590" s="37" t="s">
        <v>1379</v>
      </c>
      <c r="H590" s="37" t="s">
        <v>1379</v>
      </c>
      <c r="I590" s="37" t="s">
        <v>1003</v>
      </c>
      <c r="J590" s="37" t="s">
        <v>1003</v>
      </c>
      <c r="K590" s="37" t="s">
        <v>1003</v>
      </c>
      <c r="L590" s="36">
        <v>2</v>
      </c>
      <c r="M590" s="36">
        <v>2</v>
      </c>
      <c r="N590" s="36">
        <v>2</v>
      </c>
      <c r="O590" s="36">
        <v>3</v>
      </c>
      <c r="P590" s="37" t="s">
        <v>292</v>
      </c>
      <c r="Q590" s="37"/>
      <c r="R590" s="37" t="s">
        <v>1886</v>
      </c>
    </row>
    <row r="591" spans="1:18" ht="41.35" hidden="1" thickBot="1" x14ac:dyDescent="0.55000000000000004">
      <c r="A591" s="36">
        <v>589</v>
      </c>
      <c r="B591" s="37" t="s">
        <v>1887</v>
      </c>
      <c r="C591" s="37" t="s">
        <v>1888</v>
      </c>
      <c r="D591" s="37" t="s">
        <v>1366</v>
      </c>
      <c r="E591" s="37" t="s">
        <v>1345</v>
      </c>
      <c r="F591" s="37" t="s">
        <v>1379</v>
      </c>
      <c r="G591" s="37" t="s">
        <v>1379</v>
      </c>
      <c r="H591" s="37" t="s">
        <v>1379</v>
      </c>
      <c r="I591" s="37" t="s">
        <v>1003</v>
      </c>
      <c r="J591" s="37" t="s">
        <v>1003</v>
      </c>
      <c r="K591" s="37" t="s">
        <v>1003</v>
      </c>
      <c r="L591" s="36">
        <v>1</v>
      </c>
      <c r="M591" s="36">
        <v>1</v>
      </c>
      <c r="N591" s="36">
        <v>1</v>
      </c>
      <c r="O591" s="36">
        <v>4</v>
      </c>
      <c r="P591" s="37" t="s">
        <v>292</v>
      </c>
      <c r="Q591" s="37"/>
      <c r="R591" s="37" t="s">
        <v>1889</v>
      </c>
    </row>
    <row r="592" spans="1:18" ht="27.7" hidden="1" thickBot="1" x14ac:dyDescent="0.55000000000000004">
      <c r="A592" s="36">
        <v>590</v>
      </c>
      <c r="B592" s="37" t="s">
        <v>1890</v>
      </c>
      <c r="C592" s="37" t="s">
        <v>1888</v>
      </c>
      <c r="D592" s="37" t="s">
        <v>1366</v>
      </c>
      <c r="E592" s="37" t="s">
        <v>1345</v>
      </c>
      <c r="F592" s="37" t="s">
        <v>1379</v>
      </c>
      <c r="G592" s="37" t="s">
        <v>1379</v>
      </c>
      <c r="H592" s="37" t="s">
        <v>1379</v>
      </c>
      <c r="I592" s="37" t="s">
        <v>1003</v>
      </c>
      <c r="J592" s="37" t="s">
        <v>1003</v>
      </c>
      <c r="K592" s="37" t="s">
        <v>1003</v>
      </c>
      <c r="L592" s="36">
        <v>1</v>
      </c>
      <c r="M592" s="36">
        <v>1</v>
      </c>
      <c r="N592" s="36">
        <v>2</v>
      </c>
      <c r="O592" s="36">
        <v>4</v>
      </c>
      <c r="P592" s="37" t="s">
        <v>292</v>
      </c>
      <c r="Q592" s="37"/>
      <c r="R592" s="37" t="s">
        <v>1891</v>
      </c>
    </row>
    <row r="593" spans="1:18" ht="41.35" hidden="1" thickBot="1" x14ac:dyDescent="0.55000000000000004">
      <c r="A593" s="36">
        <v>591</v>
      </c>
      <c r="B593" s="37" t="s">
        <v>1888</v>
      </c>
      <c r="C593" s="37" t="s">
        <v>1888</v>
      </c>
      <c r="D593" s="37" t="s">
        <v>1366</v>
      </c>
      <c r="E593" s="37" t="s">
        <v>1345</v>
      </c>
      <c r="F593" s="37" t="s">
        <v>1379</v>
      </c>
      <c r="G593" s="37" t="s">
        <v>1379</v>
      </c>
      <c r="H593" s="37" t="s">
        <v>1379</v>
      </c>
      <c r="I593" s="37" t="s">
        <v>1003</v>
      </c>
      <c r="J593" s="37" t="s">
        <v>1003</v>
      </c>
      <c r="K593" s="37" t="s">
        <v>1003</v>
      </c>
      <c r="L593" s="36">
        <v>1</v>
      </c>
      <c r="M593" s="36">
        <v>1</v>
      </c>
      <c r="N593" s="36">
        <v>1</v>
      </c>
      <c r="O593" s="36">
        <v>4</v>
      </c>
      <c r="P593" s="37" t="s">
        <v>292</v>
      </c>
      <c r="Q593" s="37"/>
      <c r="R593" s="37" t="s">
        <v>1892</v>
      </c>
    </row>
    <row r="594" spans="1:18" ht="27.7" hidden="1" thickBot="1" x14ac:dyDescent="0.55000000000000004">
      <c r="A594" s="36">
        <v>592</v>
      </c>
      <c r="B594" s="37" t="s">
        <v>1893</v>
      </c>
      <c r="C594" s="37" t="s">
        <v>1867</v>
      </c>
      <c r="D594" s="37" t="s">
        <v>1366</v>
      </c>
      <c r="E594" s="37" t="s">
        <v>1345</v>
      </c>
      <c r="F594" s="37" t="s">
        <v>1379</v>
      </c>
      <c r="G594" s="37" t="s">
        <v>1379</v>
      </c>
      <c r="H594" s="37" t="s">
        <v>1379</v>
      </c>
      <c r="I594" s="37" t="s">
        <v>1003</v>
      </c>
      <c r="J594" s="37" t="s">
        <v>1003</v>
      </c>
      <c r="K594" s="37" t="s">
        <v>1003</v>
      </c>
      <c r="L594" s="36">
        <v>1</v>
      </c>
      <c r="M594" s="36">
        <v>1</v>
      </c>
      <c r="N594" s="36">
        <v>2</v>
      </c>
      <c r="O594" s="36">
        <v>5</v>
      </c>
      <c r="P594" s="37" t="s">
        <v>292</v>
      </c>
      <c r="Q594" s="37"/>
      <c r="R594" s="37" t="s">
        <v>1894</v>
      </c>
    </row>
    <row r="595" spans="1:18" ht="27.7" hidden="1" thickBot="1" x14ac:dyDescent="0.55000000000000004">
      <c r="A595" s="36">
        <v>593</v>
      </c>
      <c r="B595" s="37" t="s">
        <v>1895</v>
      </c>
      <c r="C595" s="37" t="s">
        <v>1867</v>
      </c>
      <c r="D595" s="37" t="s">
        <v>1366</v>
      </c>
      <c r="E595" s="37" t="s">
        <v>1345</v>
      </c>
      <c r="F595" s="37" t="s">
        <v>1379</v>
      </c>
      <c r="G595" s="37" t="s">
        <v>1698</v>
      </c>
      <c r="H595" s="37" t="s">
        <v>1698</v>
      </c>
      <c r="I595" s="37" t="s">
        <v>1003</v>
      </c>
      <c r="J595" s="37" t="s">
        <v>1465</v>
      </c>
      <c r="K595" s="37" t="s">
        <v>1465</v>
      </c>
      <c r="L595" s="36">
        <v>1</v>
      </c>
      <c r="M595" s="36">
        <v>1</v>
      </c>
      <c r="N595" s="36">
        <v>1</v>
      </c>
      <c r="O595" s="36">
        <v>4</v>
      </c>
      <c r="P595" s="37" t="s">
        <v>292</v>
      </c>
      <c r="Q595" s="37"/>
      <c r="R595" s="37" t="s">
        <v>1896</v>
      </c>
    </row>
    <row r="596" spans="1:18" ht="27.7" hidden="1" thickBot="1" x14ac:dyDescent="0.55000000000000004">
      <c r="A596" s="36">
        <v>594</v>
      </c>
      <c r="B596" s="37" t="s">
        <v>1833</v>
      </c>
      <c r="C596" s="37" t="s">
        <v>1833</v>
      </c>
      <c r="D596" s="37" t="s">
        <v>1784</v>
      </c>
      <c r="E596" s="37" t="s">
        <v>1816</v>
      </c>
      <c r="F596" s="37" t="s">
        <v>1817</v>
      </c>
      <c r="G596" s="37" t="s">
        <v>1817</v>
      </c>
      <c r="H596" s="37" t="s">
        <v>1821</v>
      </c>
      <c r="I596" s="37" t="s">
        <v>1465</v>
      </c>
      <c r="J596" s="37" t="s">
        <v>1465</v>
      </c>
      <c r="K596" s="37" t="s">
        <v>1465</v>
      </c>
      <c r="L596" s="36">
        <v>1</v>
      </c>
      <c r="M596" s="36">
        <v>1</v>
      </c>
      <c r="N596" s="36">
        <v>1</v>
      </c>
      <c r="O596" s="36">
        <v>4</v>
      </c>
      <c r="P596" s="37" t="s">
        <v>292</v>
      </c>
      <c r="Q596" s="37"/>
      <c r="R596" s="37" t="s">
        <v>1897</v>
      </c>
    </row>
    <row r="597" spans="1:18" ht="27.7" hidden="1" thickBot="1" x14ac:dyDescent="0.55000000000000004">
      <c r="A597" s="36">
        <v>595</v>
      </c>
      <c r="B597" s="37" t="s">
        <v>1898</v>
      </c>
      <c r="C597" s="37" t="s">
        <v>1833</v>
      </c>
      <c r="D597" s="37" t="s">
        <v>1784</v>
      </c>
      <c r="E597" s="37" t="s">
        <v>1816</v>
      </c>
      <c r="F597" s="37" t="s">
        <v>1817</v>
      </c>
      <c r="G597" s="37" t="s">
        <v>1698</v>
      </c>
      <c r="H597" s="37" t="s">
        <v>1821</v>
      </c>
      <c r="I597" s="37" t="s">
        <v>1465</v>
      </c>
      <c r="J597" s="37" t="s">
        <v>1465</v>
      </c>
      <c r="K597" s="37" t="s">
        <v>1465</v>
      </c>
      <c r="L597" s="36">
        <v>1</v>
      </c>
      <c r="M597" s="36">
        <v>1</v>
      </c>
      <c r="N597" s="36">
        <v>1</v>
      </c>
      <c r="O597" s="36">
        <v>3</v>
      </c>
      <c r="P597" s="37" t="s">
        <v>292</v>
      </c>
      <c r="Q597" s="37"/>
      <c r="R597" s="37" t="s">
        <v>1899</v>
      </c>
    </row>
    <row r="598" spans="1:18" ht="27.7" hidden="1" thickBot="1" x14ac:dyDescent="0.55000000000000004">
      <c r="A598" s="36">
        <v>596</v>
      </c>
      <c r="B598" s="37" t="s">
        <v>1900</v>
      </c>
      <c r="C598" s="37" t="s">
        <v>1901</v>
      </c>
      <c r="D598" s="37" t="s">
        <v>1902</v>
      </c>
      <c r="E598" s="37" t="s">
        <v>1816</v>
      </c>
      <c r="F598" s="37" t="s">
        <v>1817</v>
      </c>
      <c r="G598" s="37" t="s">
        <v>1817</v>
      </c>
      <c r="H598" s="37" t="s">
        <v>1817</v>
      </c>
      <c r="I598" s="37" t="s">
        <v>1465</v>
      </c>
      <c r="J598" s="37" t="s">
        <v>1465</v>
      </c>
      <c r="K598" s="37" t="s">
        <v>1465</v>
      </c>
      <c r="L598" s="36">
        <v>1</v>
      </c>
      <c r="M598" s="36">
        <v>1</v>
      </c>
      <c r="N598" s="36">
        <v>1</v>
      </c>
      <c r="O598" s="36">
        <v>4</v>
      </c>
      <c r="P598" s="37" t="s">
        <v>265</v>
      </c>
      <c r="Q598" s="37"/>
      <c r="R598" s="37" t="s">
        <v>1903</v>
      </c>
    </row>
    <row r="599" spans="1:18" ht="27.7" hidden="1" thickBot="1" x14ac:dyDescent="0.55000000000000004">
      <c r="A599" s="36">
        <v>597</v>
      </c>
      <c r="B599" s="37" t="s">
        <v>1901</v>
      </c>
      <c r="C599" s="37" t="s">
        <v>1901</v>
      </c>
      <c r="D599" s="37" t="s">
        <v>1902</v>
      </c>
      <c r="E599" s="37" t="s">
        <v>1816</v>
      </c>
      <c r="F599" s="37" t="s">
        <v>1817</v>
      </c>
      <c r="G599" s="37" t="s">
        <v>1817</v>
      </c>
      <c r="H599" s="37" t="s">
        <v>1817</v>
      </c>
      <c r="I599" s="37" t="s">
        <v>1465</v>
      </c>
      <c r="J599" s="37" t="s">
        <v>1465</v>
      </c>
      <c r="K599" s="37" t="s">
        <v>1465</v>
      </c>
      <c r="L599" s="36">
        <v>1</v>
      </c>
      <c r="M599" s="36">
        <v>1</v>
      </c>
      <c r="N599" s="36">
        <v>1</v>
      </c>
      <c r="O599" s="36">
        <v>3</v>
      </c>
      <c r="P599" s="37" t="s">
        <v>265</v>
      </c>
      <c r="Q599" s="37"/>
      <c r="R599" s="37" t="s">
        <v>1904</v>
      </c>
    </row>
    <row r="600" spans="1:18" ht="27.7" hidden="1" thickBot="1" x14ac:dyDescent="0.55000000000000004">
      <c r="A600" s="36">
        <v>598</v>
      </c>
      <c r="B600" s="37" t="s">
        <v>1905</v>
      </c>
      <c r="C600" s="37" t="s">
        <v>1823</v>
      </c>
      <c r="D600" s="37" t="s">
        <v>1784</v>
      </c>
      <c r="E600" s="37" t="s">
        <v>1816</v>
      </c>
      <c r="F600" s="37" t="s">
        <v>1817</v>
      </c>
      <c r="G600" s="37" t="s">
        <v>1817</v>
      </c>
      <c r="H600" s="37" t="s">
        <v>1387</v>
      </c>
      <c r="I600" s="37" t="s">
        <v>1465</v>
      </c>
      <c r="J600" s="37" t="s">
        <v>1465</v>
      </c>
      <c r="K600" s="37" t="s">
        <v>1165</v>
      </c>
      <c r="L600" s="36">
        <v>1</v>
      </c>
      <c r="M600" s="36">
        <v>1</v>
      </c>
      <c r="N600" s="36">
        <v>1</v>
      </c>
      <c r="O600" s="36">
        <v>5</v>
      </c>
      <c r="P600" s="37" t="s">
        <v>265</v>
      </c>
      <c r="Q600" s="37"/>
      <c r="R600" s="37" t="s">
        <v>1906</v>
      </c>
    </row>
    <row r="601" spans="1:18" ht="27.7" hidden="1" thickBot="1" x14ac:dyDescent="0.55000000000000004">
      <c r="A601" s="36">
        <v>599</v>
      </c>
      <c r="B601" s="37" t="s">
        <v>1907</v>
      </c>
      <c r="C601" s="37" t="s">
        <v>1901</v>
      </c>
      <c r="D601" s="37" t="s">
        <v>1902</v>
      </c>
      <c r="E601" s="37" t="s">
        <v>1816</v>
      </c>
      <c r="F601" s="37" t="s">
        <v>1817</v>
      </c>
      <c r="G601" s="37" t="s">
        <v>1817</v>
      </c>
      <c r="H601" s="37" t="s">
        <v>1817</v>
      </c>
      <c r="I601" s="37" t="s">
        <v>1465</v>
      </c>
      <c r="J601" s="37" t="s">
        <v>1465</v>
      </c>
      <c r="K601" s="37" t="s">
        <v>1465</v>
      </c>
      <c r="L601" s="36">
        <v>1</v>
      </c>
      <c r="M601" s="36">
        <v>1</v>
      </c>
      <c r="N601" s="36">
        <v>1</v>
      </c>
      <c r="O601" s="36">
        <v>3</v>
      </c>
      <c r="P601" s="37" t="s">
        <v>292</v>
      </c>
      <c r="Q601" s="37"/>
      <c r="R601" s="37" t="s">
        <v>1908</v>
      </c>
    </row>
    <row r="602" spans="1:18" ht="27.7" hidden="1" thickBot="1" x14ac:dyDescent="0.55000000000000004">
      <c r="A602" s="36">
        <v>600</v>
      </c>
      <c r="B602" s="37" t="s">
        <v>1909</v>
      </c>
      <c r="C602" s="37" t="s">
        <v>1909</v>
      </c>
      <c r="D602" s="37" t="s">
        <v>1910</v>
      </c>
      <c r="E602" s="37" t="s">
        <v>1163</v>
      </c>
      <c r="F602" s="37" t="s">
        <v>1911</v>
      </c>
      <c r="G602" s="37" t="s">
        <v>1911</v>
      </c>
      <c r="H602" s="37" t="s">
        <v>1911</v>
      </c>
      <c r="I602" s="37" t="s">
        <v>1165</v>
      </c>
      <c r="J602" s="37" t="s">
        <v>1165</v>
      </c>
      <c r="K602" s="37" t="s">
        <v>1165</v>
      </c>
      <c r="L602" s="36">
        <v>3</v>
      </c>
      <c r="M602" s="36">
        <v>3</v>
      </c>
      <c r="N602" s="36">
        <v>3</v>
      </c>
      <c r="O602" s="36">
        <v>5</v>
      </c>
      <c r="P602" s="37" t="s">
        <v>265</v>
      </c>
      <c r="Q602" s="37"/>
      <c r="R602" s="37" t="s">
        <v>1912</v>
      </c>
    </row>
    <row r="603" spans="1:18" ht="27.7" hidden="1" thickBot="1" x14ac:dyDescent="0.55000000000000004">
      <c r="A603" s="36">
        <v>601</v>
      </c>
      <c r="B603" s="37" t="s">
        <v>1913</v>
      </c>
      <c r="C603" s="37" t="s">
        <v>1914</v>
      </c>
      <c r="D603" s="37" t="s">
        <v>1910</v>
      </c>
      <c r="E603" s="37" t="s">
        <v>1163</v>
      </c>
      <c r="F603" s="37" t="s">
        <v>1911</v>
      </c>
      <c r="G603" s="37" t="s">
        <v>1911</v>
      </c>
      <c r="H603" s="37" t="s">
        <v>1911</v>
      </c>
      <c r="I603" s="37" t="s">
        <v>1165</v>
      </c>
      <c r="J603" s="37" t="s">
        <v>1165</v>
      </c>
      <c r="K603" s="37" t="s">
        <v>1165</v>
      </c>
      <c r="L603" s="36">
        <v>3</v>
      </c>
      <c r="M603" s="36">
        <v>3</v>
      </c>
      <c r="N603" s="36">
        <v>3</v>
      </c>
      <c r="O603" s="36">
        <v>4</v>
      </c>
      <c r="P603" s="37" t="s">
        <v>265</v>
      </c>
      <c r="Q603" s="37"/>
      <c r="R603" s="37" t="s">
        <v>1915</v>
      </c>
    </row>
    <row r="604" spans="1:18" ht="27.7" hidden="1" thickBot="1" x14ac:dyDescent="0.55000000000000004">
      <c r="A604" s="36">
        <v>602</v>
      </c>
      <c r="B604" s="37" t="s">
        <v>1916</v>
      </c>
      <c r="C604" s="37" t="s">
        <v>1902</v>
      </c>
      <c r="D604" s="37" t="s">
        <v>1902</v>
      </c>
      <c r="E604" s="37" t="s">
        <v>1816</v>
      </c>
      <c r="F604" s="37" t="s">
        <v>1917</v>
      </c>
      <c r="G604" s="37" t="s">
        <v>1917</v>
      </c>
      <c r="H604" s="37" t="s">
        <v>1917</v>
      </c>
      <c r="I604" s="37" t="s">
        <v>1465</v>
      </c>
      <c r="J604" s="37" t="s">
        <v>1165</v>
      </c>
      <c r="K604" s="37" t="s">
        <v>1165</v>
      </c>
      <c r="L604" s="36">
        <v>1</v>
      </c>
      <c r="M604" s="36">
        <v>1</v>
      </c>
      <c r="N604" s="36">
        <v>1</v>
      </c>
      <c r="O604" s="36">
        <v>3</v>
      </c>
      <c r="P604" s="37" t="s">
        <v>292</v>
      </c>
      <c r="Q604" s="37"/>
      <c r="R604" s="37" t="s">
        <v>1918</v>
      </c>
    </row>
    <row r="605" spans="1:18" ht="27.7" hidden="1" thickBot="1" x14ac:dyDescent="0.55000000000000004">
      <c r="A605" s="36">
        <v>603</v>
      </c>
      <c r="B605" s="37" t="s">
        <v>1902</v>
      </c>
      <c r="C605" s="37" t="s">
        <v>1902</v>
      </c>
      <c r="D605" s="37" t="s">
        <v>1902</v>
      </c>
      <c r="E605" s="37" t="s">
        <v>1816</v>
      </c>
      <c r="F605" s="37" t="s">
        <v>1917</v>
      </c>
      <c r="G605" s="37" t="s">
        <v>1917</v>
      </c>
      <c r="H605" s="37" t="s">
        <v>1917</v>
      </c>
      <c r="I605" s="37" t="s">
        <v>1465</v>
      </c>
      <c r="J605" s="37" t="s">
        <v>1165</v>
      </c>
      <c r="K605" s="37" t="s">
        <v>1165</v>
      </c>
      <c r="L605" s="36">
        <v>2</v>
      </c>
      <c r="M605" s="36">
        <v>2</v>
      </c>
      <c r="N605" s="36">
        <v>2</v>
      </c>
      <c r="O605" s="36">
        <v>5</v>
      </c>
      <c r="P605" s="37" t="s">
        <v>292</v>
      </c>
      <c r="Q605" s="37"/>
      <c r="R605" s="37" t="s">
        <v>1919</v>
      </c>
    </row>
    <row r="606" spans="1:18" ht="27.7" hidden="1" thickBot="1" x14ac:dyDescent="0.55000000000000004">
      <c r="A606" s="36">
        <v>604</v>
      </c>
      <c r="B606" s="37" t="s">
        <v>1920</v>
      </c>
      <c r="C606" s="37" t="s">
        <v>1902</v>
      </c>
      <c r="D606" s="37" t="s">
        <v>1902</v>
      </c>
      <c r="E606" s="37" t="s">
        <v>1816</v>
      </c>
      <c r="F606" s="37" t="s">
        <v>1917</v>
      </c>
      <c r="G606" s="37" t="s">
        <v>1917</v>
      </c>
      <c r="H606" s="37" t="s">
        <v>1917</v>
      </c>
      <c r="I606" s="37" t="s">
        <v>1465</v>
      </c>
      <c r="J606" s="37" t="s">
        <v>1465</v>
      </c>
      <c r="K606" s="37" t="s">
        <v>1165</v>
      </c>
      <c r="L606" s="36">
        <v>1</v>
      </c>
      <c r="M606" s="36">
        <v>1</v>
      </c>
      <c r="N606" s="36">
        <v>1</v>
      </c>
      <c r="O606" s="36">
        <v>3</v>
      </c>
      <c r="P606" s="37" t="s">
        <v>292</v>
      </c>
      <c r="Q606" s="37"/>
      <c r="R606" s="37" t="s">
        <v>1921</v>
      </c>
    </row>
    <row r="607" spans="1:18" ht="27.7" hidden="1" thickBot="1" x14ac:dyDescent="0.55000000000000004">
      <c r="A607" s="36">
        <v>605</v>
      </c>
      <c r="B607" s="37" t="s">
        <v>1922</v>
      </c>
      <c r="C607" s="37" t="s">
        <v>1902</v>
      </c>
      <c r="D607" s="37" t="s">
        <v>1902</v>
      </c>
      <c r="E607" s="37" t="s">
        <v>1816</v>
      </c>
      <c r="F607" s="37" t="s">
        <v>1917</v>
      </c>
      <c r="G607" s="37" t="s">
        <v>1917</v>
      </c>
      <c r="H607" s="37" t="s">
        <v>1917</v>
      </c>
      <c r="I607" s="37" t="s">
        <v>1465</v>
      </c>
      <c r="J607" s="37" t="s">
        <v>1465</v>
      </c>
      <c r="K607" s="37" t="s">
        <v>1165</v>
      </c>
      <c r="L607" s="36">
        <v>1</v>
      </c>
      <c r="M607" s="36">
        <v>1</v>
      </c>
      <c r="N607" s="36">
        <v>1</v>
      </c>
      <c r="O607" s="36">
        <v>2</v>
      </c>
      <c r="P607" s="37" t="s">
        <v>292</v>
      </c>
      <c r="Q607" s="37"/>
      <c r="R607" s="37" t="s">
        <v>1923</v>
      </c>
    </row>
    <row r="608" spans="1:18" ht="27.7" hidden="1" thickBot="1" x14ac:dyDescent="0.55000000000000004">
      <c r="A608" s="36">
        <v>606</v>
      </c>
      <c r="B608" s="37" t="s">
        <v>1924</v>
      </c>
      <c r="C608" s="37" t="s">
        <v>1902</v>
      </c>
      <c r="D608" s="37" t="s">
        <v>1902</v>
      </c>
      <c r="E608" s="37" t="s">
        <v>1816</v>
      </c>
      <c r="F608" s="37" t="s">
        <v>1917</v>
      </c>
      <c r="G608" s="37" t="s">
        <v>1917</v>
      </c>
      <c r="H608" s="37" t="s">
        <v>1917</v>
      </c>
      <c r="I608" s="37" t="s">
        <v>1465</v>
      </c>
      <c r="J608" s="37" t="s">
        <v>1465</v>
      </c>
      <c r="K608" s="37" t="s">
        <v>1165</v>
      </c>
      <c r="L608" s="36">
        <v>1</v>
      </c>
      <c r="M608" s="36">
        <v>1</v>
      </c>
      <c r="N608" s="36">
        <v>1</v>
      </c>
      <c r="O608" s="36">
        <v>4</v>
      </c>
      <c r="P608" s="37" t="s">
        <v>292</v>
      </c>
      <c r="Q608" s="37"/>
      <c r="R608" s="37" t="s">
        <v>1925</v>
      </c>
    </row>
    <row r="609" spans="1:18" ht="27.7" hidden="1" thickBot="1" x14ac:dyDescent="0.55000000000000004">
      <c r="A609" s="36">
        <v>607</v>
      </c>
      <c r="B609" s="37" t="s">
        <v>1926</v>
      </c>
      <c r="C609" s="37" t="s">
        <v>1901</v>
      </c>
      <c r="D609" s="37" t="s">
        <v>1902</v>
      </c>
      <c r="E609" s="37" t="s">
        <v>1816</v>
      </c>
      <c r="F609" s="37" t="s">
        <v>1817</v>
      </c>
      <c r="G609" s="37" t="s">
        <v>1817</v>
      </c>
      <c r="H609" s="37" t="s">
        <v>1817</v>
      </c>
      <c r="I609" s="37" t="s">
        <v>1465</v>
      </c>
      <c r="J609" s="37" t="s">
        <v>1465</v>
      </c>
      <c r="K609" s="37" t="s">
        <v>1465</v>
      </c>
      <c r="L609" s="36">
        <v>1</v>
      </c>
      <c r="M609" s="36">
        <v>1</v>
      </c>
      <c r="N609" s="36">
        <v>1</v>
      </c>
      <c r="O609" s="36">
        <v>3</v>
      </c>
      <c r="P609" s="37" t="s">
        <v>292</v>
      </c>
      <c r="Q609" s="37"/>
      <c r="R609" s="37" t="s">
        <v>1927</v>
      </c>
    </row>
    <row r="610" spans="1:18" ht="27.7" hidden="1" thickBot="1" x14ac:dyDescent="0.55000000000000004">
      <c r="A610" s="36">
        <v>608</v>
      </c>
      <c r="B610" s="37" t="s">
        <v>1928</v>
      </c>
      <c r="C610" s="37" t="s">
        <v>1929</v>
      </c>
      <c r="D610" s="37" t="s">
        <v>1784</v>
      </c>
      <c r="E610" s="37" t="s">
        <v>1816</v>
      </c>
      <c r="F610" s="37" t="s">
        <v>1817</v>
      </c>
      <c r="G610" s="37" t="s">
        <v>1698</v>
      </c>
      <c r="H610" s="37" t="s">
        <v>1821</v>
      </c>
      <c r="I610" s="37" t="s">
        <v>1465</v>
      </c>
      <c r="J610" s="37" t="s">
        <v>1465</v>
      </c>
      <c r="K610" s="37" t="s">
        <v>1465</v>
      </c>
      <c r="L610" s="36">
        <v>1</v>
      </c>
      <c r="M610" s="36">
        <v>1</v>
      </c>
      <c r="N610" s="36">
        <v>1</v>
      </c>
      <c r="O610" s="36">
        <v>2</v>
      </c>
      <c r="P610" s="37" t="s">
        <v>292</v>
      </c>
      <c r="Q610" s="37"/>
      <c r="R610" s="37" t="s">
        <v>1930</v>
      </c>
    </row>
    <row r="611" spans="1:18" ht="27.7" hidden="1" thickBot="1" x14ac:dyDescent="0.55000000000000004">
      <c r="A611" s="36">
        <v>609</v>
      </c>
      <c r="B611" s="37" t="s">
        <v>1931</v>
      </c>
      <c r="C611" s="37" t="s">
        <v>1464</v>
      </c>
      <c r="D611" s="37" t="s">
        <v>1366</v>
      </c>
      <c r="E611" s="37" t="s">
        <v>1345</v>
      </c>
      <c r="F611" s="37" t="s">
        <v>1464</v>
      </c>
      <c r="G611" s="37" t="s">
        <v>1464</v>
      </c>
      <c r="H611" s="37" t="s">
        <v>1464</v>
      </c>
      <c r="I611" s="37" t="s">
        <v>1465</v>
      </c>
      <c r="J611" s="37" t="s">
        <v>1465</v>
      </c>
      <c r="K611" s="37" t="s">
        <v>88</v>
      </c>
      <c r="L611" s="36">
        <v>1</v>
      </c>
      <c r="M611" s="36">
        <v>1</v>
      </c>
      <c r="N611" s="36">
        <v>1</v>
      </c>
      <c r="O611" s="36">
        <v>4</v>
      </c>
      <c r="P611" s="37" t="s">
        <v>292</v>
      </c>
      <c r="Q611" s="37"/>
      <c r="R611" s="37" t="s">
        <v>1932</v>
      </c>
    </row>
    <row r="612" spans="1:18" ht="27.7" hidden="1" thickBot="1" x14ac:dyDescent="0.55000000000000004">
      <c r="A612" s="36">
        <v>610</v>
      </c>
      <c r="B612" s="37" t="s">
        <v>1464</v>
      </c>
      <c r="C612" s="37" t="s">
        <v>1464</v>
      </c>
      <c r="D612" s="37" t="s">
        <v>1366</v>
      </c>
      <c r="E612" s="37" t="s">
        <v>1345</v>
      </c>
      <c r="F612" s="37" t="s">
        <v>1464</v>
      </c>
      <c r="G612" s="37" t="s">
        <v>1464</v>
      </c>
      <c r="H612" s="37" t="s">
        <v>1464</v>
      </c>
      <c r="I612" s="37" t="s">
        <v>1465</v>
      </c>
      <c r="J612" s="37" t="s">
        <v>1465</v>
      </c>
      <c r="K612" s="37" t="s">
        <v>88</v>
      </c>
      <c r="L612" s="36">
        <v>1</v>
      </c>
      <c r="M612" s="36">
        <v>1</v>
      </c>
      <c r="N612" s="36">
        <v>1</v>
      </c>
      <c r="O612" s="36">
        <v>4</v>
      </c>
      <c r="P612" s="37" t="s">
        <v>292</v>
      </c>
      <c r="Q612" s="37"/>
      <c r="R612" s="37" t="s">
        <v>1933</v>
      </c>
    </row>
    <row r="613" spans="1:18" ht="27.7" hidden="1" thickBot="1" x14ac:dyDescent="0.55000000000000004">
      <c r="A613" s="36">
        <v>611</v>
      </c>
      <c r="B613" s="37" t="s">
        <v>1934</v>
      </c>
      <c r="C613" s="37" t="s">
        <v>1464</v>
      </c>
      <c r="D613" s="37" t="s">
        <v>1366</v>
      </c>
      <c r="E613" s="37" t="s">
        <v>1345</v>
      </c>
      <c r="F613" s="37" t="s">
        <v>1464</v>
      </c>
      <c r="G613" s="37" t="s">
        <v>1464</v>
      </c>
      <c r="H613" s="37" t="s">
        <v>1464</v>
      </c>
      <c r="I613" s="37" t="s">
        <v>1465</v>
      </c>
      <c r="J613" s="37" t="s">
        <v>1465</v>
      </c>
      <c r="K613" s="37" t="s">
        <v>88</v>
      </c>
      <c r="L613" s="36">
        <v>1</v>
      </c>
      <c r="M613" s="36">
        <v>1</v>
      </c>
      <c r="N613" s="36">
        <v>1</v>
      </c>
      <c r="O613" s="36">
        <v>4</v>
      </c>
      <c r="P613" s="37" t="s">
        <v>292</v>
      </c>
      <c r="Q613" s="37"/>
      <c r="R613" s="37" t="s">
        <v>1935</v>
      </c>
    </row>
    <row r="614" spans="1:18" ht="27.7" hidden="1" thickBot="1" x14ac:dyDescent="0.55000000000000004">
      <c r="A614" s="36">
        <v>612</v>
      </c>
      <c r="B614" s="37" t="s">
        <v>1936</v>
      </c>
      <c r="C614" s="37" t="s">
        <v>1359</v>
      </c>
      <c r="D614" s="37" t="s">
        <v>1937</v>
      </c>
      <c r="E614" s="37" t="s">
        <v>1345</v>
      </c>
      <c r="F614" s="37" t="s">
        <v>1938</v>
      </c>
      <c r="G614" s="37" t="s">
        <v>1938</v>
      </c>
      <c r="H614" s="37" t="s">
        <v>1938</v>
      </c>
      <c r="I614" s="37" t="s">
        <v>1003</v>
      </c>
      <c r="J614" s="37" t="s">
        <v>1003</v>
      </c>
      <c r="K614" s="37" t="s">
        <v>1003</v>
      </c>
      <c r="L614" s="36">
        <v>1</v>
      </c>
      <c r="M614" s="36">
        <v>1</v>
      </c>
      <c r="N614" s="36">
        <v>2</v>
      </c>
      <c r="O614" s="36">
        <v>2</v>
      </c>
      <c r="P614" s="37" t="s">
        <v>292</v>
      </c>
      <c r="Q614" s="37"/>
      <c r="R614" s="37" t="s">
        <v>1939</v>
      </c>
    </row>
    <row r="615" spans="1:18" ht="27.7" hidden="1" thickBot="1" x14ac:dyDescent="0.55000000000000004">
      <c r="A615" s="36">
        <v>613</v>
      </c>
      <c r="B615" s="37" t="s">
        <v>1940</v>
      </c>
      <c r="C615" s="37" t="s">
        <v>1464</v>
      </c>
      <c r="D615" s="37" t="s">
        <v>1366</v>
      </c>
      <c r="E615" s="37" t="s">
        <v>1345</v>
      </c>
      <c r="F615" s="37" t="s">
        <v>1464</v>
      </c>
      <c r="G615" s="37" t="s">
        <v>1464</v>
      </c>
      <c r="H615" s="37" t="s">
        <v>1464</v>
      </c>
      <c r="I615" s="37" t="s">
        <v>1465</v>
      </c>
      <c r="J615" s="37" t="s">
        <v>1465</v>
      </c>
      <c r="K615" s="37" t="s">
        <v>88</v>
      </c>
      <c r="L615" s="36">
        <v>1</v>
      </c>
      <c r="M615" s="36">
        <v>1</v>
      </c>
      <c r="N615" s="36">
        <v>1</v>
      </c>
      <c r="O615" s="36">
        <v>3</v>
      </c>
      <c r="P615" s="37" t="s">
        <v>292</v>
      </c>
      <c r="Q615" s="37"/>
      <c r="R615" s="37" t="s">
        <v>1941</v>
      </c>
    </row>
    <row r="616" spans="1:18" ht="27.7" hidden="1" thickBot="1" x14ac:dyDescent="0.55000000000000004">
      <c r="A616" s="36">
        <v>614</v>
      </c>
      <c r="B616" s="37" t="s">
        <v>1942</v>
      </c>
      <c r="C616" s="37" t="s">
        <v>1464</v>
      </c>
      <c r="D616" s="37" t="s">
        <v>1366</v>
      </c>
      <c r="E616" s="37" t="s">
        <v>1345</v>
      </c>
      <c r="F616" s="37" t="s">
        <v>1464</v>
      </c>
      <c r="G616" s="37" t="s">
        <v>1464</v>
      </c>
      <c r="H616" s="37" t="s">
        <v>1464</v>
      </c>
      <c r="I616" s="37" t="s">
        <v>1465</v>
      </c>
      <c r="J616" s="37" t="s">
        <v>1465</v>
      </c>
      <c r="K616" s="37" t="s">
        <v>88</v>
      </c>
      <c r="L616" s="36">
        <v>2</v>
      </c>
      <c r="M616" s="36">
        <v>2</v>
      </c>
      <c r="N616" s="36">
        <v>2</v>
      </c>
      <c r="O616" s="36">
        <v>5</v>
      </c>
      <c r="P616" s="37" t="s">
        <v>292</v>
      </c>
      <c r="Q616" s="37"/>
      <c r="R616" s="37" t="s">
        <v>1943</v>
      </c>
    </row>
    <row r="617" spans="1:18" ht="27.7" hidden="1" thickBot="1" x14ac:dyDescent="0.55000000000000004">
      <c r="A617" s="36">
        <v>615</v>
      </c>
      <c r="B617" s="37" t="s">
        <v>1944</v>
      </c>
      <c r="C617" s="37" t="s">
        <v>1944</v>
      </c>
      <c r="D617" s="37" t="s">
        <v>1359</v>
      </c>
      <c r="E617" s="37" t="s">
        <v>1345</v>
      </c>
      <c r="F617" s="37" t="s">
        <v>1464</v>
      </c>
      <c r="G617" s="37" t="s">
        <v>1464</v>
      </c>
      <c r="H617" s="37" t="s">
        <v>1464</v>
      </c>
      <c r="I617" s="37" t="s">
        <v>1465</v>
      </c>
      <c r="J617" s="37" t="s">
        <v>1465</v>
      </c>
      <c r="K617" s="37" t="s">
        <v>88</v>
      </c>
      <c r="L617" s="36">
        <v>1</v>
      </c>
      <c r="M617" s="36">
        <v>1</v>
      </c>
      <c r="N617" s="36">
        <v>1</v>
      </c>
      <c r="O617" s="36">
        <v>4</v>
      </c>
      <c r="P617" s="37" t="s">
        <v>292</v>
      </c>
      <c r="Q617" s="37"/>
      <c r="R617" s="37" t="s">
        <v>1945</v>
      </c>
    </row>
    <row r="618" spans="1:18" ht="27.7" hidden="1" thickBot="1" x14ac:dyDescent="0.55000000000000004">
      <c r="A618" s="36">
        <v>616</v>
      </c>
      <c r="B618" s="37" t="s">
        <v>1929</v>
      </c>
      <c r="C618" s="37" t="s">
        <v>1929</v>
      </c>
      <c r="D618" s="37" t="s">
        <v>1784</v>
      </c>
      <c r="E618" s="37" t="s">
        <v>1816</v>
      </c>
      <c r="F618" s="37" t="s">
        <v>1464</v>
      </c>
      <c r="G618" s="37" t="s">
        <v>1698</v>
      </c>
      <c r="H618" s="37" t="s">
        <v>1821</v>
      </c>
      <c r="I618" s="37" t="s">
        <v>1465</v>
      </c>
      <c r="J618" s="37" t="s">
        <v>1465</v>
      </c>
      <c r="K618" s="37" t="s">
        <v>1465</v>
      </c>
      <c r="L618" s="36">
        <v>1</v>
      </c>
      <c r="M618" s="36">
        <v>1</v>
      </c>
      <c r="N618" s="36">
        <v>1</v>
      </c>
      <c r="O618" s="36">
        <v>2</v>
      </c>
      <c r="P618" s="37" t="s">
        <v>292</v>
      </c>
      <c r="Q618" s="37"/>
      <c r="R618" s="37" t="s">
        <v>1946</v>
      </c>
    </row>
    <row r="619" spans="1:18" ht="27.7" hidden="1" thickBot="1" x14ac:dyDescent="0.55000000000000004">
      <c r="A619" s="36">
        <v>617</v>
      </c>
      <c r="B619" s="37" t="s">
        <v>1947</v>
      </c>
      <c r="C619" s="37" t="s">
        <v>1948</v>
      </c>
      <c r="D619" s="37" t="s">
        <v>1784</v>
      </c>
      <c r="E619" s="37" t="s">
        <v>1816</v>
      </c>
      <c r="F619" s="37" t="s">
        <v>1817</v>
      </c>
      <c r="G619" s="37" t="s">
        <v>1698</v>
      </c>
      <c r="H619" s="37" t="s">
        <v>1821</v>
      </c>
      <c r="I619" s="37" t="s">
        <v>1465</v>
      </c>
      <c r="J619" s="37" t="s">
        <v>1465</v>
      </c>
      <c r="K619" s="37" t="s">
        <v>1465</v>
      </c>
      <c r="L619" s="36">
        <v>1</v>
      </c>
      <c r="M619" s="36">
        <v>1</v>
      </c>
      <c r="N619" s="36">
        <v>1</v>
      </c>
      <c r="O619" s="36">
        <v>2</v>
      </c>
      <c r="P619" s="37" t="s">
        <v>292</v>
      </c>
      <c r="Q619" s="37"/>
      <c r="R619" s="37" t="s">
        <v>1949</v>
      </c>
    </row>
    <row r="620" spans="1:18" ht="27.7" hidden="1" thickBot="1" x14ac:dyDescent="0.55000000000000004">
      <c r="A620" s="36">
        <v>618</v>
      </c>
      <c r="B620" s="37" t="s">
        <v>1950</v>
      </c>
      <c r="C620" s="37" t="s">
        <v>1948</v>
      </c>
      <c r="D620" s="37" t="s">
        <v>1784</v>
      </c>
      <c r="E620" s="37" t="s">
        <v>1816</v>
      </c>
      <c r="F620" s="37" t="s">
        <v>1840</v>
      </c>
      <c r="G620" s="37" t="s">
        <v>1840</v>
      </c>
      <c r="H620" s="37" t="s">
        <v>1840</v>
      </c>
      <c r="I620" s="37" t="s">
        <v>1465</v>
      </c>
      <c r="J620" s="37" t="s">
        <v>1465</v>
      </c>
      <c r="K620" s="37" t="s">
        <v>1465</v>
      </c>
      <c r="L620" s="36">
        <v>1</v>
      </c>
      <c r="M620" s="36">
        <v>1</v>
      </c>
      <c r="N620" s="36">
        <v>1</v>
      </c>
      <c r="O620" s="36">
        <v>2</v>
      </c>
      <c r="P620" s="37" t="s">
        <v>292</v>
      </c>
      <c r="Q620" s="37"/>
      <c r="R620" s="37" t="s">
        <v>1951</v>
      </c>
    </row>
    <row r="621" spans="1:18" ht="27.7" hidden="1" thickBot="1" x14ac:dyDescent="0.55000000000000004">
      <c r="A621" s="36">
        <v>619</v>
      </c>
      <c r="B621" s="37" t="s">
        <v>1952</v>
      </c>
      <c r="C621" s="37" t="s">
        <v>1948</v>
      </c>
      <c r="D621" s="37" t="s">
        <v>1784</v>
      </c>
      <c r="E621" s="37" t="s">
        <v>1816</v>
      </c>
      <c r="F621" s="37" t="s">
        <v>1817</v>
      </c>
      <c r="G621" s="37" t="s">
        <v>1817</v>
      </c>
      <c r="H621" s="37" t="s">
        <v>1817</v>
      </c>
      <c r="I621" s="37" t="s">
        <v>1465</v>
      </c>
      <c r="J621" s="37" t="s">
        <v>1465</v>
      </c>
      <c r="K621" s="37" t="s">
        <v>1465</v>
      </c>
      <c r="L621" s="36">
        <v>1</v>
      </c>
      <c r="M621" s="36">
        <v>1</v>
      </c>
      <c r="N621" s="36">
        <v>1</v>
      </c>
      <c r="O621" s="36">
        <v>6</v>
      </c>
      <c r="P621" s="37" t="s">
        <v>292</v>
      </c>
      <c r="Q621" s="37"/>
      <c r="R621" s="37" t="s">
        <v>1953</v>
      </c>
    </row>
    <row r="622" spans="1:18" ht="27.7" hidden="1" thickBot="1" x14ac:dyDescent="0.55000000000000004">
      <c r="A622" s="36">
        <v>620</v>
      </c>
      <c r="B622" s="37" t="s">
        <v>1948</v>
      </c>
      <c r="C622" s="37" t="s">
        <v>1948</v>
      </c>
      <c r="D622" s="37" t="s">
        <v>1784</v>
      </c>
      <c r="E622" s="37" t="s">
        <v>1816</v>
      </c>
      <c r="F622" s="37" t="s">
        <v>1817</v>
      </c>
      <c r="G622" s="37" t="s">
        <v>1817</v>
      </c>
      <c r="H622" s="37" t="s">
        <v>1817</v>
      </c>
      <c r="I622" s="37" t="s">
        <v>1465</v>
      </c>
      <c r="J622" s="37" t="s">
        <v>1954</v>
      </c>
      <c r="K622" s="37" t="s">
        <v>1954</v>
      </c>
      <c r="L622" s="36">
        <v>2</v>
      </c>
      <c r="M622" s="36">
        <v>2</v>
      </c>
      <c r="N622" s="36">
        <v>2</v>
      </c>
      <c r="O622" s="36">
        <v>5</v>
      </c>
      <c r="P622" s="37" t="s">
        <v>292</v>
      </c>
      <c r="Q622" s="37"/>
      <c r="R622" s="37" t="s">
        <v>1955</v>
      </c>
    </row>
    <row r="623" spans="1:18" ht="14.7" hidden="1" thickBot="1" x14ac:dyDescent="0.55000000000000004">
      <c r="A623" s="36">
        <v>621</v>
      </c>
      <c r="B623" s="37" t="s">
        <v>1956</v>
      </c>
      <c r="C623" s="37" t="s">
        <v>1957</v>
      </c>
      <c r="D623" s="37" t="s">
        <v>1958</v>
      </c>
      <c r="E623" s="37" t="s">
        <v>1959</v>
      </c>
      <c r="F623" s="37" t="s">
        <v>1840</v>
      </c>
      <c r="G623" s="37" t="s">
        <v>1840</v>
      </c>
      <c r="H623" s="37" t="s">
        <v>1840</v>
      </c>
      <c r="I623" s="37" t="s">
        <v>1465</v>
      </c>
      <c r="J623" s="37" t="s">
        <v>1465</v>
      </c>
      <c r="K623" s="37" t="s">
        <v>1465</v>
      </c>
      <c r="L623" s="36">
        <v>1</v>
      </c>
      <c r="M623" s="36">
        <v>1</v>
      </c>
      <c r="N623" s="36">
        <v>1</v>
      </c>
      <c r="O623" s="36">
        <v>3</v>
      </c>
      <c r="P623" s="37" t="s">
        <v>292</v>
      </c>
      <c r="Q623" s="37"/>
      <c r="R623" s="37" t="s">
        <v>1960</v>
      </c>
    </row>
    <row r="624" spans="1:18" ht="27.7" hidden="1" thickBot="1" x14ac:dyDescent="0.55000000000000004">
      <c r="A624" s="36">
        <v>622</v>
      </c>
      <c r="B624" s="37" t="s">
        <v>1961</v>
      </c>
      <c r="C624" s="37" t="s">
        <v>1961</v>
      </c>
      <c r="D624" s="37" t="s">
        <v>1958</v>
      </c>
      <c r="E624" s="37" t="s">
        <v>1959</v>
      </c>
      <c r="F624" s="37" t="s">
        <v>1840</v>
      </c>
      <c r="G624" s="37" t="s">
        <v>1840</v>
      </c>
      <c r="H624" s="37" t="s">
        <v>1840</v>
      </c>
      <c r="I624" s="37" t="s">
        <v>1465</v>
      </c>
      <c r="J624" s="37" t="s">
        <v>1465</v>
      </c>
      <c r="K624" s="37" t="s">
        <v>1465</v>
      </c>
      <c r="L624" s="36">
        <v>1</v>
      </c>
      <c r="M624" s="36">
        <v>1</v>
      </c>
      <c r="N624" s="36">
        <v>1</v>
      </c>
      <c r="O624" s="36">
        <v>3</v>
      </c>
      <c r="P624" s="37" t="s">
        <v>292</v>
      </c>
      <c r="Q624" s="37"/>
      <c r="R624" s="37" t="s">
        <v>1962</v>
      </c>
    </row>
    <row r="625" spans="1:18" ht="27.7" hidden="1" thickBot="1" x14ac:dyDescent="0.55000000000000004">
      <c r="A625" s="36">
        <v>623</v>
      </c>
      <c r="B625" s="37" t="s">
        <v>1963</v>
      </c>
      <c r="C625" s="37" t="s">
        <v>1961</v>
      </c>
      <c r="D625" s="37" t="s">
        <v>1958</v>
      </c>
      <c r="E625" s="37" t="s">
        <v>1959</v>
      </c>
      <c r="F625" s="37" t="s">
        <v>1840</v>
      </c>
      <c r="G625" s="37" t="s">
        <v>1840</v>
      </c>
      <c r="H625" s="37" t="s">
        <v>1840</v>
      </c>
      <c r="I625" s="37" t="s">
        <v>1964</v>
      </c>
      <c r="J625" s="37" t="s">
        <v>1964</v>
      </c>
      <c r="K625" s="37" t="s">
        <v>1964</v>
      </c>
      <c r="L625" s="36">
        <v>1</v>
      </c>
      <c r="M625" s="36">
        <v>1</v>
      </c>
      <c r="N625" s="36">
        <v>1</v>
      </c>
      <c r="O625" s="36">
        <v>3</v>
      </c>
      <c r="P625" s="37" t="s">
        <v>292</v>
      </c>
      <c r="Q625" s="37"/>
      <c r="R625" s="37" t="s">
        <v>1965</v>
      </c>
    </row>
    <row r="626" spans="1:18" ht="27.7" hidden="1" thickBot="1" x14ac:dyDescent="0.55000000000000004">
      <c r="A626" s="36">
        <v>624</v>
      </c>
      <c r="B626" s="37" t="s">
        <v>1966</v>
      </c>
      <c r="C626" s="37" t="s">
        <v>1967</v>
      </c>
      <c r="D626" s="37" t="s">
        <v>1958</v>
      </c>
      <c r="E626" s="37" t="s">
        <v>1959</v>
      </c>
      <c r="F626" s="37" t="s">
        <v>1840</v>
      </c>
      <c r="G626" s="37" t="s">
        <v>1840</v>
      </c>
      <c r="H626" s="37" t="s">
        <v>1840</v>
      </c>
      <c r="I626" s="37" t="s">
        <v>1964</v>
      </c>
      <c r="J626" s="37" t="s">
        <v>1964</v>
      </c>
      <c r="K626" s="37" t="s">
        <v>1964</v>
      </c>
      <c r="L626" s="36">
        <v>1</v>
      </c>
      <c r="M626" s="36">
        <v>1</v>
      </c>
      <c r="N626" s="36">
        <v>1</v>
      </c>
      <c r="O626" s="36">
        <v>2</v>
      </c>
      <c r="P626" s="37" t="s">
        <v>292</v>
      </c>
      <c r="Q626" s="37"/>
      <c r="R626" s="37" t="s">
        <v>1968</v>
      </c>
    </row>
    <row r="627" spans="1:18" ht="27.7" hidden="1" thickBot="1" x14ac:dyDescent="0.55000000000000004">
      <c r="A627" s="36">
        <v>625</v>
      </c>
      <c r="B627" s="37" t="s">
        <v>1967</v>
      </c>
      <c r="C627" s="37" t="s">
        <v>1967</v>
      </c>
      <c r="D627" s="37" t="s">
        <v>1958</v>
      </c>
      <c r="E627" s="37" t="s">
        <v>1959</v>
      </c>
      <c r="F627" s="37" t="s">
        <v>1840</v>
      </c>
      <c r="G627" s="37" t="s">
        <v>1840</v>
      </c>
      <c r="H627" s="37" t="s">
        <v>1840</v>
      </c>
      <c r="I627" s="37" t="s">
        <v>1964</v>
      </c>
      <c r="J627" s="37" t="s">
        <v>1964</v>
      </c>
      <c r="K627" s="37" t="s">
        <v>1964</v>
      </c>
      <c r="L627" s="36">
        <v>1</v>
      </c>
      <c r="M627" s="36">
        <v>1</v>
      </c>
      <c r="N627" s="36">
        <v>1</v>
      </c>
      <c r="O627" s="36">
        <v>2</v>
      </c>
      <c r="P627" s="37" t="s">
        <v>292</v>
      </c>
      <c r="Q627" s="37"/>
      <c r="R627" s="37" t="s">
        <v>1969</v>
      </c>
    </row>
    <row r="628" spans="1:18" ht="27.7" hidden="1" thickBot="1" x14ac:dyDescent="0.55000000000000004">
      <c r="A628" s="36">
        <v>626</v>
      </c>
      <c r="B628" s="37" t="s">
        <v>1970</v>
      </c>
      <c r="C628" s="37" t="s">
        <v>1970</v>
      </c>
      <c r="D628" s="37" t="s">
        <v>1971</v>
      </c>
      <c r="E628" s="37" t="s">
        <v>1959</v>
      </c>
      <c r="F628" s="37" t="s">
        <v>1972</v>
      </c>
      <c r="G628" s="37" t="s">
        <v>1972</v>
      </c>
      <c r="H628" s="37" t="s">
        <v>1972</v>
      </c>
      <c r="I628" s="37" t="s">
        <v>1964</v>
      </c>
      <c r="J628" s="37" t="s">
        <v>1964</v>
      </c>
      <c r="K628" s="37" t="s">
        <v>1964</v>
      </c>
      <c r="L628" s="36">
        <v>4</v>
      </c>
      <c r="M628" s="36">
        <v>4</v>
      </c>
      <c r="N628" s="36">
        <v>4</v>
      </c>
      <c r="O628" s="36">
        <v>7</v>
      </c>
      <c r="P628" s="37" t="s">
        <v>292</v>
      </c>
      <c r="Q628" s="37"/>
      <c r="R628" s="37" t="s">
        <v>1973</v>
      </c>
    </row>
    <row r="629" spans="1:18" ht="27.7" hidden="1" thickBot="1" x14ac:dyDescent="0.55000000000000004">
      <c r="A629" s="36">
        <v>627</v>
      </c>
      <c r="B629" s="37" t="s">
        <v>1974</v>
      </c>
      <c r="C629" s="37" t="s">
        <v>1975</v>
      </c>
      <c r="D629" s="37" t="s">
        <v>1976</v>
      </c>
      <c r="E629" s="37" t="s">
        <v>1064</v>
      </c>
      <c r="F629" s="37" t="s">
        <v>1972</v>
      </c>
      <c r="G629" s="37" t="s">
        <v>1972</v>
      </c>
      <c r="H629" s="37" t="s">
        <v>1972</v>
      </c>
      <c r="I629" s="37" t="s">
        <v>1964</v>
      </c>
      <c r="J629" s="37" t="s">
        <v>1964</v>
      </c>
      <c r="K629" s="37" t="s">
        <v>1964</v>
      </c>
      <c r="L629" s="36">
        <v>1</v>
      </c>
      <c r="M629" s="36">
        <v>1</v>
      </c>
      <c r="N629" s="36">
        <v>1</v>
      </c>
      <c r="O629" s="36">
        <v>2</v>
      </c>
      <c r="P629" s="37" t="s">
        <v>292</v>
      </c>
      <c r="Q629" s="37"/>
      <c r="R629" s="37" t="s">
        <v>1977</v>
      </c>
    </row>
    <row r="630" spans="1:18" ht="27.7" hidden="1" thickBot="1" x14ac:dyDescent="0.55000000000000004">
      <c r="A630" s="36">
        <v>628</v>
      </c>
      <c r="B630" s="37" t="s">
        <v>1978</v>
      </c>
      <c r="C630" s="37" t="s">
        <v>1979</v>
      </c>
      <c r="D630" s="37" t="s">
        <v>1971</v>
      </c>
      <c r="E630" s="37" t="s">
        <v>1959</v>
      </c>
      <c r="F630" s="37" t="s">
        <v>1980</v>
      </c>
      <c r="G630" s="37" t="s">
        <v>1980</v>
      </c>
      <c r="H630" s="37" t="s">
        <v>1972</v>
      </c>
      <c r="I630" s="37" t="s">
        <v>1964</v>
      </c>
      <c r="J630" s="37" t="s">
        <v>1964</v>
      </c>
      <c r="K630" s="37" t="s">
        <v>1964</v>
      </c>
      <c r="L630" s="36">
        <v>4</v>
      </c>
      <c r="M630" s="36">
        <v>4</v>
      </c>
      <c r="N630" s="36">
        <v>4</v>
      </c>
      <c r="O630" s="36">
        <v>5</v>
      </c>
      <c r="P630" s="37" t="s">
        <v>292</v>
      </c>
      <c r="Q630" s="37"/>
      <c r="R630" s="37" t="s">
        <v>1981</v>
      </c>
    </row>
    <row r="631" spans="1:18" ht="27.7" hidden="1" thickBot="1" x14ac:dyDescent="0.55000000000000004">
      <c r="A631" s="36">
        <v>629</v>
      </c>
      <c r="B631" s="37" t="s">
        <v>1982</v>
      </c>
      <c r="C631" s="37" t="s">
        <v>1983</v>
      </c>
      <c r="D631" s="37" t="s">
        <v>1984</v>
      </c>
      <c r="E631" s="37" t="s">
        <v>1064</v>
      </c>
      <c r="F631" s="37" t="s">
        <v>1972</v>
      </c>
      <c r="G631" s="37" t="s">
        <v>1972</v>
      </c>
      <c r="H631" s="37" t="s">
        <v>1972</v>
      </c>
      <c r="I631" s="37" t="s">
        <v>1964</v>
      </c>
      <c r="J631" s="37" t="s">
        <v>1964</v>
      </c>
      <c r="K631" s="37" t="s">
        <v>1964</v>
      </c>
      <c r="L631" s="36">
        <v>3</v>
      </c>
      <c r="M631" s="36">
        <v>3</v>
      </c>
      <c r="N631" s="36">
        <v>3</v>
      </c>
      <c r="O631" s="36">
        <v>3</v>
      </c>
      <c r="P631" s="37" t="s">
        <v>292</v>
      </c>
      <c r="Q631" s="37"/>
      <c r="R631" s="37" t="s">
        <v>1985</v>
      </c>
    </row>
    <row r="632" spans="1:18" ht="27.7" hidden="1" thickBot="1" x14ac:dyDescent="0.55000000000000004">
      <c r="A632" s="36">
        <v>630</v>
      </c>
      <c r="B632" s="37" t="s">
        <v>1983</v>
      </c>
      <c r="C632" s="37" t="s">
        <v>1983</v>
      </c>
      <c r="D632" s="37" t="s">
        <v>1984</v>
      </c>
      <c r="E632" s="37" t="s">
        <v>1064</v>
      </c>
      <c r="F632" s="37" t="s">
        <v>1972</v>
      </c>
      <c r="G632" s="37" t="s">
        <v>1972</v>
      </c>
      <c r="H632" s="37" t="s">
        <v>1972</v>
      </c>
      <c r="I632" s="37" t="s">
        <v>1964</v>
      </c>
      <c r="J632" s="37" t="s">
        <v>1964</v>
      </c>
      <c r="K632" s="37" t="s">
        <v>1964</v>
      </c>
      <c r="L632" s="36">
        <v>4</v>
      </c>
      <c r="M632" s="36">
        <v>4</v>
      </c>
      <c r="N632" s="36">
        <v>4</v>
      </c>
      <c r="O632" s="36">
        <v>5</v>
      </c>
      <c r="P632" s="37" t="s">
        <v>292</v>
      </c>
      <c r="Q632" s="37"/>
      <c r="R632" s="37" t="s">
        <v>1986</v>
      </c>
    </row>
    <row r="633" spans="1:18" ht="27.7" hidden="1" thickBot="1" x14ac:dyDescent="0.55000000000000004">
      <c r="A633" s="36">
        <v>631</v>
      </c>
      <c r="B633" s="37" t="s">
        <v>1975</v>
      </c>
      <c r="C633" s="37" t="s">
        <v>1975</v>
      </c>
      <c r="D633" s="37" t="s">
        <v>1976</v>
      </c>
      <c r="E633" s="37" t="s">
        <v>1064</v>
      </c>
      <c r="F633" s="37" t="s">
        <v>1972</v>
      </c>
      <c r="G633" s="37" t="s">
        <v>1972</v>
      </c>
      <c r="H633" s="37" t="s">
        <v>1972</v>
      </c>
      <c r="I633" s="37" t="s">
        <v>1964</v>
      </c>
      <c r="J633" s="37" t="s">
        <v>1964</v>
      </c>
      <c r="K633" s="37" t="s">
        <v>1964</v>
      </c>
      <c r="L633" s="36">
        <v>3</v>
      </c>
      <c r="M633" s="36">
        <v>3</v>
      </c>
      <c r="N633" s="36">
        <v>3</v>
      </c>
      <c r="O633" s="36">
        <v>3</v>
      </c>
      <c r="P633" s="37" t="s">
        <v>292</v>
      </c>
      <c r="Q633" s="37"/>
      <c r="R633" s="37" t="s">
        <v>1987</v>
      </c>
    </row>
    <row r="634" spans="1:18" ht="27.7" hidden="1" thickBot="1" x14ac:dyDescent="0.55000000000000004">
      <c r="A634" s="36">
        <v>632</v>
      </c>
      <c r="B634" s="37" t="s">
        <v>1988</v>
      </c>
      <c r="C634" s="37" t="s">
        <v>1984</v>
      </c>
      <c r="D634" s="37" t="s">
        <v>1984</v>
      </c>
      <c r="E634" s="37" t="s">
        <v>1064</v>
      </c>
      <c r="F634" s="37" t="s">
        <v>1972</v>
      </c>
      <c r="G634" s="37" t="s">
        <v>1972</v>
      </c>
      <c r="H634" s="37" t="s">
        <v>1972</v>
      </c>
      <c r="I634" s="37" t="s">
        <v>1964</v>
      </c>
      <c r="J634" s="37" t="s">
        <v>1964</v>
      </c>
      <c r="K634" s="37" t="s">
        <v>1964</v>
      </c>
      <c r="L634" s="36">
        <v>3</v>
      </c>
      <c r="M634" s="36">
        <v>3</v>
      </c>
      <c r="N634" s="36">
        <v>3</v>
      </c>
      <c r="O634" s="36">
        <v>4</v>
      </c>
      <c r="P634" s="37" t="s">
        <v>292</v>
      </c>
      <c r="Q634" s="37"/>
      <c r="R634" s="37" t="s">
        <v>1989</v>
      </c>
    </row>
    <row r="635" spans="1:18" ht="27.7" hidden="1" thickBot="1" x14ac:dyDescent="0.55000000000000004">
      <c r="A635" s="36">
        <v>633</v>
      </c>
      <c r="B635" s="37" t="s">
        <v>1990</v>
      </c>
      <c r="C635" s="37" t="s">
        <v>1991</v>
      </c>
      <c r="D635" s="37" t="s">
        <v>1976</v>
      </c>
      <c r="E635" s="37" t="s">
        <v>1064</v>
      </c>
      <c r="F635" s="37" t="s">
        <v>1972</v>
      </c>
      <c r="G635" s="37" t="s">
        <v>1972</v>
      </c>
      <c r="H635" s="37" t="s">
        <v>1972</v>
      </c>
      <c r="I635" s="37" t="s">
        <v>1964</v>
      </c>
      <c r="J635" s="37" t="s">
        <v>1964</v>
      </c>
      <c r="K635" s="37" t="s">
        <v>1964</v>
      </c>
      <c r="L635" s="36">
        <v>3</v>
      </c>
      <c r="M635" s="36">
        <v>3</v>
      </c>
      <c r="N635" s="36">
        <v>3</v>
      </c>
      <c r="O635" s="36">
        <v>5</v>
      </c>
      <c r="P635" s="37" t="s">
        <v>292</v>
      </c>
      <c r="Q635" s="37"/>
      <c r="R635" s="37" t="s">
        <v>1992</v>
      </c>
    </row>
    <row r="636" spans="1:18" ht="27.7" hidden="1" thickBot="1" x14ac:dyDescent="0.55000000000000004">
      <c r="A636" s="36">
        <v>634</v>
      </c>
      <c r="B636" s="37" t="s">
        <v>1993</v>
      </c>
      <c r="C636" s="37" t="s">
        <v>1984</v>
      </c>
      <c r="D636" s="37" t="s">
        <v>1984</v>
      </c>
      <c r="E636" s="37" t="s">
        <v>1064</v>
      </c>
      <c r="F636" s="37" t="s">
        <v>1972</v>
      </c>
      <c r="G636" s="37" t="s">
        <v>1972</v>
      </c>
      <c r="H636" s="37" t="s">
        <v>1972</v>
      </c>
      <c r="I636" s="37" t="s">
        <v>1964</v>
      </c>
      <c r="J636" s="37" t="s">
        <v>1964</v>
      </c>
      <c r="K636" s="37" t="s">
        <v>1964</v>
      </c>
      <c r="L636" s="36">
        <v>4</v>
      </c>
      <c r="M636" s="36">
        <v>4</v>
      </c>
      <c r="N636" s="36">
        <v>4</v>
      </c>
      <c r="O636" s="36">
        <v>6</v>
      </c>
      <c r="P636" s="37" t="s">
        <v>292</v>
      </c>
      <c r="Q636" s="37"/>
      <c r="R636" s="37" t="s">
        <v>1994</v>
      </c>
    </row>
    <row r="637" spans="1:18" ht="27.7" hidden="1" thickBot="1" x14ac:dyDescent="0.55000000000000004">
      <c r="A637" s="36">
        <v>635</v>
      </c>
      <c r="B637" s="37" t="s">
        <v>1995</v>
      </c>
      <c r="C637" s="37" t="s">
        <v>1984</v>
      </c>
      <c r="D637" s="37" t="s">
        <v>1984</v>
      </c>
      <c r="E637" s="37" t="s">
        <v>1064</v>
      </c>
      <c r="F637" s="37" t="s">
        <v>1972</v>
      </c>
      <c r="G637" s="37" t="s">
        <v>1972</v>
      </c>
      <c r="H637" s="37" t="s">
        <v>1972</v>
      </c>
      <c r="I637" s="37" t="s">
        <v>1964</v>
      </c>
      <c r="J637" s="37" t="s">
        <v>1964</v>
      </c>
      <c r="K637" s="37" t="s">
        <v>1964</v>
      </c>
      <c r="L637" s="36">
        <v>3</v>
      </c>
      <c r="M637" s="36">
        <v>3</v>
      </c>
      <c r="N637" s="36">
        <v>3</v>
      </c>
      <c r="O637" s="36">
        <v>4</v>
      </c>
      <c r="P637" s="37" t="s">
        <v>292</v>
      </c>
      <c r="Q637" s="37"/>
      <c r="R637" s="37" t="s">
        <v>1996</v>
      </c>
    </row>
    <row r="638" spans="1:18" ht="27.7" hidden="1" thickBot="1" x14ac:dyDescent="0.55000000000000004">
      <c r="A638" s="36">
        <v>636</v>
      </c>
      <c r="B638" s="37" t="s">
        <v>1997</v>
      </c>
      <c r="C638" s="37" t="s">
        <v>1997</v>
      </c>
      <c r="D638" s="37" t="s">
        <v>1998</v>
      </c>
      <c r="E638" s="37" t="s">
        <v>1064</v>
      </c>
      <c r="F638" s="37" t="s">
        <v>1972</v>
      </c>
      <c r="G638" s="37" t="s">
        <v>1972</v>
      </c>
      <c r="H638" s="37" t="s">
        <v>1972</v>
      </c>
      <c r="I638" s="37" t="s">
        <v>1964</v>
      </c>
      <c r="J638" s="37" t="s">
        <v>1964</v>
      </c>
      <c r="K638" s="37" t="s">
        <v>1964</v>
      </c>
      <c r="L638" s="36">
        <v>1</v>
      </c>
      <c r="M638" s="36">
        <v>1</v>
      </c>
      <c r="N638" s="36">
        <v>2</v>
      </c>
      <c r="O638" s="36">
        <v>3</v>
      </c>
      <c r="P638" s="37" t="s">
        <v>292</v>
      </c>
      <c r="Q638" s="37"/>
      <c r="R638" s="37" t="s">
        <v>1999</v>
      </c>
    </row>
    <row r="639" spans="1:18" ht="27.7" hidden="1" thickBot="1" x14ac:dyDescent="0.55000000000000004">
      <c r="A639" s="36">
        <v>637</v>
      </c>
      <c r="B639" s="37" t="s">
        <v>2000</v>
      </c>
      <c r="C639" s="37" t="s">
        <v>2001</v>
      </c>
      <c r="D639" s="37" t="s">
        <v>1998</v>
      </c>
      <c r="E639" s="37" t="s">
        <v>1064</v>
      </c>
      <c r="F639" s="37" t="s">
        <v>2002</v>
      </c>
      <c r="G639" s="37" t="s">
        <v>2002</v>
      </c>
      <c r="H639" s="37" t="s">
        <v>2002</v>
      </c>
      <c r="I639" s="37" t="s">
        <v>1964</v>
      </c>
      <c r="J639" s="37" t="s">
        <v>1964</v>
      </c>
      <c r="K639" s="37" t="s">
        <v>88</v>
      </c>
      <c r="L639" s="36">
        <v>3</v>
      </c>
      <c r="M639" s="36">
        <v>3</v>
      </c>
      <c r="N639" s="36">
        <v>3</v>
      </c>
      <c r="O639" s="36">
        <v>6</v>
      </c>
      <c r="P639" s="37" t="s">
        <v>265</v>
      </c>
      <c r="Q639" s="37"/>
      <c r="R639" s="37" t="s">
        <v>2003</v>
      </c>
    </row>
    <row r="640" spans="1:18" ht="27.7" hidden="1" thickBot="1" x14ac:dyDescent="0.55000000000000004">
      <c r="A640" s="36">
        <v>638</v>
      </c>
      <c r="B640" s="37" t="s">
        <v>2004</v>
      </c>
      <c r="C640" s="37" t="s">
        <v>1997</v>
      </c>
      <c r="D640" s="37" t="s">
        <v>1998</v>
      </c>
      <c r="E640" s="37" t="s">
        <v>1064</v>
      </c>
      <c r="F640" s="37" t="s">
        <v>1972</v>
      </c>
      <c r="G640" s="37" t="s">
        <v>1972</v>
      </c>
      <c r="H640" s="37" t="s">
        <v>1972</v>
      </c>
      <c r="I640" s="37" t="s">
        <v>1964</v>
      </c>
      <c r="J640" s="37" t="s">
        <v>88</v>
      </c>
      <c r="K640" s="37" t="s">
        <v>88</v>
      </c>
      <c r="L640" s="36">
        <v>3</v>
      </c>
      <c r="M640" s="36">
        <v>3</v>
      </c>
      <c r="N640" s="36">
        <v>3</v>
      </c>
      <c r="O640" s="36">
        <v>4</v>
      </c>
      <c r="P640" s="37" t="s">
        <v>292</v>
      </c>
      <c r="Q640" s="37"/>
      <c r="R640" s="37" t="s">
        <v>2005</v>
      </c>
    </row>
    <row r="641" spans="1:18" ht="27.7" hidden="1" thickBot="1" x14ac:dyDescent="0.55000000000000004">
      <c r="A641" s="36">
        <v>639</v>
      </c>
      <c r="B641" s="37" t="s">
        <v>2001</v>
      </c>
      <c r="C641" s="37" t="s">
        <v>2001</v>
      </c>
      <c r="D641" s="37" t="s">
        <v>1998</v>
      </c>
      <c r="E641" s="37" t="s">
        <v>1064</v>
      </c>
      <c r="F641" s="37" t="s">
        <v>1972</v>
      </c>
      <c r="G641" s="37" t="s">
        <v>1972</v>
      </c>
      <c r="H641" s="37" t="s">
        <v>1972</v>
      </c>
      <c r="I641" s="37" t="s">
        <v>88</v>
      </c>
      <c r="J641" s="37" t="s">
        <v>88</v>
      </c>
      <c r="K641" s="37" t="s">
        <v>88</v>
      </c>
      <c r="L641" s="36">
        <v>3</v>
      </c>
      <c r="M641" s="36">
        <v>3</v>
      </c>
      <c r="N641" s="36">
        <v>3</v>
      </c>
      <c r="O641" s="36">
        <v>4</v>
      </c>
      <c r="P641" s="37" t="s">
        <v>292</v>
      </c>
      <c r="Q641" s="37"/>
      <c r="R641" s="37" t="s">
        <v>2006</v>
      </c>
    </row>
    <row r="642" spans="1:18" ht="27.7" hidden="1" thickBot="1" x14ac:dyDescent="0.55000000000000004">
      <c r="A642" s="36">
        <v>640</v>
      </c>
      <c r="B642" s="37" t="s">
        <v>2007</v>
      </c>
      <c r="C642" s="37" t="s">
        <v>2001</v>
      </c>
      <c r="D642" s="37" t="s">
        <v>1998</v>
      </c>
      <c r="E642" s="37" t="s">
        <v>1064</v>
      </c>
      <c r="F642" s="37" t="s">
        <v>1972</v>
      </c>
      <c r="G642" s="37" t="s">
        <v>1972</v>
      </c>
      <c r="H642" s="37" t="s">
        <v>1972</v>
      </c>
      <c r="I642" s="37" t="s">
        <v>1964</v>
      </c>
      <c r="J642" s="37" t="s">
        <v>88</v>
      </c>
      <c r="K642" s="37" t="s">
        <v>88</v>
      </c>
      <c r="L642" s="36">
        <v>3</v>
      </c>
      <c r="M642" s="36">
        <v>3</v>
      </c>
      <c r="N642" s="36">
        <v>3</v>
      </c>
      <c r="O642" s="36">
        <v>4</v>
      </c>
      <c r="P642" s="37" t="s">
        <v>292</v>
      </c>
      <c r="Q642" s="37"/>
      <c r="R642" s="37" t="s">
        <v>2008</v>
      </c>
    </row>
    <row r="643" spans="1:18" ht="27.7" hidden="1" thickBot="1" x14ac:dyDescent="0.55000000000000004">
      <c r="A643" s="36">
        <v>641</v>
      </c>
      <c r="B643" s="37" t="s">
        <v>2009</v>
      </c>
      <c r="C643" s="37" t="s">
        <v>2001</v>
      </c>
      <c r="D643" s="37" t="s">
        <v>1998</v>
      </c>
      <c r="E643" s="37" t="s">
        <v>1064</v>
      </c>
      <c r="F643" s="37" t="s">
        <v>1972</v>
      </c>
      <c r="G643" s="37" t="s">
        <v>1972</v>
      </c>
      <c r="H643" s="37" t="s">
        <v>1972</v>
      </c>
      <c r="I643" s="37" t="s">
        <v>1964</v>
      </c>
      <c r="J643" s="37" t="s">
        <v>88</v>
      </c>
      <c r="K643" s="37" t="s">
        <v>88</v>
      </c>
      <c r="L643" s="36">
        <v>3</v>
      </c>
      <c r="M643" s="36">
        <v>3</v>
      </c>
      <c r="N643" s="36">
        <v>3</v>
      </c>
      <c r="O643" s="36">
        <v>5</v>
      </c>
      <c r="P643" s="37" t="s">
        <v>265</v>
      </c>
      <c r="Q643" s="37"/>
      <c r="R643" s="37" t="s">
        <v>2010</v>
      </c>
    </row>
    <row r="644" spans="1:18" ht="27.7" hidden="1" thickBot="1" x14ac:dyDescent="0.55000000000000004">
      <c r="A644" s="36">
        <v>642</v>
      </c>
      <c r="B644" s="37" t="s">
        <v>2011</v>
      </c>
      <c r="C644" s="37" t="s">
        <v>2012</v>
      </c>
      <c r="D644" s="37" t="s">
        <v>1998</v>
      </c>
      <c r="E644" s="37" t="s">
        <v>1064</v>
      </c>
      <c r="F644" s="37" t="s">
        <v>1972</v>
      </c>
      <c r="G644" s="37" t="s">
        <v>1972</v>
      </c>
      <c r="H644" s="37" t="s">
        <v>1972</v>
      </c>
      <c r="I644" s="37" t="s">
        <v>1964</v>
      </c>
      <c r="J644" s="37" t="s">
        <v>88</v>
      </c>
      <c r="K644" s="37" t="s">
        <v>88</v>
      </c>
      <c r="L644" s="36">
        <v>4</v>
      </c>
      <c r="M644" s="36">
        <v>4</v>
      </c>
      <c r="N644" s="36">
        <v>4</v>
      </c>
      <c r="O644" s="36">
        <v>5</v>
      </c>
      <c r="P644" s="37" t="s">
        <v>265</v>
      </c>
      <c r="Q644" s="37"/>
      <c r="R644" s="37" t="s">
        <v>2013</v>
      </c>
    </row>
    <row r="645" spans="1:18" ht="27.7" hidden="1" thickBot="1" x14ac:dyDescent="0.55000000000000004">
      <c r="A645" s="36">
        <v>643</v>
      </c>
      <c r="B645" s="37" t="s">
        <v>2014</v>
      </c>
      <c r="C645" s="37" t="s">
        <v>2012</v>
      </c>
      <c r="D645" s="37" t="s">
        <v>1998</v>
      </c>
      <c r="E645" s="37" t="s">
        <v>1064</v>
      </c>
      <c r="F645" s="37" t="s">
        <v>1972</v>
      </c>
      <c r="G645" s="37" t="s">
        <v>1972</v>
      </c>
      <c r="H645" s="37" t="s">
        <v>1972</v>
      </c>
      <c r="I645" s="37" t="s">
        <v>1964</v>
      </c>
      <c r="J645" s="37" t="s">
        <v>1964</v>
      </c>
      <c r="K645" s="37" t="s">
        <v>1964</v>
      </c>
      <c r="L645" s="36">
        <v>3</v>
      </c>
      <c r="M645" s="36">
        <v>3</v>
      </c>
      <c r="N645" s="36">
        <v>3</v>
      </c>
      <c r="O645" s="36">
        <v>5</v>
      </c>
      <c r="P645" s="37" t="s">
        <v>265</v>
      </c>
      <c r="Q645" s="37"/>
      <c r="R645" s="37" t="s">
        <v>2015</v>
      </c>
    </row>
    <row r="646" spans="1:18" ht="27.7" hidden="1" thickBot="1" x14ac:dyDescent="0.55000000000000004">
      <c r="A646" s="36">
        <v>644</v>
      </c>
      <c r="B646" s="37" t="s">
        <v>2016</v>
      </c>
      <c r="C646" s="37" t="s">
        <v>2012</v>
      </c>
      <c r="D646" s="37" t="s">
        <v>1998</v>
      </c>
      <c r="E646" s="37" t="s">
        <v>1064</v>
      </c>
      <c r="F646" s="37" t="s">
        <v>1972</v>
      </c>
      <c r="G646" s="37" t="s">
        <v>1972</v>
      </c>
      <c r="H646" s="37" t="s">
        <v>1972</v>
      </c>
      <c r="I646" s="37" t="s">
        <v>1964</v>
      </c>
      <c r="J646" s="37" t="s">
        <v>88</v>
      </c>
      <c r="K646" s="37" t="s">
        <v>88</v>
      </c>
      <c r="L646" s="36">
        <v>3</v>
      </c>
      <c r="M646" s="36">
        <v>3</v>
      </c>
      <c r="N646" s="36">
        <v>3</v>
      </c>
      <c r="O646" s="36">
        <v>4</v>
      </c>
      <c r="P646" s="37" t="s">
        <v>292</v>
      </c>
      <c r="Q646" s="37"/>
      <c r="R646" s="37" t="s">
        <v>2017</v>
      </c>
    </row>
    <row r="647" spans="1:18" ht="27.7" hidden="1" thickBot="1" x14ac:dyDescent="0.55000000000000004">
      <c r="A647" s="36">
        <v>645</v>
      </c>
      <c r="B647" s="37" t="s">
        <v>2018</v>
      </c>
      <c r="C647" s="37" t="s">
        <v>2012</v>
      </c>
      <c r="D647" s="37" t="s">
        <v>1998</v>
      </c>
      <c r="E647" s="37" t="s">
        <v>1064</v>
      </c>
      <c r="F647" s="37" t="s">
        <v>1972</v>
      </c>
      <c r="G647" s="37" t="s">
        <v>1972</v>
      </c>
      <c r="H647" s="37" t="s">
        <v>1972</v>
      </c>
      <c r="I647" s="37" t="s">
        <v>1964</v>
      </c>
      <c r="J647" s="37" t="s">
        <v>88</v>
      </c>
      <c r="K647" s="37" t="s">
        <v>88</v>
      </c>
      <c r="L647" s="36">
        <v>3</v>
      </c>
      <c r="M647" s="36">
        <v>3</v>
      </c>
      <c r="N647" s="36">
        <v>3</v>
      </c>
      <c r="O647" s="36">
        <v>4</v>
      </c>
      <c r="P647" s="37" t="s">
        <v>265</v>
      </c>
      <c r="Q647" s="37"/>
      <c r="R647" s="37" t="s">
        <v>2019</v>
      </c>
    </row>
    <row r="648" spans="1:18" ht="27.7" hidden="1" thickBot="1" x14ac:dyDescent="0.55000000000000004">
      <c r="A648" s="36">
        <v>646</v>
      </c>
      <c r="B648" s="37" t="s">
        <v>2020</v>
      </c>
      <c r="C648" s="37" t="s">
        <v>2021</v>
      </c>
      <c r="D648" s="37" t="s">
        <v>1998</v>
      </c>
      <c r="E648" s="37" t="s">
        <v>1064</v>
      </c>
      <c r="F648" s="37" t="s">
        <v>1972</v>
      </c>
      <c r="G648" s="37" t="s">
        <v>1972</v>
      </c>
      <c r="H648" s="37" t="s">
        <v>1972</v>
      </c>
      <c r="I648" s="37" t="s">
        <v>2022</v>
      </c>
      <c r="J648" s="37" t="s">
        <v>88</v>
      </c>
      <c r="K648" s="37" t="s">
        <v>88</v>
      </c>
      <c r="L648" s="36">
        <v>5</v>
      </c>
      <c r="M648" s="36">
        <v>5</v>
      </c>
      <c r="N648" s="36">
        <v>5</v>
      </c>
      <c r="O648" s="36">
        <v>7</v>
      </c>
      <c r="P648" s="37" t="s">
        <v>292</v>
      </c>
      <c r="Q648" s="37"/>
      <c r="R648" s="37" t="s">
        <v>2023</v>
      </c>
    </row>
    <row r="649" spans="1:18" ht="27.7" hidden="1" thickBot="1" x14ac:dyDescent="0.55000000000000004">
      <c r="A649" s="36">
        <v>647</v>
      </c>
      <c r="B649" s="37" t="s">
        <v>2024</v>
      </c>
      <c r="C649" s="37" t="s">
        <v>2025</v>
      </c>
      <c r="D649" s="37" t="s">
        <v>1998</v>
      </c>
      <c r="E649" s="37" t="s">
        <v>1064</v>
      </c>
      <c r="F649" s="37" t="s">
        <v>1972</v>
      </c>
      <c r="G649" s="37" t="s">
        <v>1972</v>
      </c>
      <c r="H649" s="37" t="s">
        <v>1972</v>
      </c>
      <c r="I649" s="37" t="s">
        <v>2022</v>
      </c>
      <c r="J649" s="37" t="s">
        <v>88</v>
      </c>
      <c r="K649" s="37" t="s">
        <v>88</v>
      </c>
      <c r="L649" s="36">
        <v>4</v>
      </c>
      <c r="M649" s="36">
        <v>4</v>
      </c>
      <c r="N649" s="36">
        <v>4</v>
      </c>
      <c r="O649" s="36">
        <v>5</v>
      </c>
      <c r="P649" s="37" t="s">
        <v>292</v>
      </c>
      <c r="Q649" s="37"/>
      <c r="R649" s="37" t="s">
        <v>2026</v>
      </c>
    </row>
    <row r="650" spans="1:18" ht="27.7" hidden="1" thickBot="1" x14ac:dyDescent="0.55000000000000004">
      <c r="A650" s="36">
        <v>648</v>
      </c>
      <c r="B650" s="37" t="s">
        <v>2025</v>
      </c>
      <c r="C650" s="37" t="s">
        <v>2025</v>
      </c>
      <c r="D650" s="37" t="s">
        <v>1998</v>
      </c>
      <c r="E650" s="37" t="s">
        <v>1064</v>
      </c>
      <c r="F650" s="37" t="s">
        <v>1972</v>
      </c>
      <c r="G650" s="37" t="s">
        <v>1972</v>
      </c>
      <c r="H650" s="37" t="s">
        <v>1972</v>
      </c>
      <c r="I650" s="37" t="s">
        <v>2022</v>
      </c>
      <c r="J650" s="37" t="s">
        <v>88</v>
      </c>
      <c r="K650" s="37" t="s">
        <v>88</v>
      </c>
      <c r="L650" s="36">
        <v>4</v>
      </c>
      <c r="M650" s="36">
        <v>5</v>
      </c>
      <c r="N650" s="36">
        <v>5</v>
      </c>
      <c r="O650" s="36">
        <v>5</v>
      </c>
      <c r="P650" s="37" t="s">
        <v>265</v>
      </c>
      <c r="Q650" s="37"/>
      <c r="R650" s="37" t="s">
        <v>2027</v>
      </c>
    </row>
    <row r="651" spans="1:18" ht="27.7" hidden="1" thickBot="1" x14ac:dyDescent="0.55000000000000004">
      <c r="A651" s="36">
        <v>649</v>
      </c>
      <c r="B651" s="37" t="s">
        <v>2028</v>
      </c>
      <c r="C651" s="37" t="s">
        <v>2028</v>
      </c>
      <c r="D651" s="37" t="s">
        <v>2029</v>
      </c>
      <c r="E651" s="37" t="s">
        <v>1064</v>
      </c>
      <c r="F651" s="37" t="s">
        <v>2030</v>
      </c>
      <c r="G651" s="37" t="s">
        <v>2030</v>
      </c>
      <c r="H651" s="37" t="s">
        <v>2030</v>
      </c>
      <c r="I651" s="37" t="s">
        <v>2031</v>
      </c>
      <c r="J651" s="37" t="s">
        <v>2032</v>
      </c>
      <c r="K651" s="37" t="s">
        <v>2032</v>
      </c>
      <c r="L651" s="36">
        <v>5</v>
      </c>
      <c r="M651" s="36">
        <v>5</v>
      </c>
      <c r="N651" s="36">
        <v>5</v>
      </c>
      <c r="O651" s="36">
        <v>6</v>
      </c>
      <c r="P651" s="37" t="s">
        <v>265</v>
      </c>
      <c r="Q651" s="37"/>
      <c r="R651" s="37" t="s">
        <v>2033</v>
      </c>
    </row>
    <row r="652" spans="1:18" ht="27.7" hidden="1" thickBot="1" x14ac:dyDescent="0.55000000000000004">
      <c r="A652" s="36">
        <v>650</v>
      </c>
      <c r="B652" s="37" t="s">
        <v>2034</v>
      </c>
      <c r="C652" s="37" t="s">
        <v>2035</v>
      </c>
      <c r="D652" s="37" t="s">
        <v>2036</v>
      </c>
      <c r="E652" s="37" t="s">
        <v>2037</v>
      </c>
      <c r="F652" s="37" t="s">
        <v>2030</v>
      </c>
      <c r="G652" s="37" t="s">
        <v>2030</v>
      </c>
      <c r="H652" s="37" t="s">
        <v>2030</v>
      </c>
      <c r="I652" s="37" t="s">
        <v>88</v>
      </c>
      <c r="J652" s="37" t="s">
        <v>88</v>
      </c>
      <c r="K652" s="37" t="s">
        <v>88</v>
      </c>
      <c r="L652" s="36">
        <v>3</v>
      </c>
      <c r="M652" s="36">
        <v>3</v>
      </c>
      <c r="N652" s="36">
        <v>3</v>
      </c>
      <c r="O652" s="36">
        <v>3</v>
      </c>
      <c r="P652" s="37" t="s">
        <v>265</v>
      </c>
      <c r="Q652" s="37"/>
      <c r="R652" s="37" t="s">
        <v>2038</v>
      </c>
    </row>
    <row r="653" spans="1:18" ht="27.7" hidden="1" thickBot="1" x14ac:dyDescent="0.55000000000000004">
      <c r="A653" s="36">
        <v>651</v>
      </c>
      <c r="B653" s="37" t="s">
        <v>2039</v>
      </c>
      <c r="C653" s="37" t="s">
        <v>2035</v>
      </c>
      <c r="D653" s="37" t="s">
        <v>2036</v>
      </c>
      <c r="E653" s="37" t="s">
        <v>2037</v>
      </c>
      <c r="F653" s="37" t="s">
        <v>2030</v>
      </c>
      <c r="G653" s="37" t="s">
        <v>2030</v>
      </c>
      <c r="H653" s="37" t="s">
        <v>2030</v>
      </c>
      <c r="I653" s="37" t="s">
        <v>88</v>
      </c>
      <c r="J653" s="37" t="s">
        <v>88</v>
      </c>
      <c r="K653" s="37" t="s">
        <v>88</v>
      </c>
      <c r="L653" s="36">
        <v>3</v>
      </c>
      <c r="M653" s="36">
        <v>3</v>
      </c>
      <c r="N653" s="36">
        <v>3</v>
      </c>
      <c r="O653" s="36">
        <v>4</v>
      </c>
      <c r="P653" s="37" t="s">
        <v>265</v>
      </c>
      <c r="Q653" s="37"/>
      <c r="R653" s="37" t="s">
        <v>2040</v>
      </c>
    </row>
    <row r="654" spans="1:18" ht="27.7" hidden="1" thickBot="1" x14ac:dyDescent="0.55000000000000004">
      <c r="A654" s="36">
        <v>652</v>
      </c>
      <c r="B654" s="37" t="s">
        <v>2041</v>
      </c>
      <c r="C654" s="37" t="s">
        <v>2035</v>
      </c>
      <c r="D654" s="37" t="s">
        <v>2036</v>
      </c>
      <c r="E654" s="37" t="s">
        <v>2037</v>
      </c>
      <c r="F654" s="37" t="s">
        <v>2030</v>
      </c>
      <c r="G654" s="37" t="s">
        <v>2030</v>
      </c>
      <c r="H654" s="37" t="s">
        <v>2030</v>
      </c>
      <c r="I654" s="37" t="s">
        <v>2032</v>
      </c>
      <c r="J654" s="37" t="s">
        <v>2032</v>
      </c>
      <c r="K654" s="37" t="s">
        <v>2032</v>
      </c>
      <c r="L654" s="36">
        <v>3</v>
      </c>
      <c r="M654" s="36">
        <v>3</v>
      </c>
      <c r="N654" s="36">
        <v>3</v>
      </c>
      <c r="O654" s="36">
        <v>5</v>
      </c>
      <c r="P654" s="37" t="s">
        <v>265</v>
      </c>
      <c r="Q654" s="37"/>
      <c r="R654" s="37" t="s">
        <v>2042</v>
      </c>
    </row>
    <row r="655" spans="1:18" ht="27.7" hidden="1" thickBot="1" x14ac:dyDescent="0.55000000000000004">
      <c r="A655" s="36">
        <v>653</v>
      </c>
      <c r="B655" s="37" t="s">
        <v>2043</v>
      </c>
      <c r="C655" s="37" t="s">
        <v>2035</v>
      </c>
      <c r="D655" s="37" t="s">
        <v>2036</v>
      </c>
      <c r="E655" s="37" t="s">
        <v>2037</v>
      </c>
      <c r="F655" s="37" t="s">
        <v>2030</v>
      </c>
      <c r="G655" s="37" t="s">
        <v>2030</v>
      </c>
      <c r="H655" s="37" t="s">
        <v>2030</v>
      </c>
      <c r="I655" s="37" t="s">
        <v>2032</v>
      </c>
      <c r="J655" s="37" t="s">
        <v>2032</v>
      </c>
      <c r="K655" s="37" t="s">
        <v>2032</v>
      </c>
      <c r="L655" s="36">
        <v>3</v>
      </c>
      <c r="M655" s="36">
        <v>3</v>
      </c>
      <c r="N655" s="36">
        <v>3</v>
      </c>
      <c r="O655" s="36">
        <v>4</v>
      </c>
      <c r="P655" s="37" t="s">
        <v>265</v>
      </c>
      <c r="Q655" s="37"/>
      <c r="R655" s="37" t="s">
        <v>2044</v>
      </c>
    </row>
    <row r="656" spans="1:18" ht="27.7" hidden="1" thickBot="1" x14ac:dyDescent="0.55000000000000004">
      <c r="A656" s="36">
        <v>654</v>
      </c>
      <c r="B656" s="37" t="s">
        <v>2045</v>
      </c>
      <c r="C656" s="37" t="s">
        <v>2028</v>
      </c>
      <c r="D656" s="37" t="s">
        <v>2029</v>
      </c>
      <c r="E656" s="37" t="s">
        <v>1064</v>
      </c>
      <c r="F656" s="37" t="s">
        <v>2030</v>
      </c>
      <c r="G656" s="37" t="s">
        <v>2030</v>
      </c>
      <c r="H656" s="37" t="s">
        <v>2030</v>
      </c>
      <c r="I656" s="37" t="s">
        <v>2031</v>
      </c>
      <c r="J656" s="37" t="s">
        <v>2031</v>
      </c>
      <c r="K656" s="37" t="s">
        <v>88</v>
      </c>
      <c r="L656" s="36">
        <v>2</v>
      </c>
      <c r="M656" s="36">
        <v>2</v>
      </c>
      <c r="N656" s="36">
        <v>2</v>
      </c>
      <c r="O656" s="36">
        <v>2</v>
      </c>
      <c r="P656" s="37" t="s">
        <v>292</v>
      </c>
      <c r="Q656" s="37"/>
      <c r="R656" s="37" t="s">
        <v>2046</v>
      </c>
    </row>
    <row r="657" spans="1:18" ht="27.7" hidden="1" thickBot="1" x14ac:dyDescent="0.55000000000000004">
      <c r="A657" s="36">
        <v>655</v>
      </c>
      <c r="B657" s="37" t="s">
        <v>2047</v>
      </c>
      <c r="C657" s="37" t="s">
        <v>2028</v>
      </c>
      <c r="D657" s="37" t="s">
        <v>2029</v>
      </c>
      <c r="E657" s="37" t="s">
        <v>1064</v>
      </c>
      <c r="F657" s="37" t="s">
        <v>2030</v>
      </c>
      <c r="G657" s="37" t="s">
        <v>2030</v>
      </c>
      <c r="H657" s="37" t="s">
        <v>2030</v>
      </c>
      <c r="I657" s="37" t="s">
        <v>2031</v>
      </c>
      <c r="J657" s="37" t="s">
        <v>2032</v>
      </c>
      <c r="K657" s="37" t="s">
        <v>2032</v>
      </c>
      <c r="L657" s="36">
        <v>5</v>
      </c>
      <c r="M657" s="36">
        <v>5</v>
      </c>
      <c r="N657" s="36">
        <v>5</v>
      </c>
      <c r="O657" s="36">
        <v>5</v>
      </c>
      <c r="P657" s="37" t="s">
        <v>292</v>
      </c>
      <c r="Q657" s="37"/>
      <c r="R657" s="37" t="s">
        <v>2048</v>
      </c>
    </row>
    <row r="658" spans="1:18" ht="27.7" hidden="1" thickBot="1" x14ac:dyDescent="0.55000000000000004">
      <c r="A658" s="36">
        <v>656</v>
      </c>
      <c r="B658" s="37" t="s">
        <v>2049</v>
      </c>
      <c r="C658" s="37" t="s">
        <v>2025</v>
      </c>
      <c r="D658" s="37" t="s">
        <v>1998</v>
      </c>
      <c r="E658" s="37" t="s">
        <v>1064</v>
      </c>
      <c r="F658" s="37" t="s">
        <v>2050</v>
      </c>
      <c r="G658" s="37" t="s">
        <v>2050</v>
      </c>
      <c r="H658" s="37" t="s">
        <v>2050</v>
      </c>
      <c r="I658" s="37" t="s">
        <v>2031</v>
      </c>
      <c r="J658" s="37" t="s">
        <v>2031</v>
      </c>
      <c r="K658" s="37" t="s">
        <v>88</v>
      </c>
      <c r="L658" s="36">
        <v>4</v>
      </c>
      <c r="M658" s="36">
        <v>5</v>
      </c>
      <c r="N658" s="36">
        <v>6</v>
      </c>
      <c r="O658" s="36">
        <v>7</v>
      </c>
      <c r="P658" s="37" t="s">
        <v>292</v>
      </c>
      <c r="Q658" s="37" t="s">
        <v>2051</v>
      </c>
      <c r="R658" s="37" t="s">
        <v>2052</v>
      </c>
    </row>
    <row r="659" spans="1:18" ht="27.7" hidden="1" thickBot="1" x14ac:dyDescent="0.55000000000000004">
      <c r="A659" s="36">
        <v>657</v>
      </c>
      <c r="B659" s="37" t="s">
        <v>2053</v>
      </c>
      <c r="C659" s="37" t="s">
        <v>2021</v>
      </c>
      <c r="D659" s="37" t="s">
        <v>1998</v>
      </c>
      <c r="E659" s="37" t="s">
        <v>1064</v>
      </c>
      <c r="F659" s="37" t="s">
        <v>1972</v>
      </c>
      <c r="G659" s="37" t="s">
        <v>1972</v>
      </c>
      <c r="H659" s="37" t="s">
        <v>1972</v>
      </c>
      <c r="I659" s="37" t="s">
        <v>1964</v>
      </c>
      <c r="J659" s="37" t="s">
        <v>1964</v>
      </c>
      <c r="K659" s="37" t="s">
        <v>88</v>
      </c>
      <c r="L659" s="36">
        <v>5</v>
      </c>
      <c r="M659" s="36">
        <v>5</v>
      </c>
      <c r="N659" s="36">
        <v>6</v>
      </c>
      <c r="O659" s="36">
        <v>6</v>
      </c>
      <c r="P659" s="37" t="s">
        <v>292</v>
      </c>
      <c r="Q659" s="37"/>
      <c r="R659" s="37" t="s">
        <v>2054</v>
      </c>
    </row>
    <row r="660" spans="1:18" ht="27.7" hidden="1" thickBot="1" x14ac:dyDescent="0.55000000000000004">
      <c r="A660" s="36">
        <v>658</v>
      </c>
      <c r="B660" s="37" t="s">
        <v>2055</v>
      </c>
      <c r="C660" s="37" t="s">
        <v>2021</v>
      </c>
      <c r="D660" s="37" t="s">
        <v>1998</v>
      </c>
      <c r="E660" s="37" t="s">
        <v>1064</v>
      </c>
      <c r="F660" s="37" t="s">
        <v>1972</v>
      </c>
      <c r="G660" s="37" t="s">
        <v>1972</v>
      </c>
      <c r="H660" s="37" t="s">
        <v>1972</v>
      </c>
      <c r="I660" s="37" t="s">
        <v>1964</v>
      </c>
      <c r="J660" s="37" t="s">
        <v>1964</v>
      </c>
      <c r="K660" s="37" t="s">
        <v>88</v>
      </c>
      <c r="L660" s="36">
        <v>5</v>
      </c>
      <c r="M660" s="36">
        <v>5</v>
      </c>
      <c r="N660" s="36">
        <v>5</v>
      </c>
      <c r="O660" s="36">
        <v>6</v>
      </c>
      <c r="P660" s="37" t="s">
        <v>292</v>
      </c>
      <c r="Q660" s="37"/>
      <c r="R660" s="37" t="s">
        <v>2056</v>
      </c>
    </row>
    <row r="661" spans="1:18" ht="27.7" hidden="1" thickBot="1" x14ac:dyDescent="0.55000000000000004">
      <c r="A661" s="36">
        <v>659</v>
      </c>
      <c r="B661" s="37" t="s">
        <v>2057</v>
      </c>
      <c r="C661" s="37" t="s">
        <v>2021</v>
      </c>
      <c r="D661" s="37" t="s">
        <v>1998</v>
      </c>
      <c r="E661" s="37" t="s">
        <v>1064</v>
      </c>
      <c r="F661" s="37" t="s">
        <v>1972</v>
      </c>
      <c r="G661" s="37" t="s">
        <v>1972</v>
      </c>
      <c r="H661" s="37" t="s">
        <v>1972</v>
      </c>
      <c r="I661" s="37" t="s">
        <v>1964</v>
      </c>
      <c r="J661" s="37" t="s">
        <v>1964</v>
      </c>
      <c r="K661" s="37" t="s">
        <v>88</v>
      </c>
      <c r="L661" s="36">
        <v>5</v>
      </c>
      <c r="M661" s="36">
        <v>5</v>
      </c>
      <c r="N661" s="36">
        <v>5</v>
      </c>
      <c r="O661" s="36">
        <v>5</v>
      </c>
      <c r="P661" s="37" t="s">
        <v>292</v>
      </c>
      <c r="Q661" s="37"/>
      <c r="R661" s="37" t="s">
        <v>2058</v>
      </c>
    </row>
    <row r="662" spans="1:18" ht="27.7" hidden="1" thickBot="1" x14ac:dyDescent="0.55000000000000004">
      <c r="A662" s="36">
        <v>660</v>
      </c>
      <c r="B662" s="37" t="s">
        <v>2059</v>
      </c>
      <c r="C662" s="37" t="s">
        <v>1991</v>
      </c>
      <c r="D662" s="37" t="s">
        <v>1976</v>
      </c>
      <c r="E662" s="37" t="s">
        <v>1064</v>
      </c>
      <c r="F662" s="37" t="s">
        <v>1972</v>
      </c>
      <c r="G662" s="37" t="s">
        <v>1972</v>
      </c>
      <c r="H662" s="37" t="s">
        <v>1972</v>
      </c>
      <c r="I662" s="37" t="s">
        <v>1964</v>
      </c>
      <c r="J662" s="37" t="s">
        <v>2032</v>
      </c>
      <c r="K662" s="37" t="s">
        <v>2032</v>
      </c>
      <c r="L662" s="36">
        <v>4</v>
      </c>
      <c r="M662" s="36">
        <v>4</v>
      </c>
      <c r="N662" s="36">
        <v>4</v>
      </c>
      <c r="O662" s="36">
        <v>5</v>
      </c>
      <c r="P662" s="37" t="s">
        <v>292</v>
      </c>
      <c r="Q662" s="37"/>
      <c r="R662" s="37" t="s">
        <v>2060</v>
      </c>
    </row>
    <row r="663" spans="1:18" ht="27.7" hidden="1" thickBot="1" x14ac:dyDescent="0.55000000000000004">
      <c r="A663" s="36">
        <v>661</v>
      </c>
      <c r="B663" s="37" t="s">
        <v>1991</v>
      </c>
      <c r="C663" s="37" t="s">
        <v>1991</v>
      </c>
      <c r="D663" s="37" t="s">
        <v>1976</v>
      </c>
      <c r="E663" s="37" t="s">
        <v>1064</v>
      </c>
      <c r="F663" s="37" t="s">
        <v>1972</v>
      </c>
      <c r="G663" s="37" t="s">
        <v>1972</v>
      </c>
      <c r="H663" s="37" t="s">
        <v>1972</v>
      </c>
      <c r="I663" s="37" t="s">
        <v>1964</v>
      </c>
      <c r="J663" s="37" t="s">
        <v>1964</v>
      </c>
      <c r="K663" s="37" t="s">
        <v>1964</v>
      </c>
      <c r="L663" s="36">
        <v>3</v>
      </c>
      <c r="M663" s="36">
        <v>3</v>
      </c>
      <c r="N663" s="36">
        <v>3</v>
      </c>
      <c r="O663" s="36">
        <v>5</v>
      </c>
      <c r="P663" s="37" t="s">
        <v>292</v>
      </c>
      <c r="Q663" s="37"/>
      <c r="R663" s="37" t="s">
        <v>2061</v>
      </c>
    </row>
    <row r="664" spans="1:18" ht="27.7" hidden="1" thickBot="1" x14ac:dyDescent="0.55000000000000004">
      <c r="A664" s="36">
        <v>662</v>
      </c>
      <c r="B664" s="37" t="s">
        <v>2062</v>
      </c>
      <c r="C664" s="37" t="s">
        <v>1991</v>
      </c>
      <c r="D664" s="37" t="s">
        <v>1976</v>
      </c>
      <c r="E664" s="37" t="s">
        <v>1064</v>
      </c>
      <c r="F664" s="37" t="s">
        <v>1972</v>
      </c>
      <c r="G664" s="37" t="s">
        <v>1972</v>
      </c>
      <c r="H664" s="37" t="s">
        <v>1972</v>
      </c>
      <c r="I664" s="37" t="s">
        <v>1964</v>
      </c>
      <c r="J664" s="37" t="s">
        <v>1964</v>
      </c>
      <c r="K664" s="37" t="s">
        <v>1964</v>
      </c>
      <c r="L664" s="36">
        <v>3</v>
      </c>
      <c r="M664" s="36">
        <v>3</v>
      </c>
      <c r="N664" s="36">
        <v>3</v>
      </c>
      <c r="O664" s="36">
        <v>5</v>
      </c>
      <c r="P664" s="37" t="s">
        <v>292</v>
      </c>
      <c r="Q664" s="37"/>
      <c r="R664" s="37" t="s">
        <v>2063</v>
      </c>
    </row>
    <row r="665" spans="1:18" ht="27.7" hidden="1" thickBot="1" x14ac:dyDescent="0.55000000000000004">
      <c r="A665" s="36">
        <v>663</v>
      </c>
      <c r="B665" s="37" t="s">
        <v>2064</v>
      </c>
      <c r="C665" s="37" t="s">
        <v>2021</v>
      </c>
      <c r="D665" s="37" t="s">
        <v>1998</v>
      </c>
      <c r="E665" s="37" t="s">
        <v>1064</v>
      </c>
      <c r="F665" s="37" t="s">
        <v>1972</v>
      </c>
      <c r="G665" s="37" t="s">
        <v>1972</v>
      </c>
      <c r="H665" s="37" t="s">
        <v>1972</v>
      </c>
      <c r="I665" s="37" t="s">
        <v>1964</v>
      </c>
      <c r="J665" s="37" t="s">
        <v>2032</v>
      </c>
      <c r="K665" s="37" t="s">
        <v>88</v>
      </c>
      <c r="L665" s="36">
        <v>4</v>
      </c>
      <c r="M665" s="36">
        <v>4</v>
      </c>
      <c r="N665" s="36">
        <v>6</v>
      </c>
      <c r="O665" s="36">
        <v>7</v>
      </c>
      <c r="P665" s="37" t="s">
        <v>292</v>
      </c>
      <c r="Q665" s="37"/>
      <c r="R665" s="37" t="s">
        <v>2065</v>
      </c>
    </row>
    <row r="666" spans="1:18" ht="27.7" hidden="1" thickBot="1" x14ac:dyDescent="0.55000000000000004">
      <c r="A666" s="36">
        <v>664</v>
      </c>
      <c r="B666" s="37" t="s">
        <v>2066</v>
      </c>
      <c r="C666" s="37" t="s">
        <v>2067</v>
      </c>
      <c r="D666" s="37" t="s">
        <v>1976</v>
      </c>
      <c r="E666" s="37" t="s">
        <v>1064</v>
      </c>
      <c r="F666" s="37" t="s">
        <v>1972</v>
      </c>
      <c r="G666" s="37" t="s">
        <v>1972</v>
      </c>
      <c r="H666" s="37" t="s">
        <v>1972</v>
      </c>
      <c r="I666" s="37" t="s">
        <v>1964</v>
      </c>
      <c r="J666" s="37" t="s">
        <v>1964</v>
      </c>
      <c r="K666" s="37" t="s">
        <v>88</v>
      </c>
      <c r="L666" s="36">
        <v>3</v>
      </c>
      <c r="M666" s="36">
        <v>3</v>
      </c>
      <c r="N666" s="36">
        <v>3</v>
      </c>
      <c r="O666" s="36">
        <v>5</v>
      </c>
      <c r="P666" s="37" t="s">
        <v>292</v>
      </c>
      <c r="Q666" s="37"/>
      <c r="R666" s="37" t="s">
        <v>2068</v>
      </c>
    </row>
    <row r="667" spans="1:18" ht="27.7" hidden="1" thickBot="1" x14ac:dyDescent="0.55000000000000004">
      <c r="A667" s="36">
        <v>665</v>
      </c>
      <c r="B667" s="37" t="s">
        <v>1976</v>
      </c>
      <c r="C667" s="37" t="s">
        <v>2067</v>
      </c>
      <c r="D667" s="37" t="s">
        <v>1976</v>
      </c>
      <c r="E667" s="37" t="s">
        <v>1064</v>
      </c>
      <c r="F667" s="37" t="s">
        <v>1972</v>
      </c>
      <c r="G667" s="37" t="s">
        <v>1972</v>
      </c>
      <c r="H667" s="37" t="s">
        <v>1972</v>
      </c>
      <c r="I667" s="37" t="s">
        <v>1964</v>
      </c>
      <c r="J667" s="37" t="s">
        <v>1964</v>
      </c>
      <c r="K667" s="37" t="s">
        <v>2032</v>
      </c>
      <c r="L667" s="36">
        <v>3</v>
      </c>
      <c r="M667" s="36">
        <v>3</v>
      </c>
      <c r="N667" s="36">
        <v>3</v>
      </c>
      <c r="O667" s="36">
        <v>5</v>
      </c>
      <c r="P667" s="37" t="s">
        <v>292</v>
      </c>
      <c r="Q667" s="37"/>
      <c r="R667" s="37" t="s">
        <v>2069</v>
      </c>
    </row>
    <row r="668" spans="1:18" ht="27.7" hidden="1" thickBot="1" x14ac:dyDescent="0.55000000000000004">
      <c r="A668" s="36">
        <v>666</v>
      </c>
      <c r="B668" s="37" t="s">
        <v>2067</v>
      </c>
      <c r="C668" s="37" t="s">
        <v>2067</v>
      </c>
      <c r="D668" s="37" t="s">
        <v>1976</v>
      </c>
      <c r="E668" s="37" t="s">
        <v>1064</v>
      </c>
      <c r="F668" s="37" t="s">
        <v>1972</v>
      </c>
      <c r="G668" s="37" t="s">
        <v>1972</v>
      </c>
      <c r="H668" s="37" t="s">
        <v>1972</v>
      </c>
      <c r="I668" s="37" t="s">
        <v>1964</v>
      </c>
      <c r="J668" s="37" t="s">
        <v>1964</v>
      </c>
      <c r="K668" s="37" t="s">
        <v>2032</v>
      </c>
      <c r="L668" s="36">
        <v>4</v>
      </c>
      <c r="M668" s="36">
        <v>4</v>
      </c>
      <c r="N668" s="36">
        <v>4</v>
      </c>
      <c r="O668" s="36">
        <v>6</v>
      </c>
      <c r="P668" s="37" t="s">
        <v>292</v>
      </c>
      <c r="Q668" s="37"/>
      <c r="R668" s="37" t="s">
        <v>2070</v>
      </c>
    </row>
    <row r="669" spans="1:18" ht="27.7" hidden="1" thickBot="1" x14ac:dyDescent="0.55000000000000004">
      <c r="A669" s="36">
        <v>667</v>
      </c>
      <c r="B669" s="37" t="s">
        <v>2071</v>
      </c>
      <c r="C669" s="37" t="s">
        <v>2071</v>
      </c>
      <c r="D669" s="37" t="s">
        <v>1976</v>
      </c>
      <c r="E669" s="37" t="s">
        <v>1064</v>
      </c>
      <c r="F669" s="37" t="s">
        <v>2050</v>
      </c>
      <c r="G669" s="37" t="s">
        <v>2050</v>
      </c>
      <c r="H669" s="37" t="s">
        <v>2050</v>
      </c>
      <c r="I669" s="37" t="s">
        <v>1964</v>
      </c>
      <c r="J669" s="37" t="s">
        <v>1964</v>
      </c>
      <c r="K669" s="37" t="s">
        <v>88</v>
      </c>
      <c r="L669" s="36">
        <v>4</v>
      </c>
      <c r="M669" s="36">
        <v>4</v>
      </c>
      <c r="N669" s="36">
        <v>4</v>
      </c>
      <c r="O669" s="36">
        <v>5</v>
      </c>
      <c r="P669" s="37" t="s">
        <v>292</v>
      </c>
      <c r="Q669" s="37"/>
      <c r="R669" s="37" t="s">
        <v>2072</v>
      </c>
    </row>
    <row r="670" spans="1:18" ht="27.7" hidden="1" thickBot="1" x14ac:dyDescent="0.55000000000000004">
      <c r="A670" s="36">
        <v>668</v>
      </c>
      <c r="B670" s="37" t="s">
        <v>2073</v>
      </c>
      <c r="C670" s="37" t="s">
        <v>2074</v>
      </c>
      <c r="D670" s="37" t="s">
        <v>1976</v>
      </c>
      <c r="E670" s="37" t="s">
        <v>1064</v>
      </c>
      <c r="F670" s="37" t="s">
        <v>1972</v>
      </c>
      <c r="G670" s="37" t="s">
        <v>1972</v>
      </c>
      <c r="H670" s="37" t="s">
        <v>1972</v>
      </c>
      <c r="I670" s="37" t="s">
        <v>1964</v>
      </c>
      <c r="J670" s="37" t="s">
        <v>1964</v>
      </c>
      <c r="K670" s="37" t="s">
        <v>88</v>
      </c>
      <c r="L670" s="36">
        <v>3</v>
      </c>
      <c r="M670" s="36">
        <v>3</v>
      </c>
      <c r="N670" s="36">
        <v>3</v>
      </c>
      <c r="O670" s="36">
        <v>4</v>
      </c>
      <c r="P670" s="37" t="s">
        <v>292</v>
      </c>
      <c r="Q670" s="37"/>
      <c r="R670" s="37" t="s">
        <v>2075</v>
      </c>
    </row>
    <row r="671" spans="1:18" ht="27.7" hidden="1" thickBot="1" x14ac:dyDescent="0.55000000000000004">
      <c r="A671" s="36">
        <v>669</v>
      </c>
      <c r="B671" s="37" t="s">
        <v>2076</v>
      </c>
      <c r="C671" s="37" t="s">
        <v>2074</v>
      </c>
      <c r="D671" s="37" t="s">
        <v>1976</v>
      </c>
      <c r="E671" s="37" t="s">
        <v>1064</v>
      </c>
      <c r="F671" s="37" t="s">
        <v>1972</v>
      </c>
      <c r="G671" s="37" t="s">
        <v>1972</v>
      </c>
      <c r="H671" s="37" t="s">
        <v>1972</v>
      </c>
      <c r="I671" s="37" t="s">
        <v>2077</v>
      </c>
      <c r="J671" s="37" t="s">
        <v>2077</v>
      </c>
      <c r="K671" s="37" t="s">
        <v>88</v>
      </c>
      <c r="L671" s="36">
        <v>3</v>
      </c>
      <c r="M671" s="36">
        <v>3</v>
      </c>
      <c r="N671" s="36">
        <v>3</v>
      </c>
      <c r="O671" s="36">
        <v>3</v>
      </c>
      <c r="P671" s="37" t="s">
        <v>292</v>
      </c>
      <c r="Q671" s="37"/>
      <c r="R671" s="37" t="s">
        <v>2078</v>
      </c>
    </row>
    <row r="672" spans="1:18" ht="27.7" hidden="1" thickBot="1" x14ac:dyDescent="0.55000000000000004">
      <c r="A672" s="36">
        <v>670</v>
      </c>
      <c r="B672" s="37" t="s">
        <v>2074</v>
      </c>
      <c r="C672" s="37" t="s">
        <v>2074</v>
      </c>
      <c r="D672" s="37" t="s">
        <v>1976</v>
      </c>
      <c r="E672" s="37" t="s">
        <v>1064</v>
      </c>
      <c r="F672" s="37" t="s">
        <v>2079</v>
      </c>
      <c r="G672" s="37" t="s">
        <v>2050</v>
      </c>
      <c r="H672" s="37" t="s">
        <v>2050</v>
      </c>
      <c r="I672" s="37" t="s">
        <v>2077</v>
      </c>
      <c r="J672" s="37" t="s">
        <v>88</v>
      </c>
      <c r="K672" s="37" t="s">
        <v>88</v>
      </c>
      <c r="L672" s="36">
        <v>3</v>
      </c>
      <c r="M672" s="36">
        <v>3</v>
      </c>
      <c r="N672" s="36">
        <v>3</v>
      </c>
      <c r="O672" s="36">
        <v>4</v>
      </c>
      <c r="P672" s="37" t="s">
        <v>292</v>
      </c>
      <c r="Q672" s="37"/>
      <c r="R672" s="37" t="s">
        <v>2080</v>
      </c>
    </row>
    <row r="673" spans="1:18" ht="27.7" hidden="1" thickBot="1" x14ac:dyDescent="0.55000000000000004">
      <c r="A673" s="36">
        <v>671</v>
      </c>
      <c r="B673" s="37" t="s">
        <v>2081</v>
      </c>
      <c r="C673" s="37" t="s">
        <v>2074</v>
      </c>
      <c r="D673" s="37" t="s">
        <v>1976</v>
      </c>
      <c r="E673" s="37" t="s">
        <v>1064</v>
      </c>
      <c r="F673" s="37" t="s">
        <v>2079</v>
      </c>
      <c r="G673" s="37" t="s">
        <v>2079</v>
      </c>
      <c r="H673" s="37" t="s">
        <v>2079</v>
      </c>
      <c r="I673" s="37" t="s">
        <v>2077</v>
      </c>
      <c r="J673" s="37" t="s">
        <v>2077</v>
      </c>
      <c r="K673" s="37" t="s">
        <v>2077</v>
      </c>
      <c r="L673" s="36">
        <v>3</v>
      </c>
      <c r="M673" s="36">
        <v>3</v>
      </c>
      <c r="N673" s="36">
        <v>3</v>
      </c>
      <c r="O673" s="36">
        <v>3</v>
      </c>
      <c r="P673" s="37" t="s">
        <v>292</v>
      </c>
      <c r="Q673" s="37" t="s">
        <v>2082</v>
      </c>
      <c r="R673" s="37" t="s">
        <v>2083</v>
      </c>
    </row>
    <row r="674" spans="1:18" ht="27.7" hidden="1" thickBot="1" x14ac:dyDescent="0.55000000000000004">
      <c r="A674" s="36">
        <v>672</v>
      </c>
      <c r="B674" s="37" t="s">
        <v>2084</v>
      </c>
      <c r="C674" s="37" t="s">
        <v>2085</v>
      </c>
      <c r="D674" s="37" t="s">
        <v>2085</v>
      </c>
      <c r="E674" s="37" t="s">
        <v>1163</v>
      </c>
      <c r="F674" s="37" t="s">
        <v>2079</v>
      </c>
      <c r="G674" s="37" t="s">
        <v>2079</v>
      </c>
      <c r="H674" s="37" t="s">
        <v>2079</v>
      </c>
      <c r="I674" s="37" t="s">
        <v>2077</v>
      </c>
      <c r="J674" s="37" t="s">
        <v>2077</v>
      </c>
      <c r="K674" s="37" t="s">
        <v>2077</v>
      </c>
      <c r="L674" s="36">
        <v>3</v>
      </c>
      <c r="M674" s="36">
        <v>3</v>
      </c>
      <c r="N674" s="36">
        <v>3</v>
      </c>
      <c r="O674" s="36">
        <v>3</v>
      </c>
      <c r="P674" s="37" t="s">
        <v>292</v>
      </c>
      <c r="Q674" s="37" t="s">
        <v>2086</v>
      </c>
      <c r="R674" s="37" t="s">
        <v>2087</v>
      </c>
    </row>
    <row r="675" spans="1:18" ht="27.7" hidden="1" thickBot="1" x14ac:dyDescent="0.55000000000000004">
      <c r="A675" s="36">
        <v>673</v>
      </c>
      <c r="B675" s="37" t="s">
        <v>2088</v>
      </c>
      <c r="C675" s="37" t="s">
        <v>2089</v>
      </c>
      <c r="D675" s="37" t="s">
        <v>1910</v>
      </c>
      <c r="E675" s="37" t="s">
        <v>1163</v>
      </c>
      <c r="F675" s="37" t="s">
        <v>2079</v>
      </c>
      <c r="G675" s="37" t="s">
        <v>2079</v>
      </c>
      <c r="H675" s="37" t="s">
        <v>1972</v>
      </c>
      <c r="I675" s="37" t="s">
        <v>2077</v>
      </c>
      <c r="J675" s="37" t="s">
        <v>2077</v>
      </c>
      <c r="K675" s="37" t="s">
        <v>88</v>
      </c>
      <c r="L675" s="36">
        <v>3</v>
      </c>
      <c r="M675" s="36">
        <v>3</v>
      </c>
      <c r="N675" s="36">
        <v>3</v>
      </c>
      <c r="O675" s="36">
        <v>4</v>
      </c>
      <c r="P675" s="37" t="s">
        <v>292</v>
      </c>
      <c r="Q675" s="37" t="s">
        <v>2090</v>
      </c>
      <c r="R675" s="37" t="s">
        <v>2091</v>
      </c>
    </row>
    <row r="676" spans="1:18" ht="27.7" hidden="1" thickBot="1" x14ac:dyDescent="0.55000000000000004">
      <c r="A676" s="36">
        <v>674</v>
      </c>
      <c r="B676" s="37" t="s">
        <v>2092</v>
      </c>
      <c r="C676" s="37" t="s">
        <v>2092</v>
      </c>
      <c r="D676" s="37" t="s">
        <v>1910</v>
      </c>
      <c r="E676" s="37" t="s">
        <v>1163</v>
      </c>
      <c r="F676" s="37" t="s">
        <v>2079</v>
      </c>
      <c r="G676" s="37" t="s">
        <v>2079</v>
      </c>
      <c r="H676" s="37" t="s">
        <v>2079</v>
      </c>
      <c r="I676" s="37" t="s">
        <v>2077</v>
      </c>
      <c r="J676" s="37" t="s">
        <v>2077</v>
      </c>
      <c r="K676" s="37" t="s">
        <v>2077</v>
      </c>
      <c r="L676" s="36">
        <v>3</v>
      </c>
      <c r="M676" s="36">
        <v>3</v>
      </c>
      <c r="N676" s="36">
        <v>3</v>
      </c>
      <c r="O676" s="36">
        <v>4</v>
      </c>
      <c r="P676" s="37" t="s">
        <v>292</v>
      </c>
      <c r="Q676" s="37"/>
      <c r="R676" s="37" t="s">
        <v>2093</v>
      </c>
    </row>
    <row r="677" spans="1:18" ht="27.7" hidden="1" thickBot="1" x14ac:dyDescent="0.55000000000000004">
      <c r="A677" s="36">
        <v>675</v>
      </c>
      <c r="B677" s="37" t="s">
        <v>2094</v>
      </c>
      <c r="C677" s="37" t="s">
        <v>2092</v>
      </c>
      <c r="D677" s="37" t="s">
        <v>1910</v>
      </c>
      <c r="E677" s="37" t="s">
        <v>1163</v>
      </c>
      <c r="F677" s="37" t="s">
        <v>1917</v>
      </c>
      <c r="G677" s="37" t="s">
        <v>1917</v>
      </c>
      <c r="H677" s="37" t="s">
        <v>1917</v>
      </c>
      <c r="I677" s="37" t="s">
        <v>1465</v>
      </c>
      <c r="J677" s="37" t="s">
        <v>88</v>
      </c>
      <c r="K677" s="37" t="s">
        <v>88</v>
      </c>
      <c r="L677" s="36">
        <v>1</v>
      </c>
      <c r="M677" s="36">
        <v>3</v>
      </c>
      <c r="N677" s="36">
        <v>3</v>
      </c>
      <c r="O677" s="36">
        <v>4</v>
      </c>
      <c r="P677" s="37" t="s">
        <v>292</v>
      </c>
      <c r="Q677" s="37"/>
      <c r="R677" s="37" t="s">
        <v>2095</v>
      </c>
    </row>
    <row r="678" spans="1:18" ht="27.7" hidden="1" thickBot="1" x14ac:dyDescent="0.55000000000000004">
      <c r="A678" s="36">
        <v>676</v>
      </c>
      <c r="B678" s="37" t="s">
        <v>2089</v>
      </c>
      <c r="C678" s="37" t="s">
        <v>2089</v>
      </c>
      <c r="D678" s="37" t="s">
        <v>1910</v>
      </c>
      <c r="E678" s="37" t="s">
        <v>1163</v>
      </c>
      <c r="F678" s="37" t="s">
        <v>1911</v>
      </c>
      <c r="G678" s="37" t="s">
        <v>1911</v>
      </c>
      <c r="H678" s="37" t="s">
        <v>1911</v>
      </c>
      <c r="I678" s="37" t="s">
        <v>1165</v>
      </c>
      <c r="J678" s="37" t="s">
        <v>1165</v>
      </c>
      <c r="K678" s="37" t="s">
        <v>1165</v>
      </c>
      <c r="L678" s="36">
        <v>3</v>
      </c>
      <c r="M678" s="36">
        <v>3</v>
      </c>
      <c r="N678" s="36">
        <v>3</v>
      </c>
      <c r="O678" s="36">
        <v>4</v>
      </c>
      <c r="P678" s="37" t="s">
        <v>292</v>
      </c>
      <c r="Q678" s="37"/>
      <c r="R678" s="37" t="s">
        <v>2096</v>
      </c>
    </row>
    <row r="679" spans="1:18" ht="41.35" hidden="1" thickBot="1" x14ac:dyDescent="0.55000000000000004">
      <c r="A679" s="36">
        <v>677</v>
      </c>
      <c r="B679" s="37" t="s">
        <v>2097</v>
      </c>
      <c r="C679" s="37" t="s">
        <v>2098</v>
      </c>
      <c r="D679" s="37" t="s">
        <v>1910</v>
      </c>
      <c r="E679" s="37" t="s">
        <v>1163</v>
      </c>
      <c r="F679" s="37" t="s">
        <v>1911</v>
      </c>
      <c r="G679" s="37" t="s">
        <v>1911</v>
      </c>
      <c r="H679" s="37" t="s">
        <v>1911</v>
      </c>
      <c r="I679" s="37" t="s">
        <v>1165</v>
      </c>
      <c r="J679" s="37" t="s">
        <v>1165</v>
      </c>
      <c r="K679" s="37" t="s">
        <v>1165</v>
      </c>
      <c r="L679" s="36">
        <v>3</v>
      </c>
      <c r="M679" s="36">
        <v>3</v>
      </c>
      <c r="N679" s="36">
        <v>3</v>
      </c>
      <c r="O679" s="36">
        <v>4</v>
      </c>
      <c r="P679" s="37" t="s">
        <v>265</v>
      </c>
      <c r="Q679" s="37" t="s">
        <v>2099</v>
      </c>
      <c r="R679" s="37" t="s">
        <v>2100</v>
      </c>
    </row>
    <row r="680" spans="1:18" ht="27.7" hidden="1" thickBot="1" x14ac:dyDescent="0.55000000000000004">
      <c r="A680" s="36">
        <v>678</v>
      </c>
      <c r="B680" s="37" t="s">
        <v>2101</v>
      </c>
      <c r="C680" s="37" t="s">
        <v>2102</v>
      </c>
      <c r="D680" s="37" t="s">
        <v>2102</v>
      </c>
      <c r="E680" s="37" t="s">
        <v>1163</v>
      </c>
      <c r="F680" s="37" t="s">
        <v>1164</v>
      </c>
      <c r="G680" s="37" t="s">
        <v>1164</v>
      </c>
      <c r="H680" s="37" t="s">
        <v>1164</v>
      </c>
      <c r="I680" s="37" t="s">
        <v>1165</v>
      </c>
      <c r="J680" s="37" t="s">
        <v>1165</v>
      </c>
      <c r="K680" s="37" t="s">
        <v>1165</v>
      </c>
      <c r="L680" s="36">
        <v>3</v>
      </c>
      <c r="M680" s="36">
        <v>3</v>
      </c>
      <c r="N680" s="36">
        <v>3</v>
      </c>
      <c r="O680" s="36">
        <v>5</v>
      </c>
      <c r="P680" s="37" t="s">
        <v>265</v>
      </c>
      <c r="Q680" s="37"/>
      <c r="R680" s="37" t="s">
        <v>2103</v>
      </c>
    </row>
    <row r="681" spans="1:18" ht="27.7" hidden="1" thickBot="1" x14ac:dyDescent="0.55000000000000004">
      <c r="A681" s="36">
        <v>679</v>
      </c>
      <c r="B681" s="37" t="s">
        <v>2104</v>
      </c>
      <c r="C681" s="37" t="s">
        <v>1914</v>
      </c>
      <c r="D681" s="37" t="s">
        <v>1910</v>
      </c>
      <c r="E681" s="37" t="s">
        <v>1163</v>
      </c>
      <c r="F681" s="37" t="s">
        <v>1911</v>
      </c>
      <c r="G681" s="37" t="s">
        <v>1911</v>
      </c>
      <c r="H681" s="37" t="s">
        <v>1911</v>
      </c>
      <c r="I681" s="37" t="s">
        <v>1165</v>
      </c>
      <c r="J681" s="37" t="s">
        <v>1165</v>
      </c>
      <c r="K681" s="37" t="s">
        <v>1165</v>
      </c>
      <c r="L681" s="36">
        <v>3</v>
      </c>
      <c r="M681" s="36">
        <v>3</v>
      </c>
      <c r="N681" s="36">
        <v>3</v>
      </c>
      <c r="O681" s="36">
        <v>6</v>
      </c>
      <c r="P681" s="37" t="s">
        <v>292</v>
      </c>
      <c r="Q681" s="37"/>
      <c r="R681" s="37" t="s">
        <v>2105</v>
      </c>
    </row>
    <row r="682" spans="1:18" ht="27.7" hidden="1" thickBot="1" x14ac:dyDescent="0.55000000000000004">
      <c r="A682" s="36">
        <v>680</v>
      </c>
      <c r="B682" s="37" t="s">
        <v>2098</v>
      </c>
      <c r="C682" s="37" t="s">
        <v>2098</v>
      </c>
      <c r="D682" s="37" t="s">
        <v>1910</v>
      </c>
      <c r="E682" s="37" t="s">
        <v>1163</v>
      </c>
      <c r="F682" s="37" t="s">
        <v>1911</v>
      </c>
      <c r="G682" s="37" t="s">
        <v>1911</v>
      </c>
      <c r="H682" s="37" t="s">
        <v>1911</v>
      </c>
      <c r="I682" s="37" t="s">
        <v>1165</v>
      </c>
      <c r="J682" s="37" t="s">
        <v>1165</v>
      </c>
      <c r="K682" s="37" t="s">
        <v>1165</v>
      </c>
      <c r="L682" s="36">
        <v>3</v>
      </c>
      <c r="M682" s="36">
        <v>3</v>
      </c>
      <c r="N682" s="36">
        <v>3</v>
      </c>
      <c r="O682" s="36">
        <v>4</v>
      </c>
      <c r="P682" s="37" t="s">
        <v>292</v>
      </c>
      <c r="Q682" s="37" t="s">
        <v>2106</v>
      </c>
      <c r="R682" s="37" t="s">
        <v>2107</v>
      </c>
    </row>
    <row r="683" spans="1:18" ht="27.7" hidden="1" thickBot="1" x14ac:dyDescent="0.55000000000000004">
      <c r="A683" s="36">
        <v>681</v>
      </c>
      <c r="B683" s="37" t="s">
        <v>2108</v>
      </c>
      <c r="C683" s="37" t="s">
        <v>2085</v>
      </c>
      <c r="D683" s="37" t="s">
        <v>2085</v>
      </c>
      <c r="E683" s="37" t="s">
        <v>1163</v>
      </c>
      <c r="F683" s="37" t="s">
        <v>2079</v>
      </c>
      <c r="G683" s="37" t="s">
        <v>2079</v>
      </c>
      <c r="H683" s="37" t="s">
        <v>2079</v>
      </c>
      <c r="I683" s="37" t="s">
        <v>2077</v>
      </c>
      <c r="J683" s="37" t="s">
        <v>2077</v>
      </c>
      <c r="K683" s="37" t="s">
        <v>2077</v>
      </c>
      <c r="L683" s="36">
        <v>3</v>
      </c>
      <c r="M683" s="36">
        <v>3</v>
      </c>
      <c r="N683" s="36">
        <v>3</v>
      </c>
      <c r="O683" s="36">
        <v>4</v>
      </c>
      <c r="P683" s="37" t="s">
        <v>292</v>
      </c>
      <c r="Q683" s="37" t="s">
        <v>2109</v>
      </c>
      <c r="R683" s="37" t="s">
        <v>2110</v>
      </c>
    </row>
    <row r="684" spans="1:18" ht="27.7" hidden="1" thickBot="1" x14ac:dyDescent="0.55000000000000004">
      <c r="A684" s="36">
        <v>682</v>
      </c>
      <c r="B684" s="37" t="s">
        <v>2111</v>
      </c>
      <c r="C684" s="37" t="s">
        <v>2085</v>
      </c>
      <c r="D684" s="37" t="s">
        <v>2085</v>
      </c>
      <c r="E684" s="37" t="s">
        <v>1163</v>
      </c>
      <c r="F684" s="37" t="s">
        <v>2079</v>
      </c>
      <c r="G684" s="37" t="s">
        <v>2079</v>
      </c>
      <c r="H684" s="37" t="s">
        <v>2079</v>
      </c>
      <c r="I684" s="37" t="s">
        <v>2077</v>
      </c>
      <c r="J684" s="37" t="s">
        <v>2077</v>
      </c>
      <c r="K684" s="37" t="s">
        <v>2077</v>
      </c>
      <c r="L684" s="36">
        <v>3</v>
      </c>
      <c r="M684" s="36">
        <v>3</v>
      </c>
      <c r="N684" s="36">
        <v>3</v>
      </c>
      <c r="O684" s="36">
        <v>4</v>
      </c>
      <c r="P684" s="37" t="s">
        <v>292</v>
      </c>
      <c r="Q684" s="37" t="s">
        <v>2112</v>
      </c>
      <c r="R684" s="37" t="s">
        <v>2113</v>
      </c>
    </row>
    <row r="685" spans="1:18" ht="27.7" hidden="1" thickBot="1" x14ac:dyDescent="0.55000000000000004">
      <c r="A685" s="36">
        <v>683</v>
      </c>
      <c r="B685" s="37" t="s">
        <v>2114</v>
      </c>
      <c r="C685" s="37" t="s">
        <v>2115</v>
      </c>
      <c r="D685" s="37" t="s">
        <v>2116</v>
      </c>
      <c r="E685" s="37" t="s">
        <v>1064</v>
      </c>
      <c r="F685" s="37" t="s">
        <v>2050</v>
      </c>
      <c r="G685" s="37" t="s">
        <v>2050</v>
      </c>
      <c r="H685" s="37" t="s">
        <v>2050</v>
      </c>
      <c r="I685" s="37" t="s">
        <v>2077</v>
      </c>
      <c r="J685" s="37" t="s">
        <v>2077</v>
      </c>
      <c r="K685" s="37" t="s">
        <v>2077</v>
      </c>
      <c r="L685" s="36">
        <v>3</v>
      </c>
      <c r="M685" s="36">
        <v>3</v>
      </c>
      <c r="N685" s="36">
        <v>3</v>
      </c>
      <c r="O685" s="36">
        <v>4</v>
      </c>
      <c r="P685" s="37" t="s">
        <v>292</v>
      </c>
      <c r="Q685" s="37"/>
      <c r="R685" s="37" t="s">
        <v>2117</v>
      </c>
    </row>
    <row r="686" spans="1:18" ht="27.7" hidden="1" thickBot="1" x14ac:dyDescent="0.55000000000000004">
      <c r="A686" s="36">
        <v>684</v>
      </c>
      <c r="B686" s="37" t="s">
        <v>2118</v>
      </c>
      <c r="C686" s="37" t="s">
        <v>2119</v>
      </c>
      <c r="D686" s="37" t="s">
        <v>2116</v>
      </c>
      <c r="E686" s="37" t="s">
        <v>1064</v>
      </c>
      <c r="F686" s="37" t="s">
        <v>2050</v>
      </c>
      <c r="G686" s="37" t="s">
        <v>2050</v>
      </c>
      <c r="H686" s="37" t="s">
        <v>2050</v>
      </c>
      <c r="I686" s="37" t="s">
        <v>2077</v>
      </c>
      <c r="J686" s="37" t="s">
        <v>2077</v>
      </c>
      <c r="K686" s="37" t="s">
        <v>2077</v>
      </c>
      <c r="L686" s="36">
        <v>3</v>
      </c>
      <c r="M686" s="36">
        <v>3</v>
      </c>
      <c r="N686" s="36">
        <v>3</v>
      </c>
      <c r="O686" s="36">
        <v>4</v>
      </c>
      <c r="P686" s="37" t="s">
        <v>292</v>
      </c>
      <c r="Q686" s="37"/>
      <c r="R686" s="37" t="s">
        <v>2120</v>
      </c>
    </row>
    <row r="687" spans="1:18" ht="27.7" hidden="1" thickBot="1" x14ac:dyDescent="0.55000000000000004">
      <c r="A687" s="36">
        <v>685</v>
      </c>
      <c r="B687" s="37" t="s">
        <v>2121</v>
      </c>
      <c r="C687" s="37" t="s">
        <v>2119</v>
      </c>
      <c r="D687" s="37" t="s">
        <v>2116</v>
      </c>
      <c r="E687" s="37" t="s">
        <v>1064</v>
      </c>
      <c r="F687" s="37" t="s">
        <v>2050</v>
      </c>
      <c r="G687" s="37" t="s">
        <v>2050</v>
      </c>
      <c r="H687" s="37" t="s">
        <v>2050</v>
      </c>
      <c r="I687" s="37" t="s">
        <v>1964</v>
      </c>
      <c r="J687" s="37" t="s">
        <v>1964</v>
      </c>
      <c r="K687" s="37" t="s">
        <v>88</v>
      </c>
      <c r="L687" s="36">
        <v>4</v>
      </c>
      <c r="M687" s="36">
        <v>4</v>
      </c>
      <c r="N687" s="36">
        <v>4</v>
      </c>
      <c r="O687" s="36">
        <v>6</v>
      </c>
      <c r="P687" s="37" t="s">
        <v>292</v>
      </c>
      <c r="Q687" s="37"/>
      <c r="R687" s="37" t="s">
        <v>2122</v>
      </c>
    </row>
    <row r="688" spans="1:18" ht="27.7" hidden="1" thickBot="1" x14ac:dyDescent="0.55000000000000004">
      <c r="A688" s="36">
        <v>686</v>
      </c>
      <c r="B688" s="37" t="s">
        <v>2123</v>
      </c>
      <c r="C688" s="37" t="s">
        <v>2123</v>
      </c>
      <c r="D688" s="37" t="s">
        <v>1998</v>
      </c>
      <c r="E688" s="37" t="s">
        <v>1064</v>
      </c>
      <c r="F688" s="37" t="s">
        <v>2050</v>
      </c>
      <c r="G688" s="37" t="s">
        <v>2050</v>
      </c>
      <c r="H688" s="37" t="s">
        <v>2050</v>
      </c>
      <c r="I688" s="37" t="s">
        <v>2031</v>
      </c>
      <c r="J688" s="37" t="s">
        <v>2031</v>
      </c>
      <c r="K688" s="37" t="s">
        <v>88</v>
      </c>
      <c r="L688" s="36">
        <v>4</v>
      </c>
      <c r="M688" s="36">
        <v>4</v>
      </c>
      <c r="N688" s="36">
        <v>4</v>
      </c>
      <c r="O688" s="36">
        <v>5</v>
      </c>
      <c r="P688" s="37" t="s">
        <v>292</v>
      </c>
      <c r="Q688" s="37"/>
      <c r="R688" s="37" t="s">
        <v>2124</v>
      </c>
    </row>
    <row r="689" spans="1:18" ht="27.7" hidden="1" thickBot="1" x14ac:dyDescent="0.55000000000000004">
      <c r="A689" s="36">
        <v>687</v>
      </c>
      <c r="B689" s="37" t="s">
        <v>2125</v>
      </c>
      <c r="C689" s="37" t="s">
        <v>2126</v>
      </c>
      <c r="D689" s="37" t="s">
        <v>2029</v>
      </c>
      <c r="E689" s="37" t="s">
        <v>1064</v>
      </c>
      <c r="F689" s="37" t="s">
        <v>2050</v>
      </c>
      <c r="G689" s="37" t="s">
        <v>2050</v>
      </c>
      <c r="H689" s="37" t="s">
        <v>2050</v>
      </c>
      <c r="I689" s="37" t="s">
        <v>2031</v>
      </c>
      <c r="J689" s="37" t="s">
        <v>2031</v>
      </c>
      <c r="K689" s="37" t="s">
        <v>88</v>
      </c>
      <c r="L689" s="36">
        <v>4</v>
      </c>
      <c r="M689" s="36">
        <v>4</v>
      </c>
      <c r="N689" s="36">
        <v>4</v>
      </c>
      <c r="O689" s="36">
        <v>5</v>
      </c>
      <c r="P689" s="37" t="s">
        <v>292</v>
      </c>
      <c r="Q689" s="37"/>
      <c r="R689" s="37" t="s">
        <v>2127</v>
      </c>
    </row>
    <row r="690" spans="1:18" ht="27.7" hidden="1" thickBot="1" x14ac:dyDescent="0.55000000000000004">
      <c r="A690" s="36">
        <v>688</v>
      </c>
      <c r="B690" s="37" t="s">
        <v>2128</v>
      </c>
      <c r="C690" s="37" t="s">
        <v>2129</v>
      </c>
      <c r="D690" s="37" t="s">
        <v>2029</v>
      </c>
      <c r="E690" s="37" t="s">
        <v>1064</v>
      </c>
      <c r="F690" s="37" t="s">
        <v>2050</v>
      </c>
      <c r="G690" s="37" t="s">
        <v>2050</v>
      </c>
      <c r="H690" s="37" t="s">
        <v>2050</v>
      </c>
      <c r="I690" s="37" t="s">
        <v>2031</v>
      </c>
      <c r="J690" s="37" t="s">
        <v>2031</v>
      </c>
      <c r="K690" s="37" t="s">
        <v>88</v>
      </c>
      <c r="L690" s="36">
        <v>4</v>
      </c>
      <c r="M690" s="36">
        <v>4</v>
      </c>
      <c r="N690" s="36">
        <v>5</v>
      </c>
      <c r="O690" s="36">
        <v>6</v>
      </c>
      <c r="P690" s="37" t="s">
        <v>292</v>
      </c>
      <c r="Q690" s="37"/>
      <c r="R690" s="37" t="s">
        <v>2130</v>
      </c>
    </row>
    <row r="691" spans="1:18" ht="27.7" hidden="1" thickBot="1" x14ac:dyDescent="0.55000000000000004">
      <c r="A691" s="36">
        <v>689</v>
      </c>
      <c r="B691" s="37" t="s">
        <v>2131</v>
      </c>
      <c r="C691" s="37" t="s">
        <v>2129</v>
      </c>
      <c r="D691" s="37" t="s">
        <v>2029</v>
      </c>
      <c r="E691" s="37" t="s">
        <v>1064</v>
      </c>
      <c r="F691" s="37" t="s">
        <v>2050</v>
      </c>
      <c r="G691" s="37" t="s">
        <v>2050</v>
      </c>
      <c r="H691" s="37" t="s">
        <v>2050</v>
      </c>
      <c r="I691" s="37" t="s">
        <v>2031</v>
      </c>
      <c r="J691" s="37" t="s">
        <v>2031</v>
      </c>
      <c r="K691" s="37" t="s">
        <v>88</v>
      </c>
      <c r="L691" s="36">
        <v>5</v>
      </c>
      <c r="M691" s="36">
        <v>5</v>
      </c>
      <c r="N691" s="36">
        <v>5</v>
      </c>
      <c r="O691" s="36">
        <v>6</v>
      </c>
      <c r="P691" s="37" t="s">
        <v>292</v>
      </c>
      <c r="Q691" s="37"/>
      <c r="R691" s="37" t="s">
        <v>2132</v>
      </c>
    </row>
    <row r="692" spans="1:18" ht="27.7" hidden="1" thickBot="1" x14ac:dyDescent="0.55000000000000004">
      <c r="A692" s="36">
        <v>690</v>
      </c>
      <c r="B692" s="37" t="s">
        <v>2133</v>
      </c>
      <c r="C692" s="37" t="s">
        <v>2129</v>
      </c>
      <c r="D692" s="37" t="s">
        <v>2029</v>
      </c>
      <c r="E692" s="37" t="s">
        <v>1064</v>
      </c>
      <c r="F692" s="37" t="s">
        <v>2134</v>
      </c>
      <c r="G692" s="37" t="s">
        <v>2134</v>
      </c>
      <c r="H692" s="37" t="s">
        <v>2134</v>
      </c>
      <c r="I692" s="37" t="s">
        <v>88</v>
      </c>
      <c r="J692" s="37" t="s">
        <v>88</v>
      </c>
      <c r="K692" s="37" t="s">
        <v>88</v>
      </c>
      <c r="L692" s="36">
        <v>5</v>
      </c>
      <c r="M692" s="36">
        <v>5</v>
      </c>
      <c r="N692" s="36">
        <v>5</v>
      </c>
      <c r="O692" s="36">
        <v>5</v>
      </c>
      <c r="P692" s="37" t="s">
        <v>292</v>
      </c>
      <c r="Q692" s="37"/>
      <c r="R692" s="37" t="s">
        <v>2135</v>
      </c>
    </row>
    <row r="693" spans="1:18" ht="27.7" hidden="1" thickBot="1" x14ac:dyDescent="0.55000000000000004">
      <c r="A693" s="36">
        <v>691</v>
      </c>
      <c r="B693" s="37" t="s">
        <v>2136</v>
      </c>
      <c r="C693" s="37" t="s">
        <v>2012</v>
      </c>
      <c r="D693" s="37" t="s">
        <v>1998</v>
      </c>
      <c r="E693" s="37" t="s">
        <v>1064</v>
      </c>
      <c r="F693" s="37" t="s">
        <v>1972</v>
      </c>
      <c r="G693" s="37" t="s">
        <v>1972</v>
      </c>
      <c r="H693" s="37" t="s">
        <v>1972</v>
      </c>
      <c r="I693" s="37" t="s">
        <v>1964</v>
      </c>
      <c r="J693" s="37" t="s">
        <v>88</v>
      </c>
      <c r="K693" s="37" t="s">
        <v>88</v>
      </c>
      <c r="L693" s="36">
        <v>2</v>
      </c>
      <c r="M693" s="36">
        <v>2</v>
      </c>
      <c r="N693" s="36">
        <v>2</v>
      </c>
      <c r="O693" s="36">
        <v>4</v>
      </c>
      <c r="P693" s="37" t="s">
        <v>292</v>
      </c>
      <c r="Q693" s="37"/>
      <c r="R693" s="37" t="s">
        <v>2137</v>
      </c>
    </row>
    <row r="694" spans="1:18" ht="27.7" hidden="1" thickBot="1" x14ac:dyDescent="0.55000000000000004">
      <c r="A694" s="36">
        <v>692</v>
      </c>
      <c r="B694" s="37" t="s">
        <v>2138</v>
      </c>
      <c r="C694" s="37" t="s">
        <v>2129</v>
      </c>
      <c r="D694" s="37" t="s">
        <v>2029</v>
      </c>
      <c r="E694" s="37" t="s">
        <v>1064</v>
      </c>
      <c r="F694" s="37" t="s">
        <v>2134</v>
      </c>
      <c r="G694" s="37" t="s">
        <v>2134</v>
      </c>
      <c r="H694" s="37" t="s">
        <v>2134</v>
      </c>
      <c r="I694" s="37" t="s">
        <v>2031</v>
      </c>
      <c r="J694" s="37" t="s">
        <v>2032</v>
      </c>
      <c r="K694" s="37" t="s">
        <v>2032</v>
      </c>
      <c r="L694" s="36">
        <v>3</v>
      </c>
      <c r="M694" s="36">
        <v>3</v>
      </c>
      <c r="N694" s="36">
        <v>3</v>
      </c>
      <c r="O694" s="36">
        <v>4</v>
      </c>
      <c r="P694" s="37" t="s">
        <v>292</v>
      </c>
      <c r="Q694" s="37"/>
      <c r="R694" s="37" t="s">
        <v>2139</v>
      </c>
    </row>
    <row r="695" spans="1:18" ht="27.7" hidden="1" thickBot="1" x14ac:dyDescent="0.55000000000000004">
      <c r="A695" s="36">
        <v>693</v>
      </c>
      <c r="B695" s="37" t="s">
        <v>2129</v>
      </c>
      <c r="C695" s="37" t="s">
        <v>2129</v>
      </c>
      <c r="D695" s="37" t="s">
        <v>2029</v>
      </c>
      <c r="E695" s="37" t="s">
        <v>1064</v>
      </c>
      <c r="F695" s="37" t="s">
        <v>2134</v>
      </c>
      <c r="G695" s="37" t="s">
        <v>2134</v>
      </c>
      <c r="H695" s="37" t="s">
        <v>2134</v>
      </c>
      <c r="I695" s="37" t="s">
        <v>88</v>
      </c>
      <c r="J695" s="37" t="s">
        <v>88</v>
      </c>
      <c r="K695" s="37" t="s">
        <v>88</v>
      </c>
      <c r="L695" s="36">
        <v>5</v>
      </c>
      <c r="M695" s="36">
        <v>5</v>
      </c>
      <c r="N695" s="36">
        <v>6</v>
      </c>
      <c r="O695" s="36">
        <v>7</v>
      </c>
      <c r="P695" s="37" t="s">
        <v>292</v>
      </c>
      <c r="Q695" s="37"/>
      <c r="R695" s="37" t="s">
        <v>2140</v>
      </c>
    </row>
    <row r="696" spans="1:18" ht="27.7" hidden="1" thickBot="1" x14ac:dyDescent="0.55000000000000004">
      <c r="A696" s="36">
        <v>694</v>
      </c>
      <c r="B696" s="37" t="s">
        <v>2141</v>
      </c>
      <c r="C696" s="37" t="s">
        <v>2129</v>
      </c>
      <c r="D696" s="37" t="s">
        <v>2029</v>
      </c>
      <c r="E696" s="37" t="s">
        <v>1064</v>
      </c>
      <c r="F696" s="37" t="s">
        <v>2134</v>
      </c>
      <c r="G696" s="37" t="s">
        <v>2134</v>
      </c>
      <c r="H696" s="37" t="s">
        <v>2134</v>
      </c>
      <c r="I696" s="37" t="s">
        <v>2031</v>
      </c>
      <c r="J696" s="37" t="s">
        <v>2031</v>
      </c>
      <c r="K696" s="37" t="s">
        <v>88</v>
      </c>
      <c r="L696" s="36">
        <v>3</v>
      </c>
      <c r="M696" s="36">
        <v>3</v>
      </c>
      <c r="N696" s="36">
        <v>3</v>
      </c>
      <c r="O696" s="36">
        <v>4</v>
      </c>
      <c r="P696" s="37" t="s">
        <v>292</v>
      </c>
      <c r="Q696" s="37"/>
      <c r="R696" s="37" t="s">
        <v>2142</v>
      </c>
    </row>
    <row r="697" spans="1:18" ht="27.7" hidden="1" thickBot="1" x14ac:dyDescent="0.55000000000000004">
      <c r="A697" s="36">
        <v>695</v>
      </c>
      <c r="B697" s="37" t="s">
        <v>2143</v>
      </c>
      <c r="C697" s="37" t="s">
        <v>2126</v>
      </c>
      <c r="D697" s="37" t="s">
        <v>2029</v>
      </c>
      <c r="E697" s="37" t="s">
        <v>1064</v>
      </c>
      <c r="F697" s="37" t="s">
        <v>2144</v>
      </c>
      <c r="G697" s="37" t="s">
        <v>2144</v>
      </c>
      <c r="H697" s="37" t="s">
        <v>2144</v>
      </c>
      <c r="I697" s="37" t="s">
        <v>2031</v>
      </c>
      <c r="J697" s="37" t="s">
        <v>2031</v>
      </c>
      <c r="K697" s="37" t="s">
        <v>2031</v>
      </c>
      <c r="L697" s="36">
        <v>5</v>
      </c>
      <c r="M697" s="36">
        <v>5</v>
      </c>
      <c r="N697" s="36">
        <v>5</v>
      </c>
      <c r="O697" s="36">
        <v>6</v>
      </c>
      <c r="P697" s="37" t="s">
        <v>292</v>
      </c>
      <c r="Q697" s="37"/>
      <c r="R697" s="37" t="s">
        <v>2145</v>
      </c>
    </row>
    <row r="698" spans="1:18" ht="27.7" hidden="1" thickBot="1" x14ac:dyDescent="0.55000000000000004">
      <c r="A698" s="36">
        <v>696</v>
      </c>
      <c r="B698" s="37" t="s">
        <v>2126</v>
      </c>
      <c r="C698" s="37" t="s">
        <v>2126</v>
      </c>
      <c r="D698" s="37" t="s">
        <v>2029</v>
      </c>
      <c r="E698" s="37" t="s">
        <v>1064</v>
      </c>
      <c r="F698" s="37" t="s">
        <v>2144</v>
      </c>
      <c r="G698" s="37" t="s">
        <v>2144</v>
      </c>
      <c r="H698" s="37" t="s">
        <v>2144</v>
      </c>
      <c r="I698" s="37" t="s">
        <v>2031</v>
      </c>
      <c r="J698" s="37" t="s">
        <v>2031</v>
      </c>
      <c r="K698" s="37" t="s">
        <v>2031</v>
      </c>
      <c r="L698" s="36">
        <v>5</v>
      </c>
      <c r="M698" s="36">
        <v>5</v>
      </c>
      <c r="N698" s="36">
        <v>5</v>
      </c>
      <c r="O698" s="36">
        <v>6</v>
      </c>
      <c r="P698" s="37" t="s">
        <v>292</v>
      </c>
      <c r="Q698" s="37" t="s">
        <v>2146</v>
      </c>
      <c r="R698" s="37" t="s">
        <v>2147</v>
      </c>
    </row>
    <row r="699" spans="1:18" ht="27.7" hidden="1" thickBot="1" x14ac:dyDescent="0.55000000000000004">
      <c r="A699" s="36">
        <v>697</v>
      </c>
      <c r="B699" s="37" t="s">
        <v>2119</v>
      </c>
      <c r="C699" s="37" t="s">
        <v>2119</v>
      </c>
      <c r="D699" s="37" t="s">
        <v>2116</v>
      </c>
      <c r="E699" s="37" t="s">
        <v>1064</v>
      </c>
      <c r="F699" s="37" t="s">
        <v>2144</v>
      </c>
      <c r="G699" s="37" t="s">
        <v>2050</v>
      </c>
      <c r="H699" s="37" t="s">
        <v>2050</v>
      </c>
      <c r="I699" s="37" t="s">
        <v>2031</v>
      </c>
      <c r="J699" s="37" t="s">
        <v>88</v>
      </c>
      <c r="K699" s="37" t="s">
        <v>88</v>
      </c>
      <c r="L699" s="36">
        <v>5</v>
      </c>
      <c r="M699" s="36">
        <v>5</v>
      </c>
      <c r="N699" s="36">
        <v>5</v>
      </c>
      <c r="O699" s="36">
        <v>6</v>
      </c>
      <c r="P699" s="37" t="s">
        <v>292</v>
      </c>
      <c r="Q699" s="37" t="s">
        <v>2148</v>
      </c>
      <c r="R699" s="37" t="s">
        <v>2149</v>
      </c>
    </row>
    <row r="700" spans="1:18" ht="27.7" hidden="1" thickBot="1" x14ac:dyDescent="0.55000000000000004">
      <c r="A700" s="36">
        <v>698</v>
      </c>
      <c r="B700" s="37" t="s">
        <v>2150</v>
      </c>
      <c r="C700" s="37" t="s">
        <v>2151</v>
      </c>
      <c r="D700" s="37" t="s">
        <v>2116</v>
      </c>
      <c r="E700" s="37" t="s">
        <v>1064</v>
      </c>
      <c r="F700" s="37" t="s">
        <v>2134</v>
      </c>
      <c r="G700" s="37" t="s">
        <v>2134</v>
      </c>
      <c r="H700" s="37" t="s">
        <v>2134</v>
      </c>
      <c r="I700" s="37" t="s">
        <v>2031</v>
      </c>
      <c r="J700" s="37" t="s">
        <v>2031</v>
      </c>
      <c r="K700" s="37" t="s">
        <v>88</v>
      </c>
      <c r="L700" s="36">
        <v>3</v>
      </c>
      <c r="M700" s="36">
        <v>3</v>
      </c>
      <c r="N700" s="36">
        <v>3</v>
      </c>
      <c r="O700" s="36">
        <v>3</v>
      </c>
      <c r="P700" s="37" t="s">
        <v>292</v>
      </c>
      <c r="Q700" s="37"/>
      <c r="R700" s="37" t="s">
        <v>2152</v>
      </c>
    </row>
    <row r="701" spans="1:18" ht="27.7" hidden="1" thickBot="1" x14ac:dyDescent="0.55000000000000004">
      <c r="A701" s="36">
        <v>699</v>
      </c>
      <c r="B701" s="37" t="s">
        <v>2153</v>
      </c>
      <c r="C701" s="37" t="s">
        <v>2153</v>
      </c>
      <c r="D701" s="37" t="s">
        <v>2085</v>
      </c>
      <c r="E701" s="37" t="s">
        <v>1163</v>
      </c>
      <c r="F701" s="37" t="s">
        <v>2079</v>
      </c>
      <c r="G701" s="37" t="s">
        <v>2079</v>
      </c>
      <c r="H701" s="37" t="s">
        <v>2079</v>
      </c>
      <c r="I701" s="37" t="s">
        <v>2077</v>
      </c>
      <c r="J701" s="37" t="s">
        <v>2077</v>
      </c>
      <c r="K701" s="37" t="s">
        <v>2077</v>
      </c>
      <c r="L701" s="36">
        <v>3</v>
      </c>
      <c r="M701" s="36">
        <v>3</v>
      </c>
      <c r="N701" s="36">
        <v>3</v>
      </c>
      <c r="O701" s="36">
        <v>5</v>
      </c>
      <c r="P701" s="37" t="s">
        <v>292</v>
      </c>
      <c r="Q701" s="37"/>
      <c r="R701" s="37" t="s">
        <v>2154</v>
      </c>
    </row>
    <row r="702" spans="1:18" ht="27.7" hidden="1" thickBot="1" x14ac:dyDescent="0.55000000000000004">
      <c r="A702" s="36">
        <v>700</v>
      </c>
      <c r="B702" s="37" t="s">
        <v>2155</v>
      </c>
      <c r="C702" s="37" t="s">
        <v>2115</v>
      </c>
      <c r="D702" s="37" t="s">
        <v>2116</v>
      </c>
      <c r="E702" s="37" t="s">
        <v>1064</v>
      </c>
      <c r="F702" s="37" t="s">
        <v>2050</v>
      </c>
      <c r="G702" s="37" t="s">
        <v>2050</v>
      </c>
      <c r="H702" s="37" t="s">
        <v>2050</v>
      </c>
      <c r="I702" s="37" t="s">
        <v>1165</v>
      </c>
      <c r="J702" s="37" t="s">
        <v>1165</v>
      </c>
      <c r="K702" s="37" t="s">
        <v>1165</v>
      </c>
      <c r="L702" s="36">
        <v>3</v>
      </c>
      <c r="M702" s="36">
        <v>3</v>
      </c>
      <c r="N702" s="36">
        <v>3</v>
      </c>
      <c r="O702" s="36">
        <v>4</v>
      </c>
      <c r="P702" s="37" t="s">
        <v>292</v>
      </c>
      <c r="Q702" s="37"/>
      <c r="R702" s="37" t="s">
        <v>2156</v>
      </c>
    </row>
    <row r="703" spans="1:18" ht="27.7" hidden="1" thickBot="1" x14ac:dyDescent="0.55000000000000004">
      <c r="A703" s="36">
        <v>701</v>
      </c>
      <c r="B703" s="37" t="s">
        <v>2157</v>
      </c>
      <c r="C703" s="37" t="s">
        <v>2158</v>
      </c>
      <c r="D703" s="37" t="s">
        <v>2085</v>
      </c>
      <c r="E703" s="37" t="s">
        <v>1163</v>
      </c>
      <c r="F703" s="37" t="s">
        <v>2079</v>
      </c>
      <c r="G703" s="37" t="s">
        <v>2079</v>
      </c>
      <c r="H703" s="37" t="s">
        <v>2079</v>
      </c>
      <c r="I703" s="37" t="s">
        <v>2077</v>
      </c>
      <c r="J703" s="37" t="s">
        <v>2077</v>
      </c>
      <c r="K703" s="37" t="s">
        <v>2077</v>
      </c>
      <c r="L703" s="36">
        <v>3</v>
      </c>
      <c r="M703" s="36">
        <v>3</v>
      </c>
      <c r="N703" s="36">
        <v>3</v>
      </c>
      <c r="O703" s="36">
        <v>4</v>
      </c>
      <c r="P703" s="37" t="s">
        <v>292</v>
      </c>
      <c r="Q703" s="37"/>
      <c r="R703" s="37" t="s">
        <v>2159</v>
      </c>
    </row>
    <row r="704" spans="1:18" ht="27.7" hidden="1" thickBot="1" x14ac:dyDescent="0.55000000000000004">
      <c r="A704" s="36">
        <v>702</v>
      </c>
      <c r="B704" s="37" t="s">
        <v>2160</v>
      </c>
      <c r="C704" s="37" t="s">
        <v>2158</v>
      </c>
      <c r="D704" s="37" t="s">
        <v>2085</v>
      </c>
      <c r="E704" s="37" t="s">
        <v>1163</v>
      </c>
      <c r="F704" s="37" t="s">
        <v>2079</v>
      </c>
      <c r="G704" s="37" t="s">
        <v>2079</v>
      </c>
      <c r="H704" s="37" t="s">
        <v>2079</v>
      </c>
      <c r="I704" s="37" t="s">
        <v>2077</v>
      </c>
      <c r="J704" s="37" t="s">
        <v>2077</v>
      </c>
      <c r="K704" s="37" t="s">
        <v>2077</v>
      </c>
      <c r="L704" s="36">
        <v>3</v>
      </c>
      <c r="M704" s="36">
        <v>3</v>
      </c>
      <c r="N704" s="36">
        <v>3</v>
      </c>
      <c r="O704" s="36">
        <v>4</v>
      </c>
      <c r="P704" s="37" t="s">
        <v>292</v>
      </c>
      <c r="Q704" s="37"/>
      <c r="R704" s="37" t="s">
        <v>2161</v>
      </c>
    </row>
    <row r="705" spans="1:18" ht="27.7" hidden="1" thickBot="1" x14ac:dyDescent="0.55000000000000004">
      <c r="A705" s="36">
        <v>703</v>
      </c>
      <c r="B705" s="37" t="s">
        <v>2162</v>
      </c>
      <c r="C705" s="37" t="s">
        <v>2158</v>
      </c>
      <c r="D705" s="37" t="s">
        <v>2085</v>
      </c>
      <c r="E705" s="37" t="s">
        <v>1163</v>
      </c>
      <c r="F705" s="37" t="s">
        <v>2079</v>
      </c>
      <c r="G705" s="37" t="s">
        <v>2079</v>
      </c>
      <c r="H705" s="37" t="s">
        <v>2079</v>
      </c>
      <c r="I705" s="37" t="s">
        <v>1643</v>
      </c>
      <c r="J705" s="37" t="s">
        <v>1643</v>
      </c>
      <c r="K705" s="37" t="s">
        <v>1643</v>
      </c>
      <c r="L705" s="36">
        <v>3</v>
      </c>
      <c r="M705" s="36">
        <v>3</v>
      </c>
      <c r="N705" s="36">
        <v>3</v>
      </c>
      <c r="O705" s="36">
        <v>4</v>
      </c>
      <c r="P705" s="37" t="s">
        <v>292</v>
      </c>
      <c r="Q705" s="37" t="s">
        <v>2163</v>
      </c>
      <c r="R705" s="37" t="s">
        <v>2164</v>
      </c>
    </row>
    <row r="706" spans="1:18" ht="27.7" hidden="1" thickBot="1" x14ac:dyDescent="0.55000000000000004">
      <c r="A706" s="36">
        <v>704</v>
      </c>
      <c r="B706" s="37" t="s">
        <v>2165</v>
      </c>
      <c r="C706" s="37" t="s">
        <v>2102</v>
      </c>
      <c r="D706" s="37" t="s">
        <v>2102</v>
      </c>
      <c r="E706" s="37" t="s">
        <v>1163</v>
      </c>
      <c r="F706" s="37" t="s">
        <v>2079</v>
      </c>
      <c r="G706" s="37" t="s">
        <v>2079</v>
      </c>
      <c r="H706" s="37" t="s">
        <v>2079</v>
      </c>
      <c r="I706" s="37" t="s">
        <v>1643</v>
      </c>
      <c r="J706" s="37" t="s">
        <v>1643</v>
      </c>
      <c r="K706" s="37" t="s">
        <v>2077</v>
      </c>
      <c r="L706" s="36">
        <v>3</v>
      </c>
      <c r="M706" s="36">
        <v>3</v>
      </c>
      <c r="N706" s="36">
        <v>3</v>
      </c>
      <c r="O706" s="36">
        <v>4</v>
      </c>
      <c r="P706" s="37" t="s">
        <v>292</v>
      </c>
      <c r="Q706" s="37"/>
      <c r="R706" s="37" t="s">
        <v>2166</v>
      </c>
    </row>
    <row r="707" spans="1:18" ht="27.7" hidden="1" thickBot="1" x14ac:dyDescent="0.55000000000000004">
      <c r="A707" s="36">
        <v>705</v>
      </c>
      <c r="B707" s="37" t="s">
        <v>2167</v>
      </c>
      <c r="C707" s="37" t="s">
        <v>2102</v>
      </c>
      <c r="D707" s="37" t="s">
        <v>2102</v>
      </c>
      <c r="E707" s="37" t="s">
        <v>1163</v>
      </c>
      <c r="F707" s="37" t="s">
        <v>1164</v>
      </c>
      <c r="G707" s="37" t="s">
        <v>1164</v>
      </c>
      <c r="H707" s="37" t="s">
        <v>1164</v>
      </c>
      <c r="I707" s="37" t="s">
        <v>1165</v>
      </c>
      <c r="J707" s="37" t="s">
        <v>1165</v>
      </c>
      <c r="K707" s="37" t="s">
        <v>1165</v>
      </c>
      <c r="L707" s="36">
        <v>3</v>
      </c>
      <c r="M707" s="36">
        <v>3</v>
      </c>
      <c r="N707" s="36">
        <v>3</v>
      </c>
      <c r="O707" s="36">
        <v>4</v>
      </c>
      <c r="P707" s="37" t="s">
        <v>265</v>
      </c>
      <c r="Q707" s="37"/>
      <c r="R707" s="37" t="s">
        <v>2168</v>
      </c>
    </row>
    <row r="708" spans="1:18" ht="27.7" hidden="1" thickBot="1" x14ac:dyDescent="0.55000000000000004">
      <c r="A708" s="36">
        <v>706</v>
      </c>
      <c r="B708" s="37" t="s">
        <v>2169</v>
      </c>
      <c r="C708" s="37" t="s">
        <v>2170</v>
      </c>
      <c r="D708" s="37" t="s">
        <v>2085</v>
      </c>
      <c r="E708" s="37" t="s">
        <v>1163</v>
      </c>
      <c r="F708" s="37" t="s">
        <v>2079</v>
      </c>
      <c r="G708" s="37" t="s">
        <v>2079</v>
      </c>
      <c r="H708" s="37" t="s">
        <v>2079</v>
      </c>
      <c r="I708" s="37" t="s">
        <v>1643</v>
      </c>
      <c r="J708" s="37" t="s">
        <v>1643</v>
      </c>
      <c r="K708" s="37" t="s">
        <v>1165</v>
      </c>
      <c r="L708" s="36">
        <v>3</v>
      </c>
      <c r="M708" s="36">
        <v>3</v>
      </c>
      <c r="N708" s="36">
        <v>3</v>
      </c>
      <c r="O708" s="36">
        <v>4</v>
      </c>
      <c r="P708" s="37" t="s">
        <v>292</v>
      </c>
      <c r="Q708" s="37"/>
      <c r="R708" s="37" t="s">
        <v>2171</v>
      </c>
    </row>
    <row r="709" spans="1:18" ht="27.7" hidden="1" thickBot="1" x14ac:dyDescent="0.55000000000000004">
      <c r="A709" s="36">
        <v>707</v>
      </c>
      <c r="B709" s="37" t="s">
        <v>2172</v>
      </c>
      <c r="C709" s="37" t="s">
        <v>2170</v>
      </c>
      <c r="D709" s="37" t="s">
        <v>2085</v>
      </c>
      <c r="E709" s="37" t="s">
        <v>1163</v>
      </c>
      <c r="F709" s="37" t="s">
        <v>2079</v>
      </c>
      <c r="G709" s="37" t="s">
        <v>2079</v>
      </c>
      <c r="H709" s="37" t="s">
        <v>2079</v>
      </c>
      <c r="I709" s="37" t="s">
        <v>1165</v>
      </c>
      <c r="J709" s="37" t="s">
        <v>1165</v>
      </c>
      <c r="K709" s="37" t="s">
        <v>1165</v>
      </c>
      <c r="L709" s="36">
        <v>3</v>
      </c>
      <c r="M709" s="36">
        <v>3</v>
      </c>
      <c r="N709" s="36">
        <v>3</v>
      </c>
      <c r="O709" s="36">
        <v>4</v>
      </c>
      <c r="P709" s="37" t="s">
        <v>292</v>
      </c>
      <c r="Q709" s="37"/>
      <c r="R709" s="37" t="s">
        <v>2173</v>
      </c>
    </row>
    <row r="710" spans="1:18" ht="27.7" hidden="1" thickBot="1" x14ac:dyDescent="0.55000000000000004">
      <c r="A710" s="36">
        <v>708</v>
      </c>
      <c r="B710" s="37" t="s">
        <v>2174</v>
      </c>
      <c r="C710" s="37" t="s">
        <v>2153</v>
      </c>
      <c r="D710" s="37" t="s">
        <v>2085</v>
      </c>
      <c r="E710" s="37" t="s">
        <v>1163</v>
      </c>
      <c r="F710" s="37" t="s">
        <v>2134</v>
      </c>
      <c r="G710" s="37" t="s">
        <v>2134</v>
      </c>
      <c r="H710" s="37" t="s">
        <v>2134</v>
      </c>
      <c r="I710" s="37" t="s">
        <v>2077</v>
      </c>
      <c r="J710" s="37" t="s">
        <v>2077</v>
      </c>
      <c r="K710" s="37" t="s">
        <v>2077</v>
      </c>
      <c r="L710" s="36">
        <v>3</v>
      </c>
      <c r="M710" s="36">
        <v>3</v>
      </c>
      <c r="N710" s="36">
        <v>3</v>
      </c>
      <c r="O710" s="36">
        <v>4</v>
      </c>
      <c r="P710" s="37" t="s">
        <v>292</v>
      </c>
      <c r="Q710" s="37"/>
      <c r="R710" s="37" t="s">
        <v>2175</v>
      </c>
    </row>
    <row r="711" spans="1:18" ht="27.7" hidden="1" thickBot="1" x14ac:dyDescent="0.55000000000000004">
      <c r="A711" s="36">
        <v>709</v>
      </c>
      <c r="B711" s="37" t="s">
        <v>2176</v>
      </c>
      <c r="C711" s="37" t="s">
        <v>2177</v>
      </c>
      <c r="D711" s="37" t="s">
        <v>2178</v>
      </c>
      <c r="E711" s="37" t="s">
        <v>2037</v>
      </c>
      <c r="F711" s="37" t="s">
        <v>2134</v>
      </c>
      <c r="G711" s="37" t="s">
        <v>2134</v>
      </c>
      <c r="H711" s="37" t="s">
        <v>2134</v>
      </c>
      <c r="I711" s="37" t="s">
        <v>1165</v>
      </c>
      <c r="J711" s="37" t="s">
        <v>1165</v>
      </c>
      <c r="K711" s="37" t="s">
        <v>1165</v>
      </c>
      <c r="L711" s="36">
        <v>3</v>
      </c>
      <c r="M711" s="36">
        <v>3</v>
      </c>
      <c r="N711" s="36">
        <v>3</v>
      </c>
      <c r="O711" s="36">
        <v>4</v>
      </c>
      <c r="P711" s="37" t="s">
        <v>292</v>
      </c>
      <c r="Q711" s="37"/>
      <c r="R711" s="37" t="s">
        <v>2179</v>
      </c>
    </row>
    <row r="712" spans="1:18" ht="27.7" hidden="1" thickBot="1" x14ac:dyDescent="0.55000000000000004">
      <c r="A712" s="36">
        <v>710</v>
      </c>
      <c r="B712" s="37" t="s">
        <v>2180</v>
      </c>
      <c r="C712" s="37" t="s">
        <v>2151</v>
      </c>
      <c r="D712" s="37" t="s">
        <v>2116</v>
      </c>
      <c r="E712" s="37" t="s">
        <v>1064</v>
      </c>
      <c r="F712" s="37" t="s">
        <v>2134</v>
      </c>
      <c r="G712" s="37" t="s">
        <v>2134</v>
      </c>
      <c r="H712" s="37" t="s">
        <v>2134</v>
      </c>
      <c r="I712" s="37" t="s">
        <v>2031</v>
      </c>
      <c r="J712" s="37" t="s">
        <v>2031</v>
      </c>
      <c r="K712" s="37" t="s">
        <v>88</v>
      </c>
      <c r="L712" s="36">
        <v>3</v>
      </c>
      <c r="M712" s="36">
        <v>3</v>
      </c>
      <c r="N712" s="36">
        <v>3</v>
      </c>
      <c r="O712" s="36">
        <v>3</v>
      </c>
      <c r="P712" s="37" t="s">
        <v>292</v>
      </c>
      <c r="Q712" s="37"/>
      <c r="R712" s="37" t="s">
        <v>2181</v>
      </c>
    </row>
    <row r="713" spans="1:18" ht="27.7" hidden="1" thickBot="1" x14ac:dyDescent="0.55000000000000004">
      <c r="A713" s="36">
        <v>711</v>
      </c>
      <c r="B713" s="37" t="s">
        <v>2182</v>
      </c>
      <c r="C713" s="37" t="s">
        <v>2119</v>
      </c>
      <c r="D713" s="37" t="s">
        <v>2116</v>
      </c>
      <c r="E713" s="37" t="s">
        <v>1064</v>
      </c>
      <c r="F713" s="37" t="s">
        <v>2144</v>
      </c>
      <c r="G713" s="37" t="s">
        <v>2050</v>
      </c>
      <c r="H713" s="37" t="s">
        <v>2050</v>
      </c>
      <c r="I713" s="37" t="s">
        <v>2031</v>
      </c>
      <c r="J713" s="37" t="s">
        <v>88</v>
      </c>
      <c r="K713" s="37" t="s">
        <v>88</v>
      </c>
      <c r="L713" s="36">
        <v>3</v>
      </c>
      <c r="M713" s="36">
        <v>3</v>
      </c>
      <c r="N713" s="36">
        <v>3</v>
      </c>
      <c r="O713" s="36">
        <v>4</v>
      </c>
      <c r="P713" s="37" t="s">
        <v>292</v>
      </c>
      <c r="Q713" s="37"/>
      <c r="R713" s="37" t="s">
        <v>2183</v>
      </c>
    </row>
    <row r="714" spans="1:18" ht="27.7" hidden="1" thickBot="1" x14ac:dyDescent="0.55000000000000004">
      <c r="A714" s="36">
        <v>712</v>
      </c>
      <c r="B714" s="37" t="s">
        <v>2184</v>
      </c>
      <c r="C714" s="37" t="s">
        <v>2151</v>
      </c>
      <c r="D714" s="37" t="s">
        <v>2116</v>
      </c>
      <c r="E714" s="37" t="s">
        <v>1064</v>
      </c>
      <c r="F714" s="37" t="s">
        <v>2144</v>
      </c>
      <c r="G714" s="37" t="s">
        <v>2144</v>
      </c>
      <c r="H714" s="37" t="s">
        <v>2144</v>
      </c>
      <c r="I714" s="37" t="s">
        <v>2031</v>
      </c>
      <c r="J714" s="37" t="s">
        <v>2031</v>
      </c>
      <c r="K714" s="37" t="s">
        <v>2031</v>
      </c>
      <c r="L714" s="36">
        <v>3</v>
      </c>
      <c r="M714" s="36">
        <v>3</v>
      </c>
      <c r="N714" s="36">
        <v>3</v>
      </c>
      <c r="O714" s="36">
        <v>4</v>
      </c>
      <c r="P714" s="37" t="s">
        <v>292</v>
      </c>
      <c r="Q714" s="37"/>
      <c r="R714" s="37" t="s">
        <v>2185</v>
      </c>
    </row>
    <row r="715" spans="1:18" ht="27.7" hidden="1" thickBot="1" x14ac:dyDescent="0.55000000000000004">
      <c r="A715" s="36">
        <v>713</v>
      </c>
      <c r="B715" s="37" t="s">
        <v>2186</v>
      </c>
      <c r="C715" s="37" t="s">
        <v>2187</v>
      </c>
      <c r="D715" s="37" t="s">
        <v>2178</v>
      </c>
      <c r="E715" s="37" t="s">
        <v>2037</v>
      </c>
      <c r="F715" s="37" t="s">
        <v>2134</v>
      </c>
      <c r="G715" s="37" t="s">
        <v>2134</v>
      </c>
      <c r="H715" s="37" t="s">
        <v>2134</v>
      </c>
      <c r="I715" s="37" t="s">
        <v>2031</v>
      </c>
      <c r="J715" s="37" t="s">
        <v>2031</v>
      </c>
      <c r="K715" s="37" t="s">
        <v>2188</v>
      </c>
      <c r="L715" s="36">
        <v>3</v>
      </c>
      <c r="M715" s="36">
        <v>3</v>
      </c>
      <c r="N715" s="36">
        <v>3</v>
      </c>
      <c r="O715" s="36">
        <v>4</v>
      </c>
      <c r="P715" s="37" t="s">
        <v>292</v>
      </c>
      <c r="Q715" s="37"/>
      <c r="R715" s="37" t="s">
        <v>2189</v>
      </c>
    </row>
    <row r="716" spans="1:18" ht="27.7" hidden="1" thickBot="1" x14ac:dyDescent="0.55000000000000004">
      <c r="A716" s="36">
        <v>714</v>
      </c>
      <c r="B716" s="37" t="s">
        <v>2190</v>
      </c>
      <c r="C716" s="37" t="s">
        <v>2191</v>
      </c>
      <c r="D716" s="37" t="s">
        <v>2178</v>
      </c>
      <c r="E716" s="37" t="s">
        <v>2037</v>
      </c>
      <c r="F716" s="37" t="s">
        <v>2134</v>
      </c>
      <c r="G716" s="37" t="s">
        <v>2134</v>
      </c>
      <c r="H716" s="37" t="s">
        <v>2134</v>
      </c>
      <c r="I716" s="37" t="s">
        <v>88</v>
      </c>
      <c r="J716" s="37" t="s">
        <v>88</v>
      </c>
      <c r="K716" s="37" t="s">
        <v>88</v>
      </c>
      <c r="L716" s="36">
        <v>3</v>
      </c>
      <c r="M716" s="36">
        <v>3</v>
      </c>
      <c r="N716" s="36">
        <v>3</v>
      </c>
      <c r="O716" s="36">
        <v>4</v>
      </c>
      <c r="P716" s="37" t="s">
        <v>292</v>
      </c>
      <c r="Q716" s="37"/>
      <c r="R716" s="37" t="s">
        <v>2192</v>
      </c>
    </row>
    <row r="717" spans="1:18" ht="27.7" hidden="1" thickBot="1" x14ac:dyDescent="0.55000000000000004">
      <c r="A717" s="36">
        <v>715</v>
      </c>
      <c r="B717" s="37" t="s">
        <v>2193</v>
      </c>
      <c r="C717" s="37" t="s">
        <v>2021</v>
      </c>
      <c r="D717" s="37" t="s">
        <v>1998</v>
      </c>
      <c r="E717" s="37" t="s">
        <v>1064</v>
      </c>
      <c r="F717" s="37" t="s">
        <v>1972</v>
      </c>
      <c r="G717" s="37" t="s">
        <v>1972</v>
      </c>
      <c r="H717" s="37" t="s">
        <v>1972</v>
      </c>
      <c r="I717" s="37" t="s">
        <v>1964</v>
      </c>
      <c r="J717" s="37" t="s">
        <v>1964</v>
      </c>
      <c r="K717" s="37" t="s">
        <v>88</v>
      </c>
      <c r="L717" s="36">
        <v>3</v>
      </c>
      <c r="M717" s="36">
        <v>3</v>
      </c>
      <c r="N717" s="36">
        <v>3</v>
      </c>
      <c r="O717" s="36">
        <v>4</v>
      </c>
      <c r="P717" s="37" t="s">
        <v>292</v>
      </c>
      <c r="Q717" s="37"/>
      <c r="R717" s="37" t="s">
        <v>2194</v>
      </c>
    </row>
    <row r="718" spans="1:18" ht="27.7" hidden="1" thickBot="1" x14ac:dyDescent="0.55000000000000004">
      <c r="A718" s="36">
        <v>716</v>
      </c>
      <c r="B718" s="37" t="s">
        <v>2195</v>
      </c>
      <c r="C718" s="37" t="s">
        <v>2196</v>
      </c>
      <c r="D718" s="37" t="s">
        <v>2036</v>
      </c>
      <c r="E718" s="37" t="s">
        <v>2037</v>
      </c>
      <c r="F718" s="37" t="s">
        <v>2030</v>
      </c>
      <c r="G718" s="37" t="s">
        <v>2030</v>
      </c>
      <c r="H718" s="37" t="s">
        <v>2030</v>
      </c>
      <c r="I718" s="37" t="s">
        <v>88</v>
      </c>
      <c r="J718" s="37" t="s">
        <v>88</v>
      </c>
      <c r="K718" s="37" t="s">
        <v>88</v>
      </c>
      <c r="L718" s="36">
        <v>2</v>
      </c>
      <c r="M718" s="36">
        <v>2</v>
      </c>
      <c r="N718" s="36">
        <v>3</v>
      </c>
      <c r="O718" s="36">
        <v>5</v>
      </c>
      <c r="P718" s="37" t="s">
        <v>265</v>
      </c>
      <c r="Q718" s="37"/>
      <c r="R718" s="37" t="s">
        <v>2197</v>
      </c>
    </row>
    <row r="719" spans="1:18" ht="27.7" hidden="1" thickBot="1" x14ac:dyDescent="0.55000000000000004">
      <c r="A719" s="36">
        <v>717</v>
      </c>
      <c r="B719" s="37" t="s">
        <v>2198</v>
      </c>
      <c r="C719" s="37" t="s">
        <v>2036</v>
      </c>
      <c r="D719" s="37" t="s">
        <v>2036</v>
      </c>
      <c r="E719" s="37" t="s">
        <v>2037</v>
      </c>
      <c r="F719" s="37" t="s">
        <v>2134</v>
      </c>
      <c r="G719" s="37" t="s">
        <v>2134</v>
      </c>
      <c r="H719" s="37" t="s">
        <v>2134</v>
      </c>
      <c r="I719" s="37" t="s">
        <v>88</v>
      </c>
      <c r="J719" s="37" t="s">
        <v>88</v>
      </c>
      <c r="K719" s="37" t="s">
        <v>88</v>
      </c>
      <c r="L719" s="36">
        <v>3</v>
      </c>
      <c r="M719" s="36">
        <v>3</v>
      </c>
      <c r="N719" s="36">
        <v>3</v>
      </c>
      <c r="O719" s="36">
        <v>3</v>
      </c>
      <c r="P719" s="37" t="s">
        <v>292</v>
      </c>
      <c r="Q719" s="37"/>
      <c r="R719" s="37" t="s">
        <v>2199</v>
      </c>
    </row>
    <row r="720" spans="1:18" ht="27.7" hidden="1" thickBot="1" x14ac:dyDescent="0.55000000000000004">
      <c r="A720" s="36">
        <v>718</v>
      </c>
      <c r="B720" s="37" t="s">
        <v>2200</v>
      </c>
      <c r="C720" s="37" t="s">
        <v>2196</v>
      </c>
      <c r="D720" s="37" t="s">
        <v>2036</v>
      </c>
      <c r="E720" s="37" t="s">
        <v>2037</v>
      </c>
      <c r="F720" s="37" t="s">
        <v>2030</v>
      </c>
      <c r="G720" s="37" t="s">
        <v>2030</v>
      </c>
      <c r="H720" s="37" t="s">
        <v>2030</v>
      </c>
      <c r="I720" s="37" t="s">
        <v>88</v>
      </c>
      <c r="J720" s="37" t="s">
        <v>88</v>
      </c>
      <c r="K720" s="37" t="s">
        <v>88</v>
      </c>
      <c r="L720" s="36">
        <v>4</v>
      </c>
      <c r="M720" s="36">
        <v>4</v>
      </c>
      <c r="N720" s="36">
        <v>4</v>
      </c>
      <c r="O720" s="36">
        <v>5</v>
      </c>
      <c r="P720" s="37" t="s">
        <v>292</v>
      </c>
      <c r="Q720" s="37"/>
      <c r="R720" s="37" t="s">
        <v>2201</v>
      </c>
    </row>
    <row r="721" spans="1:18" ht="27.7" hidden="1" thickBot="1" x14ac:dyDescent="0.55000000000000004">
      <c r="A721" s="36">
        <v>719</v>
      </c>
      <c r="B721" s="37" t="s">
        <v>2202</v>
      </c>
      <c r="C721" s="37" t="s">
        <v>2196</v>
      </c>
      <c r="D721" s="37" t="s">
        <v>2036</v>
      </c>
      <c r="E721" s="37" t="s">
        <v>2037</v>
      </c>
      <c r="F721" s="37" t="s">
        <v>2030</v>
      </c>
      <c r="G721" s="37" t="s">
        <v>2030</v>
      </c>
      <c r="H721" s="37" t="s">
        <v>2030</v>
      </c>
      <c r="I721" s="37" t="s">
        <v>88</v>
      </c>
      <c r="J721" s="37" t="s">
        <v>88</v>
      </c>
      <c r="K721" s="37" t="s">
        <v>88</v>
      </c>
      <c r="L721" s="36">
        <v>5</v>
      </c>
      <c r="M721" s="36">
        <v>5</v>
      </c>
      <c r="N721" s="36">
        <v>5</v>
      </c>
      <c r="O721" s="36">
        <v>6</v>
      </c>
      <c r="P721" s="37" t="s">
        <v>292</v>
      </c>
      <c r="Q721" s="37"/>
      <c r="R721" s="37" t="s">
        <v>2203</v>
      </c>
    </row>
    <row r="722" spans="1:18" ht="27.7" hidden="1" thickBot="1" x14ac:dyDescent="0.55000000000000004">
      <c r="A722" s="36">
        <v>720</v>
      </c>
      <c r="B722" s="37" t="s">
        <v>2204</v>
      </c>
      <c r="C722" s="37" t="s">
        <v>2036</v>
      </c>
      <c r="D722" s="37" t="s">
        <v>2036</v>
      </c>
      <c r="E722" s="37" t="s">
        <v>2037</v>
      </c>
      <c r="F722" s="37" t="s">
        <v>2134</v>
      </c>
      <c r="G722" s="37" t="s">
        <v>2134</v>
      </c>
      <c r="H722" s="37" t="s">
        <v>2134</v>
      </c>
      <c r="I722" s="37" t="s">
        <v>88</v>
      </c>
      <c r="J722" s="37" t="s">
        <v>88</v>
      </c>
      <c r="K722" s="37" t="s">
        <v>88</v>
      </c>
      <c r="L722" s="36">
        <v>3</v>
      </c>
      <c r="M722" s="36">
        <v>3</v>
      </c>
      <c r="N722" s="36">
        <v>3</v>
      </c>
      <c r="O722" s="36">
        <v>4</v>
      </c>
      <c r="P722" s="37" t="s">
        <v>292</v>
      </c>
      <c r="Q722" s="37"/>
      <c r="R722" s="37" t="s">
        <v>2205</v>
      </c>
    </row>
    <row r="723" spans="1:18" ht="27.7" hidden="1" thickBot="1" x14ac:dyDescent="0.55000000000000004">
      <c r="A723" s="36">
        <v>721</v>
      </c>
      <c r="B723" s="37" t="s">
        <v>2206</v>
      </c>
      <c r="C723" s="37" t="s">
        <v>2036</v>
      </c>
      <c r="D723" s="37" t="s">
        <v>2036</v>
      </c>
      <c r="E723" s="37" t="s">
        <v>2037</v>
      </c>
      <c r="F723" s="37" t="s">
        <v>2134</v>
      </c>
      <c r="G723" s="37" t="s">
        <v>2134</v>
      </c>
      <c r="H723" s="37" t="s">
        <v>2134</v>
      </c>
      <c r="I723" s="37" t="s">
        <v>88</v>
      </c>
      <c r="J723" s="37" t="s">
        <v>88</v>
      </c>
      <c r="K723" s="37" t="s">
        <v>88</v>
      </c>
      <c r="L723" s="36">
        <v>3</v>
      </c>
      <c r="M723" s="36">
        <v>3</v>
      </c>
      <c r="N723" s="36">
        <v>3</v>
      </c>
      <c r="O723" s="36">
        <v>4</v>
      </c>
      <c r="P723" s="37" t="s">
        <v>265</v>
      </c>
      <c r="Q723" s="37"/>
      <c r="R723" s="37" t="s">
        <v>2207</v>
      </c>
    </row>
    <row r="724" spans="1:18" ht="27.7" hidden="1" thickBot="1" x14ac:dyDescent="0.55000000000000004">
      <c r="A724" s="36">
        <v>722</v>
      </c>
      <c r="B724" s="37" t="s">
        <v>2208</v>
      </c>
      <c r="C724" s="37" t="s">
        <v>2036</v>
      </c>
      <c r="D724" s="37" t="s">
        <v>2036</v>
      </c>
      <c r="E724" s="37" t="s">
        <v>2037</v>
      </c>
      <c r="F724" s="37" t="s">
        <v>2134</v>
      </c>
      <c r="G724" s="37" t="s">
        <v>2134</v>
      </c>
      <c r="H724" s="37" t="s">
        <v>2134</v>
      </c>
      <c r="I724" s="37" t="s">
        <v>88</v>
      </c>
      <c r="J724" s="37" t="s">
        <v>88</v>
      </c>
      <c r="K724" s="37" t="s">
        <v>88</v>
      </c>
      <c r="L724" s="36">
        <v>2</v>
      </c>
      <c r="M724" s="36">
        <v>2</v>
      </c>
      <c r="N724" s="36">
        <v>2</v>
      </c>
      <c r="O724" s="36">
        <v>4</v>
      </c>
      <c r="P724" s="37" t="s">
        <v>265</v>
      </c>
      <c r="Q724" s="37"/>
      <c r="R724" s="37" t="s">
        <v>2209</v>
      </c>
    </row>
    <row r="725" spans="1:18" ht="27.7" hidden="1" thickBot="1" x14ac:dyDescent="0.55000000000000004">
      <c r="A725" s="36">
        <v>723</v>
      </c>
      <c r="B725" s="37" t="s">
        <v>2210</v>
      </c>
      <c r="C725" s="37" t="s">
        <v>2211</v>
      </c>
      <c r="D725" s="37" t="s">
        <v>2212</v>
      </c>
      <c r="E725" s="37" t="s">
        <v>2037</v>
      </c>
      <c r="F725" s="37" t="s">
        <v>2134</v>
      </c>
      <c r="G725" s="37" t="s">
        <v>2134</v>
      </c>
      <c r="H725" s="37" t="s">
        <v>2134</v>
      </c>
      <c r="I725" s="37" t="s">
        <v>88</v>
      </c>
      <c r="J725" s="37" t="s">
        <v>88</v>
      </c>
      <c r="K725" s="37" t="s">
        <v>88</v>
      </c>
      <c r="L725" s="36">
        <v>4</v>
      </c>
      <c r="M725" s="36">
        <v>4</v>
      </c>
      <c r="N725" s="36">
        <v>4</v>
      </c>
      <c r="O725" s="36">
        <v>4</v>
      </c>
      <c r="P725" s="37" t="s">
        <v>292</v>
      </c>
      <c r="Q725" s="37" t="s">
        <v>2213</v>
      </c>
      <c r="R725" s="37" t="s">
        <v>2214</v>
      </c>
    </row>
    <row r="726" spans="1:18" ht="27.7" hidden="1" thickBot="1" x14ac:dyDescent="0.55000000000000004">
      <c r="A726" s="36">
        <v>724</v>
      </c>
      <c r="B726" s="37" t="s">
        <v>2215</v>
      </c>
      <c r="C726" s="37" t="s">
        <v>2191</v>
      </c>
      <c r="D726" s="37" t="s">
        <v>2178</v>
      </c>
      <c r="E726" s="37" t="s">
        <v>2037</v>
      </c>
      <c r="F726" s="37" t="s">
        <v>2134</v>
      </c>
      <c r="G726" s="37" t="s">
        <v>2134</v>
      </c>
      <c r="H726" s="37" t="s">
        <v>2134</v>
      </c>
      <c r="I726" s="37" t="s">
        <v>88</v>
      </c>
      <c r="J726" s="37" t="s">
        <v>88</v>
      </c>
      <c r="K726" s="37" t="s">
        <v>88</v>
      </c>
      <c r="L726" s="36">
        <v>3</v>
      </c>
      <c r="M726" s="36">
        <v>3</v>
      </c>
      <c r="N726" s="36">
        <v>3</v>
      </c>
      <c r="O726" s="36">
        <v>3</v>
      </c>
      <c r="P726" s="37" t="s">
        <v>292</v>
      </c>
      <c r="Q726" s="37"/>
      <c r="R726" s="37" t="s">
        <v>2216</v>
      </c>
    </row>
    <row r="727" spans="1:18" ht="27.7" hidden="1" thickBot="1" x14ac:dyDescent="0.55000000000000004">
      <c r="A727" s="36">
        <v>725</v>
      </c>
      <c r="B727" s="37" t="s">
        <v>2217</v>
      </c>
      <c r="C727" s="37" t="s">
        <v>2191</v>
      </c>
      <c r="D727" s="37" t="s">
        <v>2178</v>
      </c>
      <c r="E727" s="37" t="s">
        <v>2037</v>
      </c>
      <c r="F727" s="37" t="s">
        <v>2134</v>
      </c>
      <c r="G727" s="37" t="s">
        <v>2134</v>
      </c>
      <c r="H727" s="37" t="s">
        <v>2134</v>
      </c>
      <c r="I727" s="37" t="s">
        <v>1165</v>
      </c>
      <c r="J727" s="37" t="s">
        <v>88</v>
      </c>
      <c r="K727" s="37" t="s">
        <v>88</v>
      </c>
      <c r="L727" s="36">
        <v>3</v>
      </c>
      <c r="M727" s="36">
        <v>3</v>
      </c>
      <c r="N727" s="36">
        <v>3</v>
      </c>
      <c r="O727" s="36">
        <v>4</v>
      </c>
      <c r="P727" s="37" t="s">
        <v>292</v>
      </c>
      <c r="Q727" s="37"/>
      <c r="R727" s="37" t="s">
        <v>2218</v>
      </c>
    </row>
    <row r="728" spans="1:18" ht="27.7" hidden="1" thickBot="1" x14ac:dyDescent="0.55000000000000004">
      <c r="A728" s="36">
        <v>726</v>
      </c>
      <c r="B728" s="37" t="s">
        <v>2219</v>
      </c>
      <c r="C728" s="37" t="s">
        <v>2191</v>
      </c>
      <c r="D728" s="37" t="s">
        <v>2178</v>
      </c>
      <c r="E728" s="37" t="s">
        <v>2037</v>
      </c>
      <c r="F728" s="37" t="s">
        <v>2134</v>
      </c>
      <c r="G728" s="37" t="s">
        <v>2134</v>
      </c>
      <c r="H728" s="37" t="s">
        <v>2134</v>
      </c>
      <c r="I728" s="37" t="s">
        <v>88</v>
      </c>
      <c r="J728" s="37" t="s">
        <v>88</v>
      </c>
      <c r="K728" s="37" t="s">
        <v>88</v>
      </c>
      <c r="L728" s="36">
        <v>3</v>
      </c>
      <c r="M728" s="36">
        <v>3</v>
      </c>
      <c r="N728" s="36">
        <v>3</v>
      </c>
      <c r="O728" s="36">
        <v>3</v>
      </c>
      <c r="P728" s="37" t="s">
        <v>292</v>
      </c>
      <c r="Q728" s="37"/>
      <c r="R728" s="37" t="s">
        <v>2220</v>
      </c>
    </row>
    <row r="729" spans="1:18" ht="27.7" hidden="1" thickBot="1" x14ac:dyDescent="0.55000000000000004">
      <c r="A729" s="36">
        <v>727</v>
      </c>
      <c r="B729" s="37" t="s">
        <v>2221</v>
      </c>
      <c r="C729" s="37" t="s">
        <v>2187</v>
      </c>
      <c r="D729" s="37" t="s">
        <v>2178</v>
      </c>
      <c r="E729" s="37" t="s">
        <v>2037</v>
      </c>
      <c r="F729" s="37" t="s">
        <v>2134</v>
      </c>
      <c r="G729" s="37" t="s">
        <v>2134</v>
      </c>
      <c r="H729" s="37" t="s">
        <v>2134</v>
      </c>
      <c r="I729" s="37" t="s">
        <v>2031</v>
      </c>
      <c r="J729" s="37" t="s">
        <v>2031</v>
      </c>
      <c r="K729" s="37" t="s">
        <v>88</v>
      </c>
      <c r="L729" s="36">
        <v>3</v>
      </c>
      <c r="M729" s="36">
        <v>3</v>
      </c>
      <c r="N729" s="36">
        <v>3</v>
      </c>
      <c r="O729" s="36">
        <v>4</v>
      </c>
      <c r="P729" s="37" t="s">
        <v>292</v>
      </c>
      <c r="Q729" s="37"/>
      <c r="R729" s="37" t="s">
        <v>2222</v>
      </c>
    </row>
    <row r="730" spans="1:18" ht="55" hidden="1" thickBot="1" x14ac:dyDescent="0.55000000000000004">
      <c r="A730" s="36">
        <v>728</v>
      </c>
      <c r="B730" s="37" t="s">
        <v>2191</v>
      </c>
      <c r="C730" s="37" t="s">
        <v>2191</v>
      </c>
      <c r="D730" s="37" t="s">
        <v>2178</v>
      </c>
      <c r="E730" s="37" t="s">
        <v>2037</v>
      </c>
      <c r="F730" s="37" t="s">
        <v>2134</v>
      </c>
      <c r="G730" s="37" t="s">
        <v>2134</v>
      </c>
      <c r="H730" s="37" t="s">
        <v>2134</v>
      </c>
      <c r="I730" s="37" t="s">
        <v>88</v>
      </c>
      <c r="J730" s="37" t="s">
        <v>88</v>
      </c>
      <c r="K730" s="37" t="s">
        <v>88</v>
      </c>
      <c r="L730" s="36">
        <v>4</v>
      </c>
      <c r="M730" s="36">
        <v>4</v>
      </c>
      <c r="N730" s="36">
        <v>4</v>
      </c>
      <c r="O730" s="36">
        <v>6</v>
      </c>
      <c r="P730" s="37" t="s">
        <v>292</v>
      </c>
      <c r="Q730" s="37" t="s">
        <v>2223</v>
      </c>
      <c r="R730" s="37" t="s">
        <v>2224</v>
      </c>
    </row>
    <row r="731" spans="1:18" ht="27.7" hidden="1" thickBot="1" x14ac:dyDescent="0.55000000000000004">
      <c r="A731" s="36">
        <v>729</v>
      </c>
      <c r="B731" s="37" t="s">
        <v>2225</v>
      </c>
      <c r="C731" s="37" t="s">
        <v>2187</v>
      </c>
      <c r="D731" s="37" t="s">
        <v>2178</v>
      </c>
      <c r="E731" s="37" t="s">
        <v>2037</v>
      </c>
      <c r="F731" s="37" t="s">
        <v>2134</v>
      </c>
      <c r="G731" s="37" t="s">
        <v>2134</v>
      </c>
      <c r="H731" s="37" t="s">
        <v>2134</v>
      </c>
      <c r="I731" s="37" t="s">
        <v>2031</v>
      </c>
      <c r="J731" s="37" t="s">
        <v>2031</v>
      </c>
      <c r="K731" s="37" t="s">
        <v>88</v>
      </c>
      <c r="L731" s="36">
        <v>3</v>
      </c>
      <c r="M731" s="36">
        <v>3</v>
      </c>
      <c r="N731" s="36">
        <v>3</v>
      </c>
      <c r="O731" s="36">
        <v>3</v>
      </c>
      <c r="P731" s="37" t="s">
        <v>292</v>
      </c>
      <c r="Q731" s="37"/>
      <c r="R731" s="37" t="s">
        <v>2226</v>
      </c>
    </row>
    <row r="732" spans="1:18" ht="27.7" hidden="1" thickBot="1" x14ac:dyDescent="0.55000000000000004">
      <c r="A732" s="36">
        <v>730</v>
      </c>
      <c r="B732" s="37" t="s">
        <v>2187</v>
      </c>
      <c r="C732" s="37" t="s">
        <v>2187</v>
      </c>
      <c r="D732" s="37" t="s">
        <v>2178</v>
      </c>
      <c r="E732" s="37" t="s">
        <v>2037</v>
      </c>
      <c r="F732" s="37" t="s">
        <v>2134</v>
      </c>
      <c r="G732" s="37" t="s">
        <v>2134</v>
      </c>
      <c r="H732" s="37" t="s">
        <v>2134</v>
      </c>
      <c r="I732" s="37" t="s">
        <v>1165</v>
      </c>
      <c r="J732" s="37" t="s">
        <v>1165</v>
      </c>
      <c r="K732" s="37" t="s">
        <v>88</v>
      </c>
      <c r="L732" s="36">
        <v>3</v>
      </c>
      <c r="M732" s="36">
        <v>3</v>
      </c>
      <c r="N732" s="36">
        <v>3</v>
      </c>
      <c r="O732" s="36">
        <v>4</v>
      </c>
      <c r="P732" s="37" t="s">
        <v>292</v>
      </c>
      <c r="Q732" s="37"/>
      <c r="R732" s="37" t="s">
        <v>2227</v>
      </c>
    </row>
    <row r="733" spans="1:18" ht="27.7" hidden="1" thickBot="1" x14ac:dyDescent="0.55000000000000004">
      <c r="A733" s="36">
        <v>731</v>
      </c>
      <c r="B733" s="37" t="s">
        <v>2228</v>
      </c>
      <c r="C733" s="37" t="s">
        <v>2177</v>
      </c>
      <c r="D733" s="37" t="s">
        <v>2178</v>
      </c>
      <c r="E733" s="37" t="s">
        <v>2037</v>
      </c>
      <c r="F733" s="37" t="s">
        <v>2134</v>
      </c>
      <c r="G733" s="37" t="s">
        <v>2134</v>
      </c>
      <c r="H733" s="37" t="s">
        <v>2134</v>
      </c>
      <c r="I733" s="37" t="s">
        <v>1165</v>
      </c>
      <c r="J733" s="37" t="s">
        <v>88</v>
      </c>
      <c r="K733" s="37" t="s">
        <v>88</v>
      </c>
      <c r="L733" s="36">
        <v>3</v>
      </c>
      <c r="M733" s="36">
        <v>3</v>
      </c>
      <c r="N733" s="36">
        <v>3</v>
      </c>
      <c r="O733" s="36">
        <v>5</v>
      </c>
      <c r="P733" s="37" t="s">
        <v>292</v>
      </c>
      <c r="Q733" s="37"/>
      <c r="R733" s="37" t="s">
        <v>2229</v>
      </c>
    </row>
    <row r="734" spans="1:18" ht="27.7" hidden="1" thickBot="1" x14ac:dyDescent="0.55000000000000004">
      <c r="A734" s="36">
        <v>732</v>
      </c>
      <c r="B734" s="37" t="s">
        <v>2230</v>
      </c>
      <c r="C734" s="37" t="s">
        <v>2177</v>
      </c>
      <c r="D734" s="37" t="s">
        <v>2178</v>
      </c>
      <c r="E734" s="37" t="s">
        <v>2037</v>
      </c>
      <c r="F734" s="37" t="s">
        <v>2134</v>
      </c>
      <c r="G734" s="37" t="s">
        <v>2134</v>
      </c>
      <c r="H734" s="37" t="s">
        <v>2134</v>
      </c>
      <c r="I734" s="37" t="s">
        <v>1165</v>
      </c>
      <c r="J734" s="37" t="s">
        <v>88</v>
      </c>
      <c r="K734" s="37" t="s">
        <v>88</v>
      </c>
      <c r="L734" s="36">
        <v>3</v>
      </c>
      <c r="M734" s="36">
        <v>3</v>
      </c>
      <c r="N734" s="36">
        <v>3</v>
      </c>
      <c r="O734" s="36">
        <v>5</v>
      </c>
      <c r="P734" s="37" t="s">
        <v>292</v>
      </c>
      <c r="Q734" s="37"/>
      <c r="R734" s="37" t="s">
        <v>2231</v>
      </c>
    </row>
    <row r="735" spans="1:18" ht="41.35" hidden="1" thickBot="1" x14ac:dyDescent="0.55000000000000004">
      <c r="A735" s="36">
        <v>733</v>
      </c>
      <c r="B735" s="37" t="s">
        <v>2177</v>
      </c>
      <c r="C735" s="37" t="s">
        <v>2177</v>
      </c>
      <c r="D735" s="37" t="s">
        <v>2178</v>
      </c>
      <c r="E735" s="37" t="s">
        <v>2037</v>
      </c>
      <c r="F735" s="37" t="s">
        <v>2134</v>
      </c>
      <c r="G735" s="37" t="s">
        <v>2134</v>
      </c>
      <c r="H735" s="37" t="s">
        <v>2134</v>
      </c>
      <c r="I735" s="37" t="s">
        <v>1165</v>
      </c>
      <c r="J735" s="37" t="s">
        <v>1165</v>
      </c>
      <c r="K735" s="37" t="s">
        <v>88</v>
      </c>
      <c r="L735" s="36">
        <v>4</v>
      </c>
      <c r="M735" s="36">
        <v>4</v>
      </c>
      <c r="N735" s="36">
        <v>4</v>
      </c>
      <c r="O735" s="36">
        <v>6</v>
      </c>
      <c r="P735" s="37" t="s">
        <v>292</v>
      </c>
      <c r="Q735" s="37" t="s">
        <v>2232</v>
      </c>
      <c r="R735" s="37" t="s">
        <v>2233</v>
      </c>
    </row>
    <row r="736" spans="1:18" ht="27.7" hidden="1" thickBot="1" x14ac:dyDescent="0.55000000000000004">
      <c r="A736" s="36">
        <v>734</v>
      </c>
      <c r="B736" s="37" t="s">
        <v>2234</v>
      </c>
      <c r="C736" s="37" t="s">
        <v>2153</v>
      </c>
      <c r="D736" s="37" t="s">
        <v>2085</v>
      </c>
      <c r="E736" s="37" t="s">
        <v>1163</v>
      </c>
      <c r="F736" s="37" t="s">
        <v>2079</v>
      </c>
      <c r="G736" s="37" t="s">
        <v>2079</v>
      </c>
      <c r="H736" s="37" t="s">
        <v>2079</v>
      </c>
      <c r="I736" s="37" t="s">
        <v>2077</v>
      </c>
      <c r="J736" s="37" t="s">
        <v>2077</v>
      </c>
      <c r="K736" s="37" t="s">
        <v>2077</v>
      </c>
      <c r="L736" s="36">
        <v>3</v>
      </c>
      <c r="M736" s="36">
        <v>3</v>
      </c>
      <c r="N736" s="36">
        <v>3</v>
      </c>
      <c r="O736" s="36">
        <v>3</v>
      </c>
      <c r="P736" s="37" t="s">
        <v>292</v>
      </c>
      <c r="Q736" s="37"/>
      <c r="R736" s="37" t="s">
        <v>2235</v>
      </c>
    </row>
    <row r="737" spans="1:18" ht="27.7" hidden="1" thickBot="1" x14ac:dyDescent="0.55000000000000004">
      <c r="A737" s="36">
        <v>735</v>
      </c>
      <c r="B737" s="37" t="s">
        <v>2236</v>
      </c>
      <c r="C737" s="37" t="s">
        <v>2237</v>
      </c>
      <c r="D737" s="37" t="s">
        <v>1608</v>
      </c>
      <c r="E737" s="37" t="s">
        <v>1163</v>
      </c>
      <c r="F737" s="37" t="s">
        <v>1164</v>
      </c>
      <c r="G737" s="37" t="s">
        <v>1164</v>
      </c>
      <c r="H737" s="37" t="s">
        <v>2079</v>
      </c>
      <c r="I737" s="37" t="s">
        <v>1165</v>
      </c>
      <c r="J737" s="37" t="s">
        <v>1165</v>
      </c>
      <c r="K737" s="37" t="s">
        <v>2077</v>
      </c>
      <c r="L737" s="36">
        <v>3</v>
      </c>
      <c r="M737" s="36">
        <v>3</v>
      </c>
      <c r="N737" s="36">
        <v>3</v>
      </c>
      <c r="O737" s="36">
        <v>4</v>
      </c>
      <c r="P737" s="37" t="s">
        <v>265</v>
      </c>
      <c r="Q737" s="37" t="s">
        <v>2238</v>
      </c>
      <c r="R737" s="37" t="s">
        <v>2239</v>
      </c>
    </row>
    <row r="738" spans="1:18" ht="27.7" hidden="1" thickBot="1" x14ac:dyDescent="0.55000000000000004">
      <c r="A738" s="36">
        <v>736</v>
      </c>
      <c r="B738" s="37" t="s">
        <v>2240</v>
      </c>
      <c r="C738" s="37" t="s">
        <v>2237</v>
      </c>
      <c r="D738" s="37" t="s">
        <v>1608</v>
      </c>
      <c r="E738" s="37" t="s">
        <v>1163</v>
      </c>
      <c r="F738" s="37" t="s">
        <v>1164</v>
      </c>
      <c r="G738" s="37" t="s">
        <v>1164</v>
      </c>
      <c r="H738" s="37" t="s">
        <v>2079</v>
      </c>
      <c r="I738" s="37" t="s">
        <v>1165</v>
      </c>
      <c r="J738" s="37" t="s">
        <v>1165</v>
      </c>
      <c r="K738" s="37" t="s">
        <v>2077</v>
      </c>
      <c r="L738" s="36">
        <v>3</v>
      </c>
      <c r="M738" s="36">
        <v>3</v>
      </c>
      <c r="N738" s="36">
        <v>3</v>
      </c>
      <c r="O738" s="36">
        <v>4</v>
      </c>
      <c r="P738" s="37" t="s">
        <v>292</v>
      </c>
      <c r="Q738" s="37" t="s">
        <v>2241</v>
      </c>
      <c r="R738" s="37" t="s">
        <v>2242</v>
      </c>
    </row>
    <row r="739" spans="1:18" ht="27.7" hidden="1" thickBot="1" x14ac:dyDescent="0.55000000000000004">
      <c r="A739" s="36">
        <v>737</v>
      </c>
      <c r="B739" s="37" t="s">
        <v>2243</v>
      </c>
      <c r="C739" s="37" t="s">
        <v>2244</v>
      </c>
      <c r="D739" s="37" t="s">
        <v>1608</v>
      </c>
      <c r="E739" s="37" t="s">
        <v>1163</v>
      </c>
      <c r="F739" s="37" t="s">
        <v>1164</v>
      </c>
      <c r="G739" s="37" t="s">
        <v>1164</v>
      </c>
      <c r="H739" s="37" t="s">
        <v>1164</v>
      </c>
      <c r="I739" s="37" t="s">
        <v>1643</v>
      </c>
      <c r="J739" s="37" t="s">
        <v>1643</v>
      </c>
      <c r="K739" s="37" t="s">
        <v>1165</v>
      </c>
      <c r="L739" s="36">
        <v>3</v>
      </c>
      <c r="M739" s="36">
        <v>3</v>
      </c>
      <c r="N739" s="36">
        <v>3</v>
      </c>
      <c r="O739" s="36">
        <v>5</v>
      </c>
      <c r="P739" s="37" t="s">
        <v>292</v>
      </c>
      <c r="Q739" s="37" t="s">
        <v>2245</v>
      </c>
      <c r="R739" s="37" t="s">
        <v>2246</v>
      </c>
    </row>
    <row r="740" spans="1:18" ht="27.7" hidden="1" thickBot="1" x14ac:dyDescent="0.55000000000000004">
      <c r="A740" s="36">
        <v>738</v>
      </c>
      <c r="B740" s="37" t="s">
        <v>2247</v>
      </c>
      <c r="C740" s="37" t="s">
        <v>2248</v>
      </c>
      <c r="D740" s="37" t="s">
        <v>2102</v>
      </c>
      <c r="E740" s="37" t="s">
        <v>1163</v>
      </c>
      <c r="F740" s="37" t="s">
        <v>1164</v>
      </c>
      <c r="G740" s="37" t="s">
        <v>1164</v>
      </c>
      <c r="H740" s="37" t="s">
        <v>1164</v>
      </c>
      <c r="I740" s="37" t="s">
        <v>2249</v>
      </c>
      <c r="J740" s="37" t="s">
        <v>1165</v>
      </c>
      <c r="K740" s="37" t="s">
        <v>1165</v>
      </c>
      <c r="L740" s="36">
        <v>3</v>
      </c>
      <c r="M740" s="36">
        <v>3</v>
      </c>
      <c r="N740" s="36">
        <v>3</v>
      </c>
      <c r="O740" s="36">
        <v>5</v>
      </c>
      <c r="P740" s="37" t="s">
        <v>265</v>
      </c>
      <c r="Q740" s="37" t="s">
        <v>2250</v>
      </c>
      <c r="R740" s="37" t="s">
        <v>2251</v>
      </c>
    </row>
    <row r="741" spans="1:18" ht="27.7" hidden="1" thickBot="1" x14ac:dyDescent="0.55000000000000004">
      <c r="A741" s="36">
        <v>739</v>
      </c>
      <c r="B741" s="37" t="s">
        <v>2252</v>
      </c>
      <c r="C741" s="37" t="s">
        <v>2248</v>
      </c>
      <c r="D741" s="37" t="s">
        <v>2102</v>
      </c>
      <c r="E741" s="37" t="s">
        <v>1163</v>
      </c>
      <c r="F741" s="37" t="s">
        <v>1164</v>
      </c>
      <c r="G741" s="37" t="s">
        <v>1164</v>
      </c>
      <c r="H741" s="37" t="s">
        <v>1164</v>
      </c>
      <c r="I741" s="37" t="s">
        <v>1165</v>
      </c>
      <c r="J741" s="37" t="s">
        <v>1165</v>
      </c>
      <c r="K741" s="37" t="s">
        <v>1165</v>
      </c>
      <c r="L741" s="36">
        <v>3</v>
      </c>
      <c r="M741" s="36">
        <v>3</v>
      </c>
      <c r="N741" s="36">
        <v>3</v>
      </c>
      <c r="O741" s="36">
        <v>4</v>
      </c>
      <c r="P741" s="37" t="s">
        <v>265</v>
      </c>
      <c r="Q741" s="37"/>
      <c r="R741" s="37" t="s">
        <v>2253</v>
      </c>
    </row>
    <row r="742" spans="1:18" ht="27.7" hidden="1" thickBot="1" x14ac:dyDescent="0.55000000000000004">
      <c r="A742" s="36">
        <v>740</v>
      </c>
      <c r="B742" s="37" t="s">
        <v>2254</v>
      </c>
      <c r="C742" s="37" t="s">
        <v>2255</v>
      </c>
      <c r="D742" s="37" t="s">
        <v>1623</v>
      </c>
      <c r="E742" s="37" t="s">
        <v>1163</v>
      </c>
      <c r="F742" s="37" t="s">
        <v>1164</v>
      </c>
      <c r="G742" s="37" t="s">
        <v>1164</v>
      </c>
      <c r="H742" s="37" t="s">
        <v>1164</v>
      </c>
      <c r="I742" s="37" t="s">
        <v>1165</v>
      </c>
      <c r="J742" s="37" t="s">
        <v>1165</v>
      </c>
      <c r="K742" s="37" t="s">
        <v>1165</v>
      </c>
      <c r="L742" s="36">
        <v>2</v>
      </c>
      <c r="M742" s="36">
        <v>2</v>
      </c>
      <c r="N742" s="36">
        <v>2</v>
      </c>
      <c r="O742" s="36">
        <v>3</v>
      </c>
      <c r="P742" s="37" t="s">
        <v>265</v>
      </c>
      <c r="Q742" s="37" t="s">
        <v>2256</v>
      </c>
      <c r="R742" s="37" t="s">
        <v>2257</v>
      </c>
    </row>
    <row r="743" spans="1:18" ht="27.7" hidden="1" thickBot="1" x14ac:dyDescent="0.55000000000000004">
      <c r="A743" s="36">
        <v>741</v>
      </c>
      <c r="B743" s="37" t="s">
        <v>2258</v>
      </c>
      <c r="C743" s="37" t="s">
        <v>2259</v>
      </c>
      <c r="D743" s="37" t="s">
        <v>1623</v>
      </c>
      <c r="E743" s="37" t="s">
        <v>1163</v>
      </c>
      <c r="F743" s="37" t="s">
        <v>1164</v>
      </c>
      <c r="G743" s="37" t="s">
        <v>1164</v>
      </c>
      <c r="H743" s="37" t="s">
        <v>1164</v>
      </c>
      <c r="I743" s="37" t="s">
        <v>1165</v>
      </c>
      <c r="J743" s="37" t="s">
        <v>1165</v>
      </c>
      <c r="K743" s="37" t="s">
        <v>1165</v>
      </c>
      <c r="L743" s="36">
        <v>3</v>
      </c>
      <c r="M743" s="36">
        <v>3</v>
      </c>
      <c r="N743" s="36">
        <v>3</v>
      </c>
      <c r="O743" s="36">
        <v>6</v>
      </c>
      <c r="P743" s="37" t="s">
        <v>265</v>
      </c>
      <c r="Q743" s="37" t="s">
        <v>2260</v>
      </c>
      <c r="R743" s="37" t="s">
        <v>2261</v>
      </c>
    </row>
    <row r="744" spans="1:18" ht="27.7" hidden="1" thickBot="1" x14ac:dyDescent="0.55000000000000004">
      <c r="A744" s="36">
        <v>742</v>
      </c>
      <c r="B744" s="37" t="s">
        <v>2262</v>
      </c>
      <c r="C744" s="37" t="s">
        <v>2263</v>
      </c>
      <c r="D744" s="37" t="s">
        <v>1608</v>
      </c>
      <c r="E744" s="37" t="s">
        <v>1163</v>
      </c>
      <c r="F744" s="37" t="s">
        <v>1164</v>
      </c>
      <c r="G744" s="37" t="s">
        <v>1164</v>
      </c>
      <c r="H744" s="37" t="s">
        <v>1164</v>
      </c>
      <c r="I744" s="37" t="s">
        <v>1165</v>
      </c>
      <c r="J744" s="37" t="s">
        <v>1165</v>
      </c>
      <c r="K744" s="37" t="s">
        <v>1165</v>
      </c>
      <c r="L744" s="36">
        <v>3</v>
      </c>
      <c r="M744" s="36">
        <v>3</v>
      </c>
      <c r="N744" s="36">
        <v>3</v>
      </c>
      <c r="O744" s="36">
        <v>5</v>
      </c>
      <c r="P744" s="37" t="s">
        <v>265</v>
      </c>
      <c r="Q744" s="37" t="s">
        <v>2264</v>
      </c>
      <c r="R744" s="37" t="s">
        <v>2265</v>
      </c>
    </row>
    <row r="745" spans="1:18" ht="27.7" hidden="1" thickBot="1" x14ac:dyDescent="0.55000000000000004">
      <c r="A745" s="36">
        <v>743</v>
      </c>
      <c r="B745" s="37" t="s">
        <v>2266</v>
      </c>
      <c r="C745" s="37" t="s">
        <v>1622</v>
      </c>
      <c r="D745" s="37" t="s">
        <v>1623</v>
      </c>
      <c r="E745" s="37" t="s">
        <v>1163</v>
      </c>
      <c r="F745" s="37" t="s">
        <v>1164</v>
      </c>
      <c r="G745" s="37" t="s">
        <v>1164</v>
      </c>
      <c r="H745" s="37" t="s">
        <v>1164</v>
      </c>
      <c r="I745" s="37" t="s">
        <v>1165</v>
      </c>
      <c r="J745" s="37" t="s">
        <v>1165</v>
      </c>
      <c r="K745" s="37" t="s">
        <v>1165</v>
      </c>
      <c r="L745" s="36">
        <v>3</v>
      </c>
      <c r="M745" s="36">
        <v>3</v>
      </c>
      <c r="N745" s="36">
        <v>3</v>
      </c>
      <c r="O745" s="36">
        <v>5</v>
      </c>
      <c r="P745" s="37" t="s">
        <v>265</v>
      </c>
      <c r="Q745" s="37" t="s">
        <v>2267</v>
      </c>
      <c r="R745" s="37" t="s">
        <v>2268</v>
      </c>
    </row>
    <row r="746" spans="1:18" ht="27.7" hidden="1" thickBot="1" x14ac:dyDescent="0.55000000000000004">
      <c r="A746" s="36">
        <v>744</v>
      </c>
      <c r="B746" s="37" t="s">
        <v>1622</v>
      </c>
      <c r="C746" s="37" t="s">
        <v>1622</v>
      </c>
      <c r="D746" s="37" t="s">
        <v>1623</v>
      </c>
      <c r="E746" s="37" t="s">
        <v>1163</v>
      </c>
      <c r="F746" s="37" t="s">
        <v>1164</v>
      </c>
      <c r="G746" s="37" t="s">
        <v>1164</v>
      </c>
      <c r="H746" s="37" t="s">
        <v>1164</v>
      </c>
      <c r="I746" s="37" t="s">
        <v>1165</v>
      </c>
      <c r="J746" s="37" t="s">
        <v>1165</v>
      </c>
      <c r="K746" s="37" t="s">
        <v>1165</v>
      </c>
      <c r="L746" s="36">
        <v>3</v>
      </c>
      <c r="M746" s="36">
        <v>3</v>
      </c>
      <c r="N746" s="36">
        <v>3</v>
      </c>
      <c r="O746" s="36">
        <v>4</v>
      </c>
      <c r="P746" s="37" t="s">
        <v>265</v>
      </c>
      <c r="Q746" s="37" t="s">
        <v>2269</v>
      </c>
      <c r="R746" s="37" t="s">
        <v>2270</v>
      </c>
    </row>
    <row r="747" spans="1:18" ht="27.7" hidden="1" thickBot="1" x14ac:dyDescent="0.55000000000000004">
      <c r="A747" s="36">
        <v>745</v>
      </c>
      <c r="B747" s="37" t="s">
        <v>2271</v>
      </c>
      <c r="C747" s="37" t="s">
        <v>1618</v>
      </c>
      <c r="D747" s="37" t="s">
        <v>1608</v>
      </c>
      <c r="E747" s="37" t="s">
        <v>1163</v>
      </c>
      <c r="F747" s="37" t="s">
        <v>1164</v>
      </c>
      <c r="G747" s="37" t="s">
        <v>1164</v>
      </c>
      <c r="H747" s="37" t="s">
        <v>1164</v>
      </c>
      <c r="I747" s="37" t="s">
        <v>1165</v>
      </c>
      <c r="J747" s="37" t="s">
        <v>1165</v>
      </c>
      <c r="K747" s="37" t="s">
        <v>1165</v>
      </c>
      <c r="L747" s="36">
        <v>4</v>
      </c>
      <c r="M747" s="36">
        <v>4</v>
      </c>
      <c r="N747" s="36">
        <v>4</v>
      </c>
      <c r="O747" s="36">
        <v>6</v>
      </c>
      <c r="P747" s="37" t="s">
        <v>265</v>
      </c>
      <c r="Q747" s="37" t="s">
        <v>2272</v>
      </c>
      <c r="R747" s="37" t="s">
        <v>2273</v>
      </c>
    </row>
    <row r="748" spans="1:18" ht="27.7" hidden="1" thickBot="1" x14ac:dyDescent="0.55000000000000004">
      <c r="A748" s="36">
        <v>746</v>
      </c>
      <c r="B748" s="37" t="s">
        <v>2274</v>
      </c>
      <c r="C748" s="37" t="s">
        <v>1618</v>
      </c>
      <c r="D748" s="37" t="s">
        <v>1608</v>
      </c>
      <c r="E748" s="37" t="s">
        <v>1163</v>
      </c>
      <c r="F748" s="37" t="s">
        <v>1164</v>
      </c>
      <c r="G748" s="37" t="s">
        <v>1164</v>
      </c>
      <c r="H748" s="37" t="s">
        <v>1164</v>
      </c>
      <c r="I748" s="37" t="s">
        <v>1165</v>
      </c>
      <c r="J748" s="37" t="s">
        <v>1165</v>
      </c>
      <c r="K748" s="37" t="s">
        <v>1165</v>
      </c>
      <c r="L748" s="36">
        <v>3</v>
      </c>
      <c r="M748" s="36">
        <v>3</v>
      </c>
      <c r="N748" s="36">
        <v>3</v>
      </c>
      <c r="O748" s="36">
        <v>4</v>
      </c>
      <c r="P748" s="37" t="s">
        <v>265</v>
      </c>
      <c r="Q748" s="37" t="s">
        <v>2275</v>
      </c>
      <c r="R748" s="37" t="s">
        <v>2276</v>
      </c>
    </row>
    <row r="749" spans="1:18" ht="27.7" hidden="1" thickBot="1" x14ac:dyDescent="0.55000000000000004">
      <c r="A749" s="36">
        <v>747</v>
      </c>
      <c r="B749" s="37" t="s">
        <v>2277</v>
      </c>
      <c r="C749" s="37" t="s">
        <v>1607</v>
      </c>
      <c r="D749" s="37" t="s">
        <v>1608</v>
      </c>
      <c r="E749" s="37" t="s">
        <v>1163</v>
      </c>
      <c r="F749" s="37" t="s">
        <v>1164</v>
      </c>
      <c r="G749" s="37" t="s">
        <v>1164</v>
      </c>
      <c r="H749" s="37" t="s">
        <v>1164</v>
      </c>
      <c r="I749" s="37" t="s">
        <v>1165</v>
      </c>
      <c r="J749" s="37" t="s">
        <v>1165</v>
      </c>
      <c r="K749" s="37" t="s">
        <v>1165</v>
      </c>
      <c r="L749" s="36">
        <v>3</v>
      </c>
      <c r="M749" s="36">
        <v>3</v>
      </c>
      <c r="N749" s="36">
        <v>3</v>
      </c>
      <c r="O749" s="36">
        <v>4</v>
      </c>
      <c r="P749" s="37" t="s">
        <v>265</v>
      </c>
      <c r="Q749" s="37" t="s">
        <v>2278</v>
      </c>
      <c r="R749" s="37" t="s">
        <v>2279</v>
      </c>
    </row>
    <row r="750" spans="1:18" ht="27.7" hidden="1" thickBot="1" x14ac:dyDescent="0.55000000000000004">
      <c r="A750" s="36">
        <v>748</v>
      </c>
      <c r="B750" s="37" t="s">
        <v>2280</v>
      </c>
      <c r="C750" s="37" t="s">
        <v>2281</v>
      </c>
      <c r="D750" s="37" t="s">
        <v>1608</v>
      </c>
      <c r="E750" s="37" t="s">
        <v>1163</v>
      </c>
      <c r="F750" s="37" t="s">
        <v>1164</v>
      </c>
      <c r="G750" s="37" t="s">
        <v>1164</v>
      </c>
      <c r="H750" s="37" t="s">
        <v>1164</v>
      </c>
      <c r="I750" s="37" t="s">
        <v>1165</v>
      </c>
      <c r="J750" s="37" t="s">
        <v>1165</v>
      </c>
      <c r="K750" s="37" t="s">
        <v>1165</v>
      </c>
      <c r="L750" s="36">
        <v>3</v>
      </c>
      <c r="M750" s="36">
        <v>3</v>
      </c>
      <c r="N750" s="36">
        <v>3</v>
      </c>
      <c r="O750" s="36">
        <v>4</v>
      </c>
      <c r="P750" s="37" t="s">
        <v>292</v>
      </c>
      <c r="Q750" s="37" t="s">
        <v>2282</v>
      </c>
      <c r="R750" s="37" t="s">
        <v>2283</v>
      </c>
    </row>
    <row r="751" spans="1:18" ht="27.7" hidden="1" thickBot="1" x14ac:dyDescent="0.55000000000000004">
      <c r="A751" s="36">
        <v>749</v>
      </c>
      <c r="B751" s="37" t="s">
        <v>2284</v>
      </c>
      <c r="C751" s="37" t="s">
        <v>2263</v>
      </c>
      <c r="D751" s="37" t="s">
        <v>1608</v>
      </c>
      <c r="E751" s="37" t="s">
        <v>1163</v>
      </c>
      <c r="F751" s="37" t="s">
        <v>1164</v>
      </c>
      <c r="G751" s="37" t="s">
        <v>1164</v>
      </c>
      <c r="H751" s="37" t="s">
        <v>1164</v>
      </c>
      <c r="I751" s="37" t="s">
        <v>1165</v>
      </c>
      <c r="J751" s="37" t="s">
        <v>1165</v>
      </c>
      <c r="K751" s="37" t="s">
        <v>1165</v>
      </c>
      <c r="L751" s="36">
        <v>3</v>
      </c>
      <c r="M751" s="36">
        <v>3</v>
      </c>
      <c r="N751" s="36">
        <v>3</v>
      </c>
      <c r="O751" s="36">
        <v>4</v>
      </c>
      <c r="P751" s="37" t="s">
        <v>292</v>
      </c>
      <c r="Q751" s="37" t="s">
        <v>2285</v>
      </c>
      <c r="R751" s="37" t="s">
        <v>2286</v>
      </c>
    </row>
    <row r="752" spans="1:18" ht="27.7" hidden="1" thickBot="1" x14ac:dyDescent="0.55000000000000004">
      <c r="A752" s="36">
        <v>750</v>
      </c>
      <c r="B752" s="37" t="s">
        <v>2259</v>
      </c>
      <c r="C752" s="37" t="s">
        <v>2263</v>
      </c>
      <c r="D752" s="37" t="s">
        <v>1608</v>
      </c>
      <c r="E752" s="37" t="s">
        <v>1163</v>
      </c>
      <c r="F752" s="37" t="s">
        <v>1164</v>
      </c>
      <c r="G752" s="37" t="s">
        <v>1164</v>
      </c>
      <c r="H752" s="37" t="s">
        <v>1164</v>
      </c>
      <c r="I752" s="37" t="s">
        <v>1165</v>
      </c>
      <c r="J752" s="37" t="s">
        <v>1165</v>
      </c>
      <c r="K752" s="37" t="s">
        <v>1165</v>
      </c>
      <c r="L752" s="36">
        <v>4</v>
      </c>
      <c r="M752" s="36">
        <v>4</v>
      </c>
      <c r="N752" s="36">
        <v>4</v>
      </c>
      <c r="O752" s="36">
        <v>5</v>
      </c>
      <c r="P752" s="37" t="s">
        <v>292</v>
      </c>
      <c r="Q752" s="37" t="s">
        <v>2287</v>
      </c>
      <c r="R752" s="37" t="s">
        <v>2288</v>
      </c>
    </row>
    <row r="753" spans="1:18" ht="27.7" hidden="1" thickBot="1" x14ac:dyDescent="0.55000000000000004">
      <c r="A753" s="36">
        <v>751</v>
      </c>
      <c r="B753" s="37" t="s">
        <v>2289</v>
      </c>
      <c r="C753" s="37" t="s">
        <v>2289</v>
      </c>
      <c r="D753" s="37" t="s">
        <v>1608</v>
      </c>
      <c r="E753" s="37" t="s">
        <v>1163</v>
      </c>
      <c r="F753" s="37" t="s">
        <v>1164</v>
      </c>
      <c r="G753" s="37" t="s">
        <v>1164</v>
      </c>
      <c r="H753" s="37" t="s">
        <v>1164</v>
      </c>
      <c r="I753" s="37" t="s">
        <v>1165</v>
      </c>
      <c r="J753" s="37" t="s">
        <v>1165</v>
      </c>
      <c r="K753" s="37" t="s">
        <v>1165</v>
      </c>
      <c r="L753" s="36">
        <v>3</v>
      </c>
      <c r="M753" s="36">
        <v>3</v>
      </c>
      <c r="N753" s="36">
        <v>3</v>
      </c>
      <c r="O753" s="36">
        <v>4</v>
      </c>
      <c r="P753" s="37" t="s">
        <v>292</v>
      </c>
      <c r="Q753" s="37" t="s">
        <v>2290</v>
      </c>
      <c r="R753" s="37" t="s">
        <v>2291</v>
      </c>
    </row>
    <row r="754" spans="1:18" ht="27.7" hidden="1" thickBot="1" x14ac:dyDescent="0.55000000000000004">
      <c r="A754" s="36">
        <v>752</v>
      </c>
      <c r="B754" s="37" t="s">
        <v>2292</v>
      </c>
      <c r="C754" s="37" t="s">
        <v>2244</v>
      </c>
      <c r="D754" s="37" t="s">
        <v>1608</v>
      </c>
      <c r="E754" s="37" t="s">
        <v>1163</v>
      </c>
      <c r="F754" s="37" t="s">
        <v>1164</v>
      </c>
      <c r="G754" s="37" t="s">
        <v>1164</v>
      </c>
      <c r="H754" s="37" t="s">
        <v>1164</v>
      </c>
      <c r="I754" s="37" t="s">
        <v>2249</v>
      </c>
      <c r="J754" s="37" t="s">
        <v>2249</v>
      </c>
      <c r="K754" s="37" t="s">
        <v>2249</v>
      </c>
      <c r="L754" s="36">
        <v>3</v>
      </c>
      <c r="M754" s="36">
        <v>3</v>
      </c>
      <c r="N754" s="36">
        <v>3</v>
      </c>
      <c r="O754" s="36">
        <v>4</v>
      </c>
      <c r="P754" s="37" t="s">
        <v>292</v>
      </c>
      <c r="Q754" s="37" t="s">
        <v>2293</v>
      </c>
      <c r="R754" s="37" t="s">
        <v>2294</v>
      </c>
    </row>
    <row r="755" spans="1:18" ht="27.7" hidden="1" thickBot="1" x14ac:dyDescent="0.55000000000000004">
      <c r="A755" s="36">
        <v>753</v>
      </c>
      <c r="B755" s="37" t="s">
        <v>2295</v>
      </c>
      <c r="C755" s="37" t="s">
        <v>2296</v>
      </c>
      <c r="D755" s="37" t="s">
        <v>1608</v>
      </c>
      <c r="E755" s="37" t="s">
        <v>1163</v>
      </c>
      <c r="F755" s="37" t="s">
        <v>1164</v>
      </c>
      <c r="G755" s="37" t="s">
        <v>1164</v>
      </c>
      <c r="H755" s="37" t="s">
        <v>1164</v>
      </c>
      <c r="I755" s="37" t="s">
        <v>1165</v>
      </c>
      <c r="J755" s="37" t="s">
        <v>1165</v>
      </c>
      <c r="K755" s="37" t="s">
        <v>1165</v>
      </c>
      <c r="L755" s="36">
        <v>3</v>
      </c>
      <c r="M755" s="36">
        <v>3</v>
      </c>
      <c r="N755" s="36">
        <v>3</v>
      </c>
      <c r="O755" s="36">
        <v>4</v>
      </c>
      <c r="P755" s="37" t="s">
        <v>292</v>
      </c>
      <c r="Q755" s="37" t="s">
        <v>2297</v>
      </c>
      <c r="R755" s="37" t="s">
        <v>2298</v>
      </c>
    </row>
    <row r="756" spans="1:18" ht="27.7" hidden="1" thickBot="1" x14ac:dyDescent="0.55000000000000004">
      <c r="A756" s="36">
        <v>754</v>
      </c>
      <c r="B756" s="37" t="s">
        <v>2299</v>
      </c>
      <c r="C756" s="37" t="s">
        <v>2281</v>
      </c>
      <c r="D756" s="37" t="s">
        <v>1608</v>
      </c>
      <c r="E756" s="37" t="s">
        <v>1163</v>
      </c>
      <c r="F756" s="37" t="s">
        <v>1164</v>
      </c>
      <c r="G756" s="37" t="s">
        <v>1164</v>
      </c>
      <c r="H756" s="37" t="s">
        <v>1164</v>
      </c>
      <c r="I756" s="37" t="s">
        <v>1165</v>
      </c>
      <c r="J756" s="37" t="s">
        <v>1165</v>
      </c>
      <c r="K756" s="37" t="s">
        <v>1165</v>
      </c>
      <c r="L756" s="36">
        <v>2</v>
      </c>
      <c r="M756" s="36">
        <v>2</v>
      </c>
      <c r="N756" s="36">
        <v>2</v>
      </c>
      <c r="O756" s="36">
        <v>3</v>
      </c>
      <c r="P756" s="37" t="s">
        <v>292</v>
      </c>
      <c r="Q756" s="37" t="s">
        <v>2300</v>
      </c>
      <c r="R756" s="37" t="s">
        <v>2301</v>
      </c>
    </row>
    <row r="757" spans="1:18" ht="27.7" hidden="1" thickBot="1" x14ac:dyDescent="0.55000000000000004">
      <c r="A757" s="36">
        <v>755</v>
      </c>
      <c r="B757" s="37" t="s">
        <v>2302</v>
      </c>
      <c r="C757" s="37" t="s">
        <v>1607</v>
      </c>
      <c r="D757" s="37" t="s">
        <v>1608</v>
      </c>
      <c r="E757" s="37" t="s">
        <v>1163</v>
      </c>
      <c r="F757" s="37" t="s">
        <v>1164</v>
      </c>
      <c r="G757" s="37" t="s">
        <v>1164</v>
      </c>
      <c r="H757" s="37" t="s">
        <v>1164</v>
      </c>
      <c r="I757" s="37" t="s">
        <v>1165</v>
      </c>
      <c r="J757" s="37" t="s">
        <v>1165</v>
      </c>
      <c r="K757" s="37" t="s">
        <v>1165</v>
      </c>
      <c r="L757" s="36">
        <v>3</v>
      </c>
      <c r="M757" s="36">
        <v>3</v>
      </c>
      <c r="N757" s="36">
        <v>3</v>
      </c>
      <c r="O757" s="36">
        <v>3</v>
      </c>
      <c r="P757" s="37" t="s">
        <v>265</v>
      </c>
      <c r="Q757" s="37" t="s">
        <v>2303</v>
      </c>
      <c r="R757" s="37" t="s">
        <v>2304</v>
      </c>
    </row>
    <row r="758" spans="1:18" ht="27.7" hidden="1" thickBot="1" x14ac:dyDescent="0.55000000000000004">
      <c r="A758" s="36">
        <v>756</v>
      </c>
      <c r="B758" s="37" t="s">
        <v>2305</v>
      </c>
      <c r="C758" s="37" t="s">
        <v>2306</v>
      </c>
      <c r="D758" s="37" t="s">
        <v>1569</v>
      </c>
      <c r="E758" s="37" t="s">
        <v>1163</v>
      </c>
      <c r="F758" s="37" t="s">
        <v>1164</v>
      </c>
      <c r="G758" s="37" t="s">
        <v>1164</v>
      </c>
      <c r="H758" s="37" t="s">
        <v>1164</v>
      </c>
      <c r="I758" s="37" t="s">
        <v>1165</v>
      </c>
      <c r="J758" s="37" t="s">
        <v>1165</v>
      </c>
      <c r="K758" s="37" t="s">
        <v>1165</v>
      </c>
      <c r="L758" s="36">
        <v>3</v>
      </c>
      <c r="M758" s="36">
        <v>3</v>
      </c>
      <c r="N758" s="36">
        <v>3</v>
      </c>
      <c r="O758" s="36">
        <v>4</v>
      </c>
      <c r="P758" s="37" t="s">
        <v>265</v>
      </c>
      <c r="Q758" s="37" t="s">
        <v>2307</v>
      </c>
      <c r="R758" s="37" t="s">
        <v>2308</v>
      </c>
    </row>
    <row r="759" spans="1:18" ht="27.7" hidden="1" thickBot="1" x14ac:dyDescent="0.55000000000000004">
      <c r="A759" s="36">
        <v>757</v>
      </c>
      <c r="B759" s="37" t="s">
        <v>2309</v>
      </c>
      <c r="C759" s="37" t="s">
        <v>2306</v>
      </c>
      <c r="D759" s="37" t="s">
        <v>1569</v>
      </c>
      <c r="E759" s="37" t="s">
        <v>1163</v>
      </c>
      <c r="F759" s="37" t="s">
        <v>1164</v>
      </c>
      <c r="G759" s="37" t="s">
        <v>1164</v>
      </c>
      <c r="H759" s="37" t="s">
        <v>1164</v>
      </c>
      <c r="I759" s="37" t="s">
        <v>1165</v>
      </c>
      <c r="J759" s="37" t="s">
        <v>1165</v>
      </c>
      <c r="K759" s="37" t="s">
        <v>1165</v>
      </c>
      <c r="L759" s="36">
        <v>3</v>
      </c>
      <c r="M759" s="36">
        <v>3</v>
      </c>
      <c r="N759" s="36">
        <v>3</v>
      </c>
      <c r="O759" s="36">
        <v>4</v>
      </c>
      <c r="P759" s="37" t="s">
        <v>265</v>
      </c>
      <c r="Q759" s="37" t="s">
        <v>2310</v>
      </c>
      <c r="R759" s="37" t="s">
        <v>2311</v>
      </c>
    </row>
    <row r="760" spans="1:18" ht="27.7" hidden="1" thickBot="1" x14ac:dyDescent="0.55000000000000004">
      <c r="A760" s="36">
        <v>758</v>
      </c>
      <c r="B760" s="37" t="s">
        <v>2312</v>
      </c>
      <c r="C760" s="37" t="s">
        <v>2237</v>
      </c>
      <c r="D760" s="37" t="s">
        <v>1608</v>
      </c>
      <c r="E760" s="37" t="s">
        <v>1163</v>
      </c>
      <c r="F760" s="37" t="s">
        <v>1164</v>
      </c>
      <c r="G760" s="37" t="s">
        <v>1164</v>
      </c>
      <c r="H760" s="37" t="s">
        <v>1164</v>
      </c>
      <c r="I760" s="37" t="s">
        <v>1165</v>
      </c>
      <c r="J760" s="37" t="s">
        <v>1165</v>
      </c>
      <c r="K760" s="37" t="s">
        <v>1165</v>
      </c>
      <c r="L760" s="36">
        <v>3</v>
      </c>
      <c r="M760" s="36">
        <v>3</v>
      </c>
      <c r="N760" s="36">
        <v>3</v>
      </c>
      <c r="O760" s="36">
        <v>4</v>
      </c>
      <c r="P760" s="37" t="s">
        <v>265</v>
      </c>
      <c r="Q760" s="37" t="s">
        <v>2313</v>
      </c>
      <c r="R760" s="37" t="s">
        <v>2314</v>
      </c>
    </row>
    <row r="761" spans="1:18" ht="27.7" hidden="1" thickBot="1" x14ac:dyDescent="0.55000000000000004">
      <c r="A761" s="36">
        <v>759</v>
      </c>
      <c r="B761" s="37" t="s">
        <v>2315</v>
      </c>
      <c r="C761" s="37" t="s">
        <v>1608</v>
      </c>
      <c r="D761" s="37" t="s">
        <v>1608</v>
      </c>
      <c r="E761" s="37" t="s">
        <v>1163</v>
      </c>
      <c r="F761" s="37" t="s">
        <v>1164</v>
      </c>
      <c r="G761" s="37" t="s">
        <v>1164</v>
      </c>
      <c r="H761" s="37" t="s">
        <v>1164</v>
      </c>
      <c r="I761" s="37" t="s">
        <v>2249</v>
      </c>
      <c r="J761" s="37" t="s">
        <v>2249</v>
      </c>
      <c r="K761" s="37" t="s">
        <v>2249</v>
      </c>
      <c r="L761" s="36">
        <v>3</v>
      </c>
      <c r="M761" s="36">
        <v>3</v>
      </c>
      <c r="N761" s="36">
        <v>3</v>
      </c>
      <c r="O761" s="36">
        <v>5</v>
      </c>
      <c r="P761" s="37" t="s">
        <v>292</v>
      </c>
      <c r="Q761" s="37" t="s">
        <v>2316</v>
      </c>
      <c r="R761" s="37" t="s">
        <v>2317</v>
      </c>
    </row>
    <row r="762" spans="1:18" ht="27.7" hidden="1" thickBot="1" x14ac:dyDescent="0.55000000000000004">
      <c r="A762" s="36">
        <v>760</v>
      </c>
      <c r="B762" s="37" t="s">
        <v>2318</v>
      </c>
      <c r="C762" s="37" t="s">
        <v>2319</v>
      </c>
      <c r="D762" s="37" t="s">
        <v>1608</v>
      </c>
      <c r="E762" s="37" t="s">
        <v>1163</v>
      </c>
      <c r="F762" s="37" t="s">
        <v>1164</v>
      </c>
      <c r="G762" s="37" t="s">
        <v>1164</v>
      </c>
      <c r="H762" s="37" t="s">
        <v>1164</v>
      </c>
      <c r="I762" s="37" t="s">
        <v>2249</v>
      </c>
      <c r="J762" s="37" t="s">
        <v>1165</v>
      </c>
      <c r="K762" s="37" t="s">
        <v>1165</v>
      </c>
      <c r="L762" s="36">
        <v>2</v>
      </c>
      <c r="M762" s="36">
        <v>2</v>
      </c>
      <c r="N762" s="36">
        <v>2</v>
      </c>
      <c r="O762" s="36">
        <v>4</v>
      </c>
      <c r="P762" s="37" t="s">
        <v>292</v>
      </c>
      <c r="Q762" s="37" t="s">
        <v>2320</v>
      </c>
      <c r="R762" s="37" t="s">
        <v>2321</v>
      </c>
    </row>
    <row r="763" spans="1:18" ht="27.7" hidden="1" thickBot="1" x14ac:dyDescent="0.55000000000000004">
      <c r="A763" s="36">
        <v>761</v>
      </c>
      <c r="B763" s="37" t="s">
        <v>2322</v>
      </c>
      <c r="C763" s="37" t="s">
        <v>2237</v>
      </c>
      <c r="D763" s="37" t="s">
        <v>1608</v>
      </c>
      <c r="E763" s="37" t="s">
        <v>1163</v>
      </c>
      <c r="F763" s="37" t="s">
        <v>1164</v>
      </c>
      <c r="G763" s="37" t="s">
        <v>1164</v>
      </c>
      <c r="H763" s="37" t="s">
        <v>2079</v>
      </c>
      <c r="I763" s="37" t="s">
        <v>1165</v>
      </c>
      <c r="J763" s="37" t="s">
        <v>1165</v>
      </c>
      <c r="K763" s="37" t="s">
        <v>2077</v>
      </c>
      <c r="L763" s="36">
        <v>4</v>
      </c>
      <c r="M763" s="36">
        <v>4</v>
      </c>
      <c r="N763" s="36">
        <v>4</v>
      </c>
      <c r="O763" s="36">
        <v>4</v>
      </c>
      <c r="P763" s="37" t="s">
        <v>265</v>
      </c>
      <c r="Q763" s="37" t="s">
        <v>2323</v>
      </c>
      <c r="R763" s="37" t="s">
        <v>2324</v>
      </c>
    </row>
    <row r="764" spans="1:18" ht="27.7" hidden="1" thickBot="1" x14ac:dyDescent="0.55000000000000004">
      <c r="A764" s="36">
        <v>762</v>
      </c>
      <c r="B764" s="37" t="s">
        <v>2325</v>
      </c>
      <c r="C764" s="37" t="s">
        <v>2237</v>
      </c>
      <c r="D764" s="37" t="s">
        <v>1608</v>
      </c>
      <c r="E764" s="37" t="s">
        <v>1163</v>
      </c>
      <c r="F764" s="37" t="s">
        <v>1164</v>
      </c>
      <c r="G764" s="37" t="s">
        <v>1164</v>
      </c>
      <c r="H764" s="37" t="s">
        <v>2079</v>
      </c>
      <c r="I764" s="37" t="s">
        <v>1165</v>
      </c>
      <c r="J764" s="37" t="s">
        <v>1165</v>
      </c>
      <c r="K764" s="37" t="s">
        <v>2077</v>
      </c>
      <c r="L764" s="36">
        <v>3</v>
      </c>
      <c r="M764" s="36">
        <v>3</v>
      </c>
      <c r="N764" s="36">
        <v>3</v>
      </c>
      <c r="O764" s="36">
        <v>4</v>
      </c>
      <c r="P764" s="37" t="s">
        <v>265</v>
      </c>
      <c r="Q764" s="37"/>
      <c r="R764" s="37" t="s">
        <v>2326</v>
      </c>
    </row>
    <row r="765" spans="1:18" ht="41.35" hidden="1" thickBot="1" x14ac:dyDescent="0.55000000000000004">
      <c r="A765" s="36">
        <v>763</v>
      </c>
      <c r="B765" s="37" t="s">
        <v>2327</v>
      </c>
      <c r="C765" s="37" t="s">
        <v>2328</v>
      </c>
      <c r="D765" s="37" t="s">
        <v>2178</v>
      </c>
      <c r="E765" s="37" t="s">
        <v>2037</v>
      </c>
      <c r="F765" s="37" t="s">
        <v>1164</v>
      </c>
      <c r="G765" s="37" t="s">
        <v>1164</v>
      </c>
      <c r="H765" s="37" t="s">
        <v>1164</v>
      </c>
      <c r="I765" s="37" t="s">
        <v>1165</v>
      </c>
      <c r="J765" s="37" t="s">
        <v>1165</v>
      </c>
      <c r="K765" s="37" t="s">
        <v>1165</v>
      </c>
      <c r="L765" s="36">
        <v>3</v>
      </c>
      <c r="M765" s="36">
        <v>3</v>
      </c>
      <c r="N765" s="36">
        <v>3</v>
      </c>
      <c r="O765" s="36">
        <v>4</v>
      </c>
      <c r="P765" s="37" t="s">
        <v>265</v>
      </c>
      <c r="Q765" s="37" t="s">
        <v>2329</v>
      </c>
      <c r="R765" s="37" t="s">
        <v>2330</v>
      </c>
    </row>
    <row r="766" spans="1:18" ht="27.7" hidden="1" thickBot="1" x14ac:dyDescent="0.55000000000000004">
      <c r="A766" s="36">
        <v>764</v>
      </c>
      <c r="B766" s="37" t="s">
        <v>2328</v>
      </c>
      <c r="C766" s="37" t="s">
        <v>2328</v>
      </c>
      <c r="D766" s="37" t="s">
        <v>2178</v>
      </c>
      <c r="E766" s="37" t="s">
        <v>2037</v>
      </c>
      <c r="F766" s="37" t="s">
        <v>1164</v>
      </c>
      <c r="G766" s="37" t="s">
        <v>1164</v>
      </c>
      <c r="H766" s="37" t="s">
        <v>1164</v>
      </c>
      <c r="I766" s="37" t="s">
        <v>1165</v>
      </c>
      <c r="J766" s="37" t="s">
        <v>1165</v>
      </c>
      <c r="K766" s="37" t="s">
        <v>1165</v>
      </c>
      <c r="L766" s="36">
        <v>4</v>
      </c>
      <c r="M766" s="36">
        <v>4</v>
      </c>
      <c r="N766" s="36">
        <v>4</v>
      </c>
      <c r="O766" s="36">
        <v>6</v>
      </c>
      <c r="P766" s="37" t="s">
        <v>265</v>
      </c>
      <c r="Q766" s="37"/>
      <c r="R766" s="37" t="s">
        <v>2331</v>
      </c>
    </row>
    <row r="767" spans="1:18" ht="27.7" hidden="1" thickBot="1" x14ac:dyDescent="0.55000000000000004">
      <c r="A767" s="36">
        <v>765</v>
      </c>
      <c r="B767" s="37" t="s">
        <v>2332</v>
      </c>
      <c r="C767" s="37" t="s">
        <v>2328</v>
      </c>
      <c r="D767" s="37" t="s">
        <v>2178</v>
      </c>
      <c r="E767" s="37" t="s">
        <v>2037</v>
      </c>
      <c r="F767" s="37" t="s">
        <v>2134</v>
      </c>
      <c r="G767" s="37" t="s">
        <v>2134</v>
      </c>
      <c r="H767" s="37" t="s">
        <v>2134</v>
      </c>
      <c r="I767" s="37" t="s">
        <v>1165</v>
      </c>
      <c r="J767" s="37" t="s">
        <v>1165</v>
      </c>
      <c r="K767" s="37" t="s">
        <v>1165</v>
      </c>
      <c r="L767" s="36">
        <v>3</v>
      </c>
      <c r="M767" s="36">
        <v>3</v>
      </c>
      <c r="N767" s="36">
        <v>3</v>
      </c>
      <c r="O767" s="36">
        <v>5</v>
      </c>
      <c r="P767" s="37" t="s">
        <v>292</v>
      </c>
      <c r="Q767" s="37"/>
      <c r="R767" s="37" t="s">
        <v>2333</v>
      </c>
    </row>
    <row r="768" spans="1:18" ht="27.7" hidden="1" thickBot="1" x14ac:dyDescent="0.55000000000000004">
      <c r="A768" s="36">
        <v>766</v>
      </c>
      <c r="B768" s="37" t="s">
        <v>2334</v>
      </c>
      <c r="C768" s="37" t="s">
        <v>2335</v>
      </c>
      <c r="D768" s="37" t="s">
        <v>2178</v>
      </c>
      <c r="E768" s="37" t="s">
        <v>2037</v>
      </c>
      <c r="F768" s="37" t="s">
        <v>2134</v>
      </c>
      <c r="G768" s="37" t="s">
        <v>2134</v>
      </c>
      <c r="H768" s="37" t="s">
        <v>2134</v>
      </c>
      <c r="I768" s="37" t="s">
        <v>1165</v>
      </c>
      <c r="J768" s="37" t="s">
        <v>1165</v>
      </c>
      <c r="K768" s="37" t="s">
        <v>1165</v>
      </c>
      <c r="L768" s="36">
        <v>3</v>
      </c>
      <c r="M768" s="36">
        <v>3</v>
      </c>
      <c r="N768" s="36">
        <v>3</v>
      </c>
      <c r="O768" s="36">
        <v>5</v>
      </c>
      <c r="P768" s="37" t="s">
        <v>265</v>
      </c>
      <c r="Q768" s="37"/>
      <c r="R768" s="37" t="s">
        <v>2336</v>
      </c>
    </row>
    <row r="769" spans="1:18" ht="27.7" hidden="1" thickBot="1" x14ac:dyDescent="0.55000000000000004">
      <c r="A769" s="36">
        <v>767</v>
      </c>
      <c r="B769" s="37" t="s">
        <v>2335</v>
      </c>
      <c r="C769" s="37" t="s">
        <v>2335</v>
      </c>
      <c r="D769" s="37" t="s">
        <v>2178</v>
      </c>
      <c r="E769" s="37" t="s">
        <v>2037</v>
      </c>
      <c r="F769" s="37" t="s">
        <v>2134</v>
      </c>
      <c r="G769" s="37" t="s">
        <v>2134</v>
      </c>
      <c r="H769" s="37" t="s">
        <v>2134</v>
      </c>
      <c r="I769" s="37" t="s">
        <v>2337</v>
      </c>
      <c r="J769" s="37" t="s">
        <v>2337</v>
      </c>
      <c r="K769" s="37" t="s">
        <v>2337</v>
      </c>
      <c r="L769" s="36">
        <v>3</v>
      </c>
      <c r="M769" s="36">
        <v>3</v>
      </c>
      <c r="N769" s="36">
        <v>3</v>
      </c>
      <c r="O769" s="36">
        <v>5</v>
      </c>
      <c r="P769" s="37" t="s">
        <v>265</v>
      </c>
      <c r="Q769" s="37"/>
      <c r="R769" s="37" t="s">
        <v>2338</v>
      </c>
    </row>
    <row r="770" spans="1:18" ht="27.7" hidden="1" thickBot="1" x14ac:dyDescent="0.55000000000000004">
      <c r="A770" s="36">
        <v>768</v>
      </c>
      <c r="B770" s="37" t="s">
        <v>2339</v>
      </c>
      <c r="C770" s="37" t="s">
        <v>2335</v>
      </c>
      <c r="D770" s="37" t="s">
        <v>2178</v>
      </c>
      <c r="E770" s="37" t="s">
        <v>2037</v>
      </c>
      <c r="F770" s="37" t="s">
        <v>2134</v>
      </c>
      <c r="G770" s="37" t="s">
        <v>2134</v>
      </c>
      <c r="H770" s="37" t="s">
        <v>2134</v>
      </c>
      <c r="I770" s="37" t="s">
        <v>2337</v>
      </c>
      <c r="J770" s="37" t="s">
        <v>88</v>
      </c>
      <c r="K770" s="37" t="s">
        <v>2188</v>
      </c>
      <c r="L770" s="36">
        <v>3</v>
      </c>
      <c r="M770" s="36">
        <v>3</v>
      </c>
      <c r="N770" s="36">
        <v>3</v>
      </c>
      <c r="O770" s="36">
        <v>5</v>
      </c>
      <c r="P770" s="37" t="s">
        <v>292</v>
      </c>
      <c r="Q770" s="37"/>
      <c r="R770" s="37" t="s">
        <v>2340</v>
      </c>
    </row>
    <row r="771" spans="1:18" ht="27.7" hidden="1" thickBot="1" x14ac:dyDescent="0.55000000000000004">
      <c r="A771" s="36">
        <v>769</v>
      </c>
      <c r="B771" s="37" t="s">
        <v>2341</v>
      </c>
      <c r="C771" s="37" t="s">
        <v>2342</v>
      </c>
      <c r="D771" s="37" t="s">
        <v>2212</v>
      </c>
      <c r="E771" s="37" t="s">
        <v>2037</v>
      </c>
      <c r="F771" s="37" t="s">
        <v>2134</v>
      </c>
      <c r="G771" s="37" t="s">
        <v>2134</v>
      </c>
      <c r="H771" s="37" t="s">
        <v>2134</v>
      </c>
      <c r="I771" s="37" t="s">
        <v>2337</v>
      </c>
      <c r="J771" s="37" t="s">
        <v>88</v>
      </c>
      <c r="K771" s="37" t="s">
        <v>88</v>
      </c>
      <c r="L771" s="36">
        <v>3</v>
      </c>
      <c r="M771" s="36">
        <v>3</v>
      </c>
      <c r="N771" s="36">
        <v>3</v>
      </c>
      <c r="O771" s="36">
        <v>4</v>
      </c>
      <c r="P771" s="37" t="s">
        <v>292</v>
      </c>
      <c r="Q771" s="37"/>
      <c r="R771" s="37" t="s">
        <v>2343</v>
      </c>
    </row>
    <row r="772" spans="1:18" ht="27.7" hidden="1" thickBot="1" x14ac:dyDescent="0.55000000000000004">
      <c r="A772" s="36">
        <v>770</v>
      </c>
      <c r="B772" s="37" t="s">
        <v>2344</v>
      </c>
      <c r="C772" s="37" t="s">
        <v>2342</v>
      </c>
      <c r="D772" s="37" t="s">
        <v>2212</v>
      </c>
      <c r="E772" s="37" t="s">
        <v>2037</v>
      </c>
      <c r="F772" s="37" t="s">
        <v>2134</v>
      </c>
      <c r="G772" s="37" t="s">
        <v>2134</v>
      </c>
      <c r="H772" s="37" t="s">
        <v>2134</v>
      </c>
      <c r="I772" s="37" t="s">
        <v>2337</v>
      </c>
      <c r="J772" s="37" t="s">
        <v>2337</v>
      </c>
      <c r="K772" s="37" t="s">
        <v>2337</v>
      </c>
      <c r="L772" s="36">
        <v>3</v>
      </c>
      <c r="M772" s="36">
        <v>3</v>
      </c>
      <c r="N772" s="36">
        <v>3</v>
      </c>
      <c r="O772" s="36">
        <v>5</v>
      </c>
      <c r="P772" s="37" t="s">
        <v>265</v>
      </c>
      <c r="Q772" s="37"/>
      <c r="R772" s="37" t="s">
        <v>2345</v>
      </c>
    </row>
    <row r="773" spans="1:18" ht="41.35" hidden="1" thickBot="1" x14ac:dyDescent="0.55000000000000004">
      <c r="A773" s="36">
        <v>771</v>
      </c>
      <c r="B773" s="37" t="s">
        <v>2346</v>
      </c>
      <c r="C773" s="37" t="s">
        <v>2342</v>
      </c>
      <c r="D773" s="37" t="s">
        <v>2212</v>
      </c>
      <c r="E773" s="37" t="s">
        <v>2037</v>
      </c>
      <c r="F773" s="37" t="s">
        <v>2134</v>
      </c>
      <c r="G773" s="37" t="s">
        <v>2134</v>
      </c>
      <c r="H773" s="37" t="s">
        <v>2134</v>
      </c>
      <c r="I773" s="37" t="s">
        <v>2337</v>
      </c>
      <c r="J773" s="37" t="s">
        <v>2337</v>
      </c>
      <c r="K773" s="37" t="s">
        <v>2337</v>
      </c>
      <c r="L773" s="36">
        <v>3</v>
      </c>
      <c r="M773" s="36">
        <v>3</v>
      </c>
      <c r="N773" s="36">
        <v>3</v>
      </c>
      <c r="O773" s="36">
        <v>5</v>
      </c>
      <c r="P773" s="37" t="s">
        <v>265</v>
      </c>
      <c r="Q773" s="37" t="s">
        <v>2347</v>
      </c>
      <c r="R773" s="37" t="s">
        <v>2348</v>
      </c>
    </row>
    <row r="774" spans="1:18" ht="27.7" hidden="1" thickBot="1" x14ac:dyDescent="0.55000000000000004">
      <c r="A774" s="36">
        <v>772</v>
      </c>
      <c r="B774" s="37" t="s">
        <v>2349</v>
      </c>
      <c r="C774" s="37" t="s">
        <v>2212</v>
      </c>
      <c r="D774" s="37" t="s">
        <v>2212</v>
      </c>
      <c r="E774" s="37" t="s">
        <v>2037</v>
      </c>
      <c r="F774" s="37" t="s">
        <v>2134</v>
      </c>
      <c r="G774" s="37" t="s">
        <v>2134</v>
      </c>
      <c r="H774" s="37" t="s">
        <v>2134</v>
      </c>
      <c r="I774" s="37" t="s">
        <v>1165</v>
      </c>
      <c r="J774" s="37" t="s">
        <v>1165</v>
      </c>
      <c r="K774" s="37" t="s">
        <v>1165</v>
      </c>
      <c r="L774" s="36">
        <v>3</v>
      </c>
      <c r="M774" s="36">
        <v>3</v>
      </c>
      <c r="N774" s="36">
        <v>3</v>
      </c>
      <c r="O774" s="36">
        <v>5</v>
      </c>
      <c r="P774" s="37" t="s">
        <v>265</v>
      </c>
      <c r="Q774" s="37" t="s">
        <v>2350</v>
      </c>
      <c r="R774" s="37" t="s">
        <v>2351</v>
      </c>
    </row>
    <row r="775" spans="1:18" ht="27.7" hidden="1" thickBot="1" x14ac:dyDescent="0.55000000000000004">
      <c r="A775" s="36">
        <v>773</v>
      </c>
      <c r="B775" s="37" t="s">
        <v>2352</v>
      </c>
      <c r="C775" s="37" t="s">
        <v>2342</v>
      </c>
      <c r="D775" s="37" t="s">
        <v>2212</v>
      </c>
      <c r="E775" s="37" t="s">
        <v>2037</v>
      </c>
      <c r="F775" s="37" t="s">
        <v>2134</v>
      </c>
      <c r="G775" s="37" t="s">
        <v>2134</v>
      </c>
      <c r="H775" s="37" t="s">
        <v>2134</v>
      </c>
      <c r="I775" s="37" t="s">
        <v>1165</v>
      </c>
      <c r="J775" s="37" t="s">
        <v>1165</v>
      </c>
      <c r="K775" s="37" t="s">
        <v>1165</v>
      </c>
      <c r="L775" s="36">
        <v>3</v>
      </c>
      <c r="M775" s="36">
        <v>3</v>
      </c>
      <c r="N775" s="36">
        <v>3</v>
      </c>
      <c r="O775" s="36">
        <v>4</v>
      </c>
      <c r="P775" s="37" t="s">
        <v>292</v>
      </c>
      <c r="Q775" s="37"/>
      <c r="R775" s="37" t="s">
        <v>2353</v>
      </c>
    </row>
    <row r="776" spans="1:18" ht="55" hidden="1" thickBot="1" x14ac:dyDescent="0.55000000000000004">
      <c r="A776" s="36">
        <v>774</v>
      </c>
      <c r="B776" s="37" t="s">
        <v>2212</v>
      </c>
      <c r="C776" s="37" t="s">
        <v>2212</v>
      </c>
      <c r="D776" s="37" t="s">
        <v>2212</v>
      </c>
      <c r="E776" s="37" t="s">
        <v>2037</v>
      </c>
      <c r="F776" s="37" t="s">
        <v>2134</v>
      </c>
      <c r="G776" s="37" t="s">
        <v>2134</v>
      </c>
      <c r="H776" s="37" t="s">
        <v>2134</v>
      </c>
      <c r="I776" s="37" t="s">
        <v>88</v>
      </c>
      <c r="J776" s="37" t="s">
        <v>88</v>
      </c>
      <c r="K776" s="37" t="s">
        <v>88</v>
      </c>
      <c r="L776" s="36">
        <v>4</v>
      </c>
      <c r="M776" s="36">
        <v>4</v>
      </c>
      <c r="N776" s="36">
        <v>4</v>
      </c>
      <c r="O776" s="36">
        <v>6</v>
      </c>
      <c r="P776" s="37" t="s">
        <v>292</v>
      </c>
      <c r="Q776" s="37" t="s">
        <v>2354</v>
      </c>
      <c r="R776" s="37" t="s">
        <v>2355</v>
      </c>
    </row>
    <row r="777" spans="1:18" ht="41.35" hidden="1" thickBot="1" x14ac:dyDescent="0.55000000000000004">
      <c r="A777" s="36">
        <v>775</v>
      </c>
      <c r="B777" s="37" t="s">
        <v>2356</v>
      </c>
      <c r="C777" s="37" t="s">
        <v>2357</v>
      </c>
      <c r="D777" s="37" t="s">
        <v>2212</v>
      </c>
      <c r="E777" s="37" t="s">
        <v>2037</v>
      </c>
      <c r="F777" s="37" t="s">
        <v>2134</v>
      </c>
      <c r="G777" s="37" t="s">
        <v>2134</v>
      </c>
      <c r="H777" s="37" t="s">
        <v>2134</v>
      </c>
      <c r="I777" s="37" t="s">
        <v>1165</v>
      </c>
      <c r="J777" s="37" t="s">
        <v>88</v>
      </c>
      <c r="K777" s="37" t="s">
        <v>88</v>
      </c>
      <c r="L777" s="36">
        <v>3</v>
      </c>
      <c r="M777" s="36">
        <v>3</v>
      </c>
      <c r="N777" s="36">
        <v>3</v>
      </c>
      <c r="O777" s="36">
        <v>5</v>
      </c>
      <c r="P777" s="37" t="s">
        <v>265</v>
      </c>
      <c r="Q777" s="37" t="s">
        <v>2358</v>
      </c>
      <c r="R777" s="37" t="s">
        <v>2359</v>
      </c>
    </row>
    <row r="778" spans="1:18" ht="27.7" hidden="1" thickBot="1" x14ac:dyDescent="0.55000000000000004">
      <c r="A778" s="36">
        <v>776</v>
      </c>
      <c r="B778" s="37" t="s">
        <v>2360</v>
      </c>
      <c r="C778" s="37" t="s">
        <v>2212</v>
      </c>
      <c r="D778" s="37" t="s">
        <v>2212</v>
      </c>
      <c r="E778" s="37" t="s">
        <v>2037</v>
      </c>
      <c r="F778" s="37" t="s">
        <v>2134</v>
      </c>
      <c r="G778" s="37" t="s">
        <v>2134</v>
      </c>
      <c r="H778" s="37" t="s">
        <v>2134</v>
      </c>
      <c r="I778" s="37" t="s">
        <v>88</v>
      </c>
      <c r="J778" s="37" t="s">
        <v>88</v>
      </c>
      <c r="K778" s="37" t="s">
        <v>88</v>
      </c>
      <c r="L778" s="36">
        <v>3</v>
      </c>
      <c r="M778" s="36">
        <v>3</v>
      </c>
      <c r="N778" s="36">
        <v>3</v>
      </c>
      <c r="O778" s="36">
        <v>3</v>
      </c>
      <c r="P778" s="37" t="s">
        <v>292</v>
      </c>
      <c r="Q778" s="37" t="s">
        <v>2361</v>
      </c>
      <c r="R778" s="37" t="s">
        <v>2362</v>
      </c>
    </row>
    <row r="779" spans="1:18" ht="27.7" hidden="1" thickBot="1" x14ac:dyDescent="0.55000000000000004">
      <c r="A779" s="36">
        <v>777</v>
      </c>
      <c r="B779" s="37" t="s">
        <v>2363</v>
      </c>
      <c r="C779" s="37" t="s">
        <v>2211</v>
      </c>
      <c r="D779" s="37" t="s">
        <v>2212</v>
      </c>
      <c r="E779" s="37" t="s">
        <v>2037</v>
      </c>
      <c r="F779" s="37" t="s">
        <v>2134</v>
      </c>
      <c r="G779" s="37" t="s">
        <v>2134</v>
      </c>
      <c r="H779" s="37" t="s">
        <v>2134</v>
      </c>
      <c r="I779" s="37" t="s">
        <v>88</v>
      </c>
      <c r="J779" s="37" t="s">
        <v>88</v>
      </c>
      <c r="K779" s="37" t="s">
        <v>88</v>
      </c>
      <c r="L779" s="36">
        <v>2</v>
      </c>
      <c r="M779" s="36">
        <v>2</v>
      </c>
      <c r="N779" s="36">
        <v>2</v>
      </c>
      <c r="O779" s="36">
        <v>3</v>
      </c>
      <c r="P779" s="37" t="s">
        <v>292</v>
      </c>
      <c r="Q779" s="37" t="s">
        <v>2364</v>
      </c>
      <c r="R779" s="37" t="s">
        <v>2365</v>
      </c>
    </row>
    <row r="780" spans="1:18" ht="27.7" hidden="1" thickBot="1" x14ac:dyDescent="0.55000000000000004">
      <c r="A780" s="36">
        <v>778</v>
      </c>
      <c r="B780" s="37" t="s">
        <v>2366</v>
      </c>
      <c r="C780" s="37" t="s">
        <v>2211</v>
      </c>
      <c r="D780" s="37" t="s">
        <v>2212</v>
      </c>
      <c r="E780" s="37" t="s">
        <v>2037</v>
      </c>
      <c r="F780" s="37" t="s">
        <v>2134</v>
      </c>
      <c r="G780" s="37" t="s">
        <v>2134</v>
      </c>
      <c r="H780" s="37" t="s">
        <v>2134</v>
      </c>
      <c r="I780" s="37" t="s">
        <v>88</v>
      </c>
      <c r="J780" s="37" t="s">
        <v>88</v>
      </c>
      <c r="K780" s="37" t="s">
        <v>88</v>
      </c>
      <c r="L780" s="36">
        <v>2</v>
      </c>
      <c r="M780" s="36">
        <v>2</v>
      </c>
      <c r="N780" s="36">
        <v>2</v>
      </c>
      <c r="O780" s="36">
        <v>4</v>
      </c>
      <c r="P780" s="37" t="s">
        <v>292</v>
      </c>
      <c r="Q780" s="37" t="s">
        <v>2367</v>
      </c>
      <c r="R780" s="37" t="s">
        <v>2368</v>
      </c>
    </row>
    <row r="781" spans="1:18" ht="55" hidden="1" thickBot="1" x14ac:dyDescent="0.55000000000000004">
      <c r="A781" s="36">
        <v>779</v>
      </c>
      <c r="B781" s="37" t="s">
        <v>2369</v>
      </c>
      <c r="C781" s="37" t="s">
        <v>2357</v>
      </c>
      <c r="D781" s="37" t="s">
        <v>2212</v>
      </c>
      <c r="E781" s="37" t="s">
        <v>2037</v>
      </c>
      <c r="F781" s="37" t="s">
        <v>2134</v>
      </c>
      <c r="G781" s="37" t="s">
        <v>2134</v>
      </c>
      <c r="H781" s="37" t="s">
        <v>2134</v>
      </c>
      <c r="I781" s="37" t="s">
        <v>88</v>
      </c>
      <c r="J781" s="37" t="s">
        <v>88</v>
      </c>
      <c r="K781" s="37" t="s">
        <v>88</v>
      </c>
      <c r="L781" s="36">
        <v>2</v>
      </c>
      <c r="M781" s="36">
        <v>2</v>
      </c>
      <c r="N781" s="36">
        <v>2</v>
      </c>
      <c r="O781" s="36">
        <v>3</v>
      </c>
      <c r="P781" s="37" t="s">
        <v>292</v>
      </c>
      <c r="Q781" s="37" t="s">
        <v>2370</v>
      </c>
      <c r="R781" s="37" t="s">
        <v>2371</v>
      </c>
    </row>
    <row r="782" spans="1:18" ht="27.7" hidden="1" thickBot="1" x14ac:dyDescent="0.55000000000000004">
      <c r="A782" s="36">
        <v>780</v>
      </c>
      <c r="B782" s="37" t="s">
        <v>2357</v>
      </c>
      <c r="C782" s="37" t="s">
        <v>2357</v>
      </c>
      <c r="D782" s="37" t="s">
        <v>2212</v>
      </c>
      <c r="E782" s="37" t="s">
        <v>2037</v>
      </c>
      <c r="F782" s="37" t="s">
        <v>2134</v>
      </c>
      <c r="G782" s="37" t="s">
        <v>2134</v>
      </c>
      <c r="H782" s="37" t="s">
        <v>2134</v>
      </c>
      <c r="I782" s="37" t="s">
        <v>1165</v>
      </c>
      <c r="J782" s="37" t="s">
        <v>88</v>
      </c>
      <c r="K782" s="37" t="s">
        <v>88</v>
      </c>
      <c r="L782" s="36">
        <v>3</v>
      </c>
      <c r="M782" s="36">
        <v>3</v>
      </c>
      <c r="N782" s="36">
        <v>3</v>
      </c>
      <c r="O782" s="36">
        <v>5</v>
      </c>
      <c r="P782" s="37" t="s">
        <v>265</v>
      </c>
      <c r="Q782" s="37" t="s">
        <v>2372</v>
      </c>
      <c r="R782" s="37" t="s">
        <v>2373</v>
      </c>
    </row>
    <row r="783" spans="1:18" ht="27.7" hidden="1" thickBot="1" x14ac:dyDescent="0.55000000000000004">
      <c r="A783" s="36">
        <v>781</v>
      </c>
      <c r="B783" s="37" t="s">
        <v>2374</v>
      </c>
      <c r="C783" s="37" t="s">
        <v>2357</v>
      </c>
      <c r="D783" s="37" t="s">
        <v>2212</v>
      </c>
      <c r="E783" s="37" t="s">
        <v>2037</v>
      </c>
      <c r="F783" s="37" t="s">
        <v>2134</v>
      </c>
      <c r="G783" s="37" t="s">
        <v>2134</v>
      </c>
      <c r="H783" s="37" t="s">
        <v>2134</v>
      </c>
      <c r="I783" s="37" t="s">
        <v>1165</v>
      </c>
      <c r="J783" s="37" t="s">
        <v>88</v>
      </c>
      <c r="K783" s="37" t="s">
        <v>88</v>
      </c>
      <c r="L783" s="36">
        <v>3</v>
      </c>
      <c r="M783" s="36">
        <v>3</v>
      </c>
      <c r="N783" s="36">
        <v>3</v>
      </c>
      <c r="O783" s="36">
        <v>3</v>
      </c>
      <c r="P783" s="37" t="s">
        <v>265</v>
      </c>
      <c r="Q783" s="37"/>
      <c r="R783" s="37" t="s">
        <v>2375</v>
      </c>
    </row>
    <row r="784" spans="1:18" ht="27.7" hidden="1" thickBot="1" x14ac:dyDescent="0.55000000000000004">
      <c r="A784" s="36">
        <v>782</v>
      </c>
      <c r="B784" s="37" t="s">
        <v>2376</v>
      </c>
      <c r="C784" s="37" t="s">
        <v>2211</v>
      </c>
      <c r="D784" s="37" t="s">
        <v>2212</v>
      </c>
      <c r="E784" s="37" t="s">
        <v>2037</v>
      </c>
      <c r="F784" s="37" t="s">
        <v>2134</v>
      </c>
      <c r="G784" s="37" t="s">
        <v>2134</v>
      </c>
      <c r="H784" s="37" t="s">
        <v>2134</v>
      </c>
      <c r="I784" s="37" t="s">
        <v>88</v>
      </c>
      <c r="J784" s="37" t="s">
        <v>88</v>
      </c>
      <c r="K784" s="37" t="s">
        <v>88</v>
      </c>
      <c r="L784" s="36">
        <v>1</v>
      </c>
      <c r="M784" s="36">
        <v>1</v>
      </c>
      <c r="N784" s="36">
        <v>1</v>
      </c>
      <c r="O784" s="36">
        <v>2</v>
      </c>
      <c r="P784" s="37" t="s">
        <v>292</v>
      </c>
      <c r="Q784" s="37"/>
      <c r="R784" s="37" t="s">
        <v>2377</v>
      </c>
    </row>
    <row r="785" spans="1:18" ht="27.7" hidden="1" thickBot="1" x14ac:dyDescent="0.55000000000000004">
      <c r="A785" s="36">
        <v>783</v>
      </c>
      <c r="B785" s="37" t="s">
        <v>2378</v>
      </c>
      <c r="C785" s="37" t="s">
        <v>2036</v>
      </c>
      <c r="D785" s="37" t="s">
        <v>2036</v>
      </c>
      <c r="E785" s="37" t="s">
        <v>2037</v>
      </c>
      <c r="F785" s="37" t="s">
        <v>2134</v>
      </c>
      <c r="G785" s="37" t="s">
        <v>2134</v>
      </c>
      <c r="H785" s="37" t="s">
        <v>2134</v>
      </c>
      <c r="I785" s="37" t="s">
        <v>88</v>
      </c>
      <c r="J785" s="37" t="s">
        <v>88</v>
      </c>
      <c r="K785" s="37" t="s">
        <v>88</v>
      </c>
      <c r="L785" s="36">
        <v>3</v>
      </c>
      <c r="M785" s="36">
        <v>3</v>
      </c>
      <c r="N785" s="36">
        <v>3</v>
      </c>
      <c r="O785" s="36">
        <v>4</v>
      </c>
      <c r="P785" s="37" t="s">
        <v>292</v>
      </c>
      <c r="Q785" s="37"/>
      <c r="R785" s="37" t="s">
        <v>2379</v>
      </c>
    </row>
    <row r="786" spans="1:18" ht="27.7" hidden="1" thickBot="1" x14ac:dyDescent="0.55000000000000004">
      <c r="A786" s="36">
        <v>784</v>
      </c>
      <c r="B786" s="37" t="s">
        <v>2380</v>
      </c>
      <c r="C786" s="37" t="s">
        <v>2123</v>
      </c>
      <c r="D786" s="37" t="s">
        <v>1998</v>
      </c>
      <c r="E786" s="37" t="s">
        <v>1064</v>
      </c>
      <c r="F786" s="37" t="s">
        <v>2050</v>
      </c>
      <c r="G786" s="37" t="s">
        <v>2050</v>
      </c>
      <c r="H786" s="37" t="s">
        <v>2050</v>
      </c>
      <c r="I786" s="37" t="s">
        <v>1964</v>
      </c>
      <c r="J786" s="37" t="s">
        <v>1964</v>
      </c>
      <c r="K786" s="37" t="s">
        <v>88</v>
      </c>
      <c r="L786" s="36">
        <v>2</v>
      </c>
      <c r="M786" s="36">
        <v>2</v>
      </c>
      <c r="N786" s="36">
        <v>2</v>
      </c>
      <c r="O786" s="36">
        <v>3</v>
      </c>
      <c r="P786" s="37" t="s">
        <v>292</v>
      </c>
      <c r="Q786" s="37"/>
      <c r="R786" s="37" t="s">
        <v>2381</v>
      </c>
    </row>
    <row r="787" spans="1:18" ht="27.7" hidden="1" thickBot="1" x14ac:dyDescent="0.55000000000000004">
      <c r="A787" s="36">
        <v>785</v>
      </c>
      <c r="B787" s="37" t="s">
        <v>2382</v>
      </c>
      <c r="C787" s="37" t="s">
        <v>2382</v>
      </c>
      <c r="D787" s="37" t="s">
        <v>2383</v>
      </c>
      <c r="E787" s="37" t="s">
        <v>2037</v>
      </c>
      <c r="F787" s="37" t="s">
        <v>2134</v>
      </c>
      <c r="G787" s="37" t="s">
        <v>2134</v>
      </c>
      <c r="H787" s="37" t="s">
        <v>2134</v>
      </c>
      <c r="I787" s="37" t="s">
        <v>88</v>
      </c>
      <c r="J787" s="37" t="s">
        <v>88</v>
      </c>
      <c r="K787" s="37" t="s">
        <v>2032</v>
      </c>
      <c r="L787" s="36">
        <v>1</v>
      </c>
      <c r="M787" s="36">
        <v>1</v>
      </c>
      <c r="N787" s="36">
        <v>1</v>
      </c>
      <c r="O787" s="36">
        <v>2</v>
      </c>
      <c r="P787" s="37" t="s">
        <v>265</v>
      </c>
      <c r="Q787" s="37"/>
      <c r="R787" s="37" t="s">
        <v>2384</v>
      </c>
    </row>
    <row r="788" spans="1:18" ht="27.7" hidden="1" thickBot="1" x14ac:dyDescent="0.55000000000000004">
      <c r="A788" s="36">
        <v>786</v>
      </c>
      <c r="B788" s="37" t="s">
        <v>2385</v>
      </c>
      <c r="C788" s="37" t="s">
        <v>2382</v>
      </c>
      <c r="D788" s="37" t="s">
        <v>2383</v>
      </c>
      <c r="E788" s="37" t="s">
        <v>2037</v>
      </c>
      <c r="F788" s="37" t="s">
        <v>2134</v>
      </c>
      <c r="G788" s="37" t="s">
        <v>2134</v>
      </c>
      <c r="H788" s="37" t="s">
        <v>2134</v>
      </c>
      <c r="I788" s="37" t="s">
        <v>88</v>
      </c>
      <c r="J788" s="37" t="s">
        <v>88</v>
      </c>
      <c r="K788" s="37" t="s">
        <v>88</v>
      </c>
      <c r="L788" s="36">
        <v>1</v>
      </c>
      <c r="M788" s="36">
        <v>1</v>
      </c>
      <c r="N788" s="36">
        <v>1</v>
      </c>
      <c r="O788" s="36">
        <v>3</v>
      </c>
      <c r="P788" s="37" t="s">
        <v>265</v>
      </c>
      <c r="Q788" s="37"/>
      <c r="R788" s="37" t="s">
        <v>2386</v>
      </c>
    </row>
    <row r="789" spans="1:18" ht="27.7" hidden="1" thickBot="1" x14ac:dyDescent="0.55000000000000004">
      <c r="A789" s="36">
        <v>787</v>
      </c>
      <c r="B789" s="37" t="s">
        <v>2387</v>
      </c>
      <c r="C789" s="37" t="s">
        <v>2382</v>
      </c>
      <c r="D789" s="37" t="s">
        <v>2383</v>
      </c>
      <c r="E789" s="37" t="s">
        <v>2037</v>
      </c>
      <c r="F789" s="37" t="s">
        <v>2134</v>
      </c>
      <c r="G789" s="37" t="s">
        <v>2134</v>
      </c>
      <c r="H789" s="37" t="s">
        <v>2134</v>
      </c>
      <c r="I789" s="37" t="s">
        <v>2077</v>
      </c>
      <c r="J789" s="37" t="s">
        <v>88</v>
      </c>
      <c r="K789" s="37" t="s">
        <v>2032</v>
      </c>
      <c r="L789" s="36">
        <v>1</v>
      </c>
      <c r="M789" s="36">
        <v>1</v>
      </c>
      <c r="N789" s="36">
        <v>1</v>
      </c>
      <c r="O789" s="36">
        <v>2</v>
      </c>
      <c r="P789" s="37" t="s">
        <v>265</v>
      </c>
      <c r="Q789" s="37"/>
      <c r="R789" s="37" t="s">
        <v>2388</v>
      </c>
    </row>
    <row r="790" spans="1:18" ht="27.7" hidden="1" thickBot="1" x14ac:dyDescent="0.55000000000000004">
      <c r="A790" s="36">
        <v>788</v>
      </c>
      <c r="B790" s="37" t="s">
        <v>2389</v>
      </c>
      <c r="C790" s="37" t="s">
        <v>2382</v>
      </c>
      <c r="D790" s="37" t="s">
        <v>2383</v>
      </c>
      <c r="E790" s="37" t="s">
        <v>2037</v>
      </c>
      <c r="F790" s="37" t="s">
        <v>2134</v>
      </c>
      <c r="G790" s="37" t="s">
        <v>2134</v>
      </c>
      <c r="H790" s="37" t="s">
        <v>2134</v>
      </c>
      <c r="I790" s="37" t="s">
        <v>2077</v>
      </c>
      <c r="J790" s="37" t="s">
        <v>88</v>
      </c>
      <c r="K790" s="37" t="s">
        <v>2032</v>
      </c>
      <c r="L790" s="36">
        <v>2</v>
      </c>
      <c r="M790" s="36">
        <v>2</v>
      </c>
      <c r="N790" s="36">
        <v>2</v>
      </c>
      <c r="O790" s="36">
        <v>3</v>
      </c>
      <c r="P790" s="37" t="s">
        <v>265</v>
      </c>
      <c r="Q790" s="37"/>
      <c r="R790" s="37" t="s">
        <v>2390</v>
      </c>
    </row>
    <row r="791" spans="1:18" ht="27.7" hidden="1" thickBot="1" x14ac:dyDescent="0.55000000000000004">
      <c r="A791" s="36">
        <v>789</v>
      </c>
      <c r="B791" s="37" t="s">
        <v>2391</v>
      </c>
      <c r="C791" s="37" t="s">
        <v>2392</v>
      </c>
      <c r="D791" s="37" t="s">
        <v>2383</v>
      </c>
      <c r="E791" s="37" t="s">
        <v>2037</v>
      </c>
      <c r="F791" s="37" t="s">
        <v>2393</v>
      </c>
      <c r="G791" s="37" t="s">
        <v>2393</v>
      </c>
      <c r="H791" s="37" t="s">
        <v>2393</v>
      </c>
      <c r="I791" s="37" t="s">
        <v>2077</v>
      </c>
      <c r="J791" s="37" t="s">
        <v>2077</v>
      </c>
      <c r="K791" s="37" t="s">
        <v>2032</v>
      </c>
      <c r="L791" s="36">
        <v>4</v>
      </c>
      <c r="M791" s="36">
        <v>4</v>
      </c>
      <c r="N791" s="36">
        <v>4</v>
      </c>
      <c r="O791" s="36">
        <v>5</v>
      </c>
      <c r="P791" s="37" t="s">
        <v>265</v>
      </c>
      <c r="Q791" s="37"/>
      <c r="R791" s="37" t="s">
        <v>2394</v>
      </c>
    </row>
    <row r="792" spans="1:18" ht="27.7" hidden="1" thickBot="1" x14ac:dyDescent="0.55000000000000004">
      <c r="A792" s="36">
        <v>790</v>
      </c>
      <c r="B792" s="37" t="s">
        <v>2395</v>
      </c>
      <c r="C792" s="37" t="s">
        <v>2396</v>
      </c>
      <c r="D792" s="37" t="s">
        <v>2383</v>
      </c>
      <c r="E792" s="37" t="s">
        <v>2037</v>
      </c>
      <c r="F792" s="37" t="s">
        <v>2393</v>
      </c>
      <c r="G792" s="37" t="s">
        <v>2393</v>
      </c>
      <c r="H792" s="37" t="s">
        <v>2393</v>
      </c>
      <c r="I792" s="37" t="s">
        <v>2077</v>
      </c>
      <c r="J792" s="37" t="s">
        <v>2077</v>
      </c>
      <c r="K792" s="37" t="s">
        <v>2077</v>
      </c>
      <c r="L792" s="36">
        <v>4</v>
      </c>
      <c r="M792" s="36">
        <v>4</v>
      </c>
      <c r="N792" s="36">
        <v>4</v>
      </c>
      <c r="O792" s="36">
        <v>5</v>
      </c>
      <c r="P792" s="37" t="s">
        <v>265</v>
      </c>
      <c r="Q792" s="37"/>
      <c r="R792" s="37" t="s">
        <v>2397</v>
      </c>
    </row>
    <row r="793" spans="1:18" ht="27.7" hidden="1" thickBot="1" x14ac:dyDescent="0.55000000000000004">
      <c r="A793" s="36">
        <v>791</v>
      </c>
      <c r="B793" s="37" t="s">
        <v>2398</v>
      </c>
      <c r="C793" s="37" t="s">
        <v>2399</v>
      </c>
      <c r="D793" s="37" t="s">
        <v>2383</v>
      </c>
      <c r="E793" s="37" t="s">
        <v>2037</v>
      </c>
      <c r="F793" s="37" t="s">
        <v>2400</v>
      </c>
      <c r="G793" s="37" t="s">
        <v>2400</v>
      </c>
      <c r="H793" s="37" t="s">
        <v>2400</v>
      </c>
      <c r="I793" s="37" t="s">
        <v>2077</v>
      </c>
      <c r="J793" s="37" t="s">
        <v>2077</v>
      </c>
      <c r="K793" s="37" t="s">
        <v>2077</v>
      </c>
      <c r="L793" s="36">
        <v>3</v>
      </c>
      <c r="M793" s="36">
        <v>3</v>
      </c>
      <c r="N793" s="36">
        <v>3</v>
      </c>
      <c r="O793" s="36">
        <v>4</v>
      </c>
      <c r="P793" s="37" t="s">
        <v>265</v>
      </c>
      <c r="Q793" s="37"/>
      <c r="R793" s="37" t="s">
        <v>2401</v>
      </c>
    </row>
    <row r="794" spans="1:18" ht="27.7" hidden="1" thickBot="1" x14ac:dyDescent="0.55000000000000004">
      <c r="A794" s="36">
        <v>792</v>
      </c>
      <c r="B794" s="37" t="s">
        <v>2402</v>
      </c>
      <c r="C794" s="37" t="s">
        <v>2403</v>
      </c>
      <c r="D794" s="37" t="s">
        <v>2402</v>
      </c>
      <c r="E794" s="37" t="s">
        <v>2404</v>
      </c>
      <c r="F794" s="37" t="s">
        <v>2405</v>
      </c>
      <c r="G794" s="37" t="s">
        <v>2405</v>
      </c>
      <c r="H794" s="37" t="s">
        <v>2405</v>
      </c>
      <c r="I794" s="37" t="s">
        <v>2077</v>
      </c>
      <c r="J794" s="37" t="s">
        <v>2077</v>
      </c>
      <c r="K794" s="37" t="s">
        <v>2077</v>
      </c>
      <c r="L794" s="36">
        <v>1</v>
      </c>
      <c r="M794" s="36">
        <v>1</v>
      </c>
      <c r="N794" s="36">
        <v>1</v>
      </c>
      <c r="O794" s="36">
        <v>3</v>
      </c>
      <c r="P794" s="37" t="s">
        <v>292</v>
      </c>
      <c r="Q794" s="37"/>
      <c r="R794" s="37" t="s">
        <v>2406</v>
      </c>
    </row>
    <row r="795" spans="1:18" ht="27.7" hidden="1" thickBot="1" x14ac:dyDescent="0.55000000000000004">
      <c r="A795" s="36">
        <v>793</v>
      </c>
      <c r="B795" s="37" t="s">
        <v>2407</v>
      </c>
      <c r="C795" s="37" t="s">
        <v>2407</v>
      </c>
      <c r="D795" s="37" t="s">
        <v>2402</v>
      </c>
      <c r="E795" s="37" t="s">
        <v>2404</v>
      </c>
      <c r="F795" s="37" t="s">
        <v>2405</v>
      </c>
      <c r="G795" s="37" t="s">
        <v>2405</v>
      </c>
      <c r="H795" s="37" t="s">
        <v>2405</v>
      </c>
      <c r="I795" s="37" t="s">
        <v>2077</v>
      </c>
      <c r="J795" s="37" t="s">
        <v>2077</v>
      </c>
      <c r="K795" s="37" t="s">
        <v>2077</v>
      </c>
      <c r="L795" s="36">
        <v>4</v>
      </c>
      <c r="M795" s="36">
        <v>4</v>
      </c>
      <c r="N795" s="36">
        <v>4</v>
      </c>
      <c r="O795" s="36">
        <v>6</v>
      </c>
      <c r="P795" s="37" t="s">
        <v>292</v>
      </c>
      <c r="Q795" s="37"/>
      <c r="R795" s="37" t="s">
        <v>2408</v>
      </c>
    </row>
    <row r="796" spans="1:18" ht="27.7" hidden="1" thickBot="1" x14ac:dyDescent="0.55000000000000004">
      <c r="A796" s="36">
        <v>794</v>
      </c>
      <c r="B796" s="37" t="s">
        <v>2399</v>
      </c>
      <c r="C796" s="37" t="s">
        <v>2399</v>
      </c>
      <c r="D796" s="37" t="s">
        <v>2383</v>
      </c>
      <c r="E796" s="37" t="s">
        <v>2037</v>
      </c>
      <c r="F796" s="37" t="s">
        <v>2400</v>
      </c>
      <c r="G796" s="37" t="s">
        <v>2400</v>
      </c>
      <c r="H796" s="37" t="s">
        <v>2400</v>
      </c>
      <c r="I796" s="37" t="s">
        <v>2077</v>
      </c>
      <c r="J796" s="37" t="s">
        <v>2077</v>
      </c>
      <c r="K796" s="37" t="s">
        <v>2077</v>
      </c>
      <c r="L796" s="36">
        <v>4</v>
      </c>
      <c r="M796" s="36">
        <v>4</v>
      </c>
      <c r="N796" s="36">
        <v>4</v>
      </c>
      <c r="O796" s="36">
        <v>5</v>
      </c>
      <c r="P796" s="37" t="s">
        <v>265</v>
      </c>
      <c r="Q796" s="37"/>
      <c r="R796" s="37" t="s">
        <v>2409</v>
      </c>
    </row>
    <row r="797" spans="1:18" ht="27.7" hidden="1" thickBot="1" x14ac:dyDescent="0.55000000000000004">
      <c r="A797" s="36">
        <v>795</v>
      </c>
      <c r="B797" s="37" t="s">
        <v>2410</v>
      </c>
      <c r="C797" s="37" t="s">
        <v>2410</v>
      </c>
      <c r="D797" s="37" t="s">
        <v>2383</v>
      </c>
      <c r="E797" s="37" t="s">
        <v>2037</v>
      </c>
      <c r="F797" s="37" t="s">
        <v>2400</v>
      </c>
      <c r="G797" s="37" t="s">
        <v>2400</v>
      </c>
      <c r="H797" s="37" t="s">
        <v>2400</v>
      </c>
      <c r="I797" s="37" t="s">
        <v>2077</v>
      </c>
      <c r="J797" s="37" t="s">
        <v>2077</v>
      </c>
      <c r="K797" s="37" t="s">
        <v>2077</v>
      </c>
      <c r="L797" s="36">
        <v>4</v>
      </c>
      <c r="M797" s="36">
        <v>4</v>
      </c>
      <c r="N797" s="36">
        <v>4</v>
      </c>
      <c r="O797" s="36">
        <v>4</v>
      </c>
      <c r="P797" s="37" t="s">
        <v>292</v>
      </c>
      <c r="Q797" s="37"/>
      <c r="R797" s="37" t="s">
        <v>2411</v>
      </c>
    </row>
    <row r="798" spans="1:18" ht="27.7" hidden="1" thickBot="1" x14ac:dyDescent="0.55000000000000004">
      <c r="A798" s="36">
        <v>796</v>
      </c>
      <c r="B798" s="37" t="s">
        <v>2396</v>
      </c>
      <c r="C798" s="37" t="s">
        <v>2396</v>
      </c>
      <c r="D798" s="37" t="s">
        <v>2383</v>
      </c>
      <c r="E798" s="37" t="s">
        <v>2037</v>
      </c>
      <c r="F798" s="37" t="s">
        <v>2393</v>
      </c>
      <c r="G798" s="37" t="s">
        <v>2393</v>
      </c>
      <c r="H798" s="37" t="s">
        <v>2393</v>
      </c>
      <c r="I798" s="37" t="s">
        <v>88</v>
      </c>
      <c r="J798" s="37" t="s">
        <v>88</v>
      </c>
      <c r="K798" s="37" t="s">
        <v>2032</v>
      </c>
      <c r="L798" s="36">
        <v>5</v>
      </c>
      <c r="M798" s="36">
        <v>5</v>
      </c>
      <c r="N798" s="36">
        <v>6</v>
      </c>
      <c r="O798" s="36">
        <v>7</v>
      </c>
      <c r="P798" s="37" t="s">
        <v>292</v>
      </c>
      <c r="Q798" s="37" t="s">
        <v>2412</v>
      </c>
      <c r="R798" s="37" t="s">
        <v>2413</v>
      </c>
    </row>
    <row r="799" spans="1:18" ht="27.7" hidden="1" thickBot="1" x14ac:dyDescent="0.55000000000000004">
      <c r="A799" s="36">
        <v>797</v>
      </c>
      <c r="B799" s="37" t="s">
        <v>2414</v>
      </c>
      <c r="C799" s="37" t="s">
        <v>2392</v>
      </c>
      <c r="D799" s="37" t="s">
        <v>2383</v>
      </c>
      <c r="E799" s="37" t="s">
        <v>2037</v>
      </c>
      <c r="F799" s="37" t="s">
        <v>2393</v>
      </c>
      <c r="G799" s="37" t="s">
        <v>2393</v>
      </c>
      <c r="H799" s="37" t="s">
        <v>2393</v>
      </c>
      <c r="I799" s="37" t="s">
        <v>2077</v>
      </c>
      <c r="J799" s="37" t="s">
        <v>2077</v>
      </c>
      <c r="K799" s="37" t="s">
        <v>2077</v>
      </c>
      <c r="L799" s="36">
        <v>5</v>
      </c>
      <c r="M799" s="36">
        <v>5</v>
      </c>
      <c r="N799" s="36">
        <v>5</v>
      </c>
      <c r="O799" s="36">
        <v>5</v>
      </c>
      <c r="P799" s="37" t="s">
        <v>292</v>
      </c>
      <c r="Q799" s="37"/>
      <c r="R799" s="37" t="s">
        <v>2415</v>
      </c>
    </row>
    <row r="800" spans="1:18" ht="27.7" hidden="1" thickBot="1" x14ac:dyDescent="0.55000000000000004">
      <c r="A800" s="36">
        <v>798</v>
      </c>
      <c r="B800" s="37" t="s">
        <v>2392</v>
      </c>
      <c r="C800" s="37" t="s">
        <v>2392</v>
      </c>
      <c r="D800" s="37" t="s">
        <v>2383</v>
      </c>
      <c r="E800" s="37" t="s">
        <v>2037</v>
      </c>
      <c r="F800" s="37" t="s">
        <v>2400</v>
      </c>
      <c r="G800" s="37" t="s">
        <v>2400</v>
      </c>
      <c r="H800" s="37" t="s">
        <v>2400</v>
      </c>
      <c r="I800" s="37" t="s">
        <v>2077</v>
      </c>
      <c r="J800" s="37" t="s">
        <v>2077</v>
      </c>
      <c r="K800" s="37" t="s">
        <v>2032</v>
      </c>
      <c r="L800" s="36">
        <v>4</v>
      </c>
      <c r="M800" s="36">
        <v>4</v>
      </c>
      <c r="N800" s="36">
        <v>4</v>
      </c>
      <c r="O800" s="36">
        <v>5</v>
      </c>
      <c r="P800" s="37" t="s">
        <v>265</v>
      </c>
      <c r="Q800" s="37"/>
      <c r="R800" s="37" t="s">
        <v>2416</v>
      </c>
    </row>
    <row r="801" spans="1:18" ht="27.7" hidden="1" thickBot="1" x14ac:dyDescent="0.55000000000000004">
      <c r="A801" s="36">
        <v>799</v>
      </c>
      <c r="B801" s="37" t="s">
        <v>2417</v>
      </c>
      <c r="C801" s="37" t="s">
        <v>2418</v>
      </c>
      <c r="D801" s="37" t="s">
        <v>2383</v>
      </c>
      <c r="E801" s="37" t="s">
        <v>2037</v>
      </c>
      <c r="F801" s="37" t="s">
        <v>2400</v>
      </c>
      <c r="G801" s="37" t="s">
        <v>2400</v>
      </c>
      <c r="H801" s="37" t="s">
        <v>2400</v>
      </c>
      <c r="I801" s="37" t="s">
        <v>2077</v>
      </c>
      <c r="J801" s="37" t="s">
        <v>2077</v>
      </c>
      <c r="K801" s="37" t="s">
        <v>2077</v>
      </c>
      <c r="L801" s="36">
        <v>4</v>
      </c>
      <c r="M801" s="36">
        <v>4</v>
      </c>
      <c r="N801" s="36">
        <v>4</v>
      </c>
      <c r="O801" s="36">
        <v>5</v>
      </c>
      <c r="P801" s="37" t="s">
        <v>265</v>
      </c>
      <c r="Q801" s="37"/>
      <c r="R801" s="37" t="s">
        <v>2419</v>
      </c>
    </row>
    <row r="802" spans="1:18" ht="27.7" hidden="1" thickBot="1" x14ac:dyDescent="0.55000000000000004">
      <c r="A802" s="36">
        <v>800</v>
      </c>
      <c r="B802" s="37" t="s">
        <v>2420</v>
      </c>
      <c r="C802" s="37" t="s">
        <v>2418</v>
      </c>
      <c r="D802" s="37" t="s">
        <v>2383</v>
      </c>
      <c r="E802" s="37" t="s">
        <v>2037</v>
      </c>
      <c r="F802" s="37" t="s">
        <v>2400</v>
      </c>
      <c r="G802" s="37" t="s">
        <v>2400</v>
      </c>
      <c r="H802" s="37" t="s">
        <v>2393</v>
      </c>
      <c r="I802" s="37" t="s">
        <v>2077</v>
      </c>
      <c r="J802" s="37" t="s">
        <v>2077</v>
      </c>
      <c r="K802" s="37" t="s">
        <v>2032</v>
      </c>
      <c r="L802" s="36">
        <v>3</v>
      </c>
      <c r="M802" s="36">
        <v>3</v>
      </c>
      <c r="N802" s="36">
        <v>3</v>
      </c>
      <c r="O802" s="36">
        <v>4</v>
      </c>
      <c r="P802" s="37" t="s">
        <v>292</v>
      </c>
      <c r="Q802" s="37"/>
      <c r="R802" s="37" t="s">
        <v>2421</v>
      </c>
    </row>
    <row r="803" spans="1:18" ht="27.7" hidden="1" thickBot="1" x14ac:dyDescent="0.55000000000000004">
      <c r="A803" s="36">
        <v>801</v>
      </c>
      <c r="B803" s="37" t="s">
        <v>2422</v>
      </c>
      <c r="C803" s="37" t="s">
        <v>2423</v>
      </c>
      <c r="D803" s="37" t="s">
        <v>2383</v>
      </c>
      <c r="E803" s="37" t="s">
        <v>2037</v>
      </c>
      <c r="F803" s="37" t="s">
        <v>2400</v>
      </c>
      <c r="G803" s="37" t="s">
        <v>2400</v>
      </c>
      <c r="H803" s="37" t="s">
        <v>2393</v>
      </c>
      <c r="I803" s="37" t="s">
        <v>2077</v>
      </c>
      <c r="J803" s="37" t="s">
        <v>2077</v>
      </c>
      <c r="K803" s="37" t="s">
        <v>2032</v>
      </c>
      <c r="L803" s="36">
        <v>2</v>
      </c>
      <c r="M803" s="36">
        <v>2</v>
      </c>
      <c r="N803" s="36">
        <v>2</v>
      </c>
      <c r="O803" s="36">
        <v>3</v>
      </c>
      <c r="P803" s="37" t="s">
        <v>292</v>
      </c>
      <c r="Q803" s="37"/>
      <c r="R803" s="37" t="s">
        <v>2424</v>
      </c>
    </row>
    <row r="804" spans="1:18" ht="27.7" hidden="1" thickBot="1" x14ac:dyDescent="0.55000000000000004">
      <c r="A804" s="36">
        <v>802</v>
      </c>
      <c r="B804" s="37" t="s">
        <v>2418</v>
      </c>
      <c r="C804" s="37" t="s">
        <v>2418</v>
      </c>
      <c r="D804" s="37" t="s">
        <v>2383</v>
      </c>
      <c r="E804" s="37" t="s">
        <v>2037</v>
      </c>
      <c r="F804" s="37" t="s">
        <v>2400</v>
      </c>
      <c r="G804" s="37" t="s">
        <v>2400</v>
      </c>
      <c r="H804" s="37" t="s">
        <v>2400</v>
      </c>
      <c r="I804" s="37" t="s">
        <v>2077</v>
      </c>
      <c r="J804" s="37" t="s">
        <v>2077</v>
      </c>
      <c r="K804" s="37" t="s">
        <v>2077</v>
      </c>
      <c r="L804" s="36">
        <v>5</v>
      </c>
      <c r="M804" s="36">
        <v>5</v>
      </c>
      <c r="N804" s="36">
        <v>5</v>
      </c>
      <c r="O804" s="36">
        <v>7</v>
      </c>
      <c r="P804" s="37" t="s">
        <v>265</v>
      </c>
      <c r="Q804" s="37"/>
      <c r="R804" s="37" t="s">
        <v>2425</v>
      </c>
    </row>
    <row r="805" spans="1:18" ht="27.7" hidden="1" thickBot="1" x14ac:dyDescent="0.55000000000000004">
      <c r="A805" s="36">
        <v>803</v>
      </c>
      <c r="B805" s="37" t="s">
        <v>2426</v>
      </c>
      <c r="C805" s="37" t="s">
        <v>2418</v>
      </c>
      <c r="D805" s="37" t="s">
        <v>2383</v>
      </c>
      <c r="E805" s="37" t="s">
        <v>2037</v>
      </c>
      <c r="F805" s="37" t="s">
        <v>2393</v>
      </c>
      <c r="G805" s="37" t="s">
        <v>2393</v>
      </c>
      <c r="H805" s="37" t="s">
        <v>2393</v>
      </c>
      <c r="I805" s="37" t="s">
        <v>2077</v>
      </c>
      <c r="J805" s="37" t="s">
        <v>88</v>
      </c>
      <c r="K805" s="37" t="s">
        <v>2032</v>
      </c>
      <c r="L805" s="36">
        <v>2</v>
      </c>
      <c r="M805" s="36">
        <v>2</v>
      </c>
      <c r="N805" s="36">
        <v>2</v>
      </c>
      <c r="O805" s="36">
        <v>2</v>
      </c>
      <c r="P805" s="37" t="s">
        <v>292</v>
      </c>
      <c r="Q805" s="37" t="s">
        <v>2427</v>
      </c>
      <c r="R805" s="37" t="s">
        <v>2428</v>
      </c>
    </row>
    <row r="806" spans="1:18" ht="27.7" hidden="1" thickBot="1" x14ac:dyDescent="0.55000000000000004">
      <c r="A806" s="36">
        <v>804</v>
      </c>
      <c r="B806" s="37" t="s">
        <v>2429</v>
      </c>
      <c r="C806" s="37" t="s">
        <v>2430</v>
      </c>
      <c r="D806" s="37" t="s">
        <v>2383</v>
      </c>
      <c r="E806" s="37" t="s">
        <v>2037</v>
      </c>
      <c r="F806" s="37" t="s">
        <v>2393</v>
      </c>
      <c r="G806" s="37" t="s">
        <v>2393</v>
      </c>
      <c r="H806" s="37" t="s">
        <v>2393</v>
      </c>
      <c r="I806" s="37" t="s">
        <v>88</v>
      </c>
      <c r="J806" s="37" t="s">
        <v>88</v>
      </c>
      <c r="K806" s="37" t="s">
        <v>2032</v>
      </c>
      <c r="L806" s="36">
        <v>3</v>
      </c>
      <c r="M806" s="36">
        <v>3</v>
      </c>
      <c r="N806" s="36">
        <v>3</v>
      </c>
      <c r="O806" s="36">
        <v>4</v>
      </c>
      <c r="P806" s="37" t="s">
        <v>265</v>
      </c>
      <c r="Q806" s="37"/>
      <c r="R806" s="37" t="s">
        <v>2431</v>
      </c>
    </row>
    <row r="807" spans="1:18" ht="27.7" hidden="1" thickBot="1" x14ac:dyDescent="0.55000000000000004">
      <c r="A807" s="36">
        <v>805</v>
      </c>
      <c r="B807" s="37" t="s">
        <v>2432</v>
      </c>
      <c r="C807" s="37" t="s">
        <v>2433</v>
      </c>
      <c r="D807" s="37" t="s">
        <v>2434</v>
      </c>
      <c r="E807" s="37" t="s">
        <v>2435</v>
      </c>
      <c r="F807" s="37" t="s">
        <v>1180</v>
      </c>
      <c r="G807" s="37" t="s">
        <v>1180</v>
      </c>
      <c r="H807" s="37" t="s">
        <v>1180</v>
      </c>
      <c r="I807" s="37" t="s">
        <v>88</v>
      </c>
      <c r="J807" s="37" t="s">
        <v>88</v>
      </c>
      <c r="K807" s="37" t="s">
        <v>2032</v>
      </c>
      <c r="L807" s="36">
        <v>1</v>
      </c>
      <c r="M807" s="36">
        <v>1</v>
      </c>
      <c r="N807" s="36">
        <v>1</v>
      </c>
      <c r="O807" s="36">
        <v>3</v>
      </c>
      <c r="P807" s="37" t="s">
        <v>265</v>
      </c>
      <c r="Q807" s="37"/>
      <c r="R807" s="37" t="s">
        <v>2436</v>
      </c>
    </row>
    <row r="808" spans="1:18" ht="27.7" hidden="1" thickBot="1" x14ac:dyDescent="0.55000000000000004">
      <c r="A808" s="36">
        <v>806</v>
      </c>
      <c r="B808" s="37" t="s">
        <v>2433</v>
      </c>
      <c r="C808" s="37" t="s">
        <v>2433</v>
      </c>
      <c r="D808" s="37" t="s">
        <v>2434</v>
      </c>
      <c r="E808" s="37" t="s">
        <v>2435</v>
      </c>
      <c r="F808" s="37" t="s">
        <v>1180</v>
      </c>
      <c r="G808" s="37" t="s">
        <v>1180</v>
      </c>
      <c r="H808" s="37" t="s">
        <v>1180</v>
      </c>
      <c r="I808" s="37" t="s">
        <v>88</v>
      </c>
      <c r="J808" s="37" t="s">
        <v>88</v>
      </c>
      <c r="K808" s="37" t="s">
        <v>2032</v>
      </c>
      <c r="L808" s="36">
        <v>4</v>
      </c>
      <c r="M808" s="36">
        <v>4</v>
      </c>
      <c r="N808" s="36">
        <v>4</v>
      </c>
      <c r="O808" s="36">
        <v>5</v>
      </c>
      <c r="P808" s="37" t="s">
        <v>265</v>
      </c>
      <c r="Q808" s="37"/>
      <c r="R808" s="37" t="s">
        <v>2437</v>
      </c>
    </row>
    <row r="809" spans="1:18" ht="27.7" hidden="1" thickBot="1" x14ac:dyDescent="0.55000000000000004">
      <c r="A809" s="36">
        <v>807</v>
      </c>
      <c r="B809" s="37" t="s">
        <v>2438</v>
      </c>
      <c r="C809" s="37" t="s">
        <v>2433</v>
      </c>
      <c r="D809" s="37" t="s">
        <v>2434</v>
      </c>
      <c r="E809" s="37" t="s">
        <v>2435</v>
      </c>
      <c r="F809" s="37" t="s">
        <v>1180</v>
      </c>
      <c r="G809" s="37" t="s">
        <v>1180</v>
      </c>
      <c r="H809" s="37" t="s">
        <v>1180</v>
      </c>
      <c r="I809" s="37" t="s">
        <v>88</v>
      </c>
      <c r="J809" s="37" t="s">
        <v>88</v>
      </c>
      <c r="K809" s="37" t="s">
        <v>2032</v>
      </c>
      <c r="L809" s="36">
        <v>1</v>
      </c>
      <c r="M809" s="36">
        <v>1</v>
      </c>
      <c r="N809" s="36">
        <v>1</v>
      </c>
      <c r="O809" s="36">
        <v>2</v>
      </c>
      <c r="P809" s="37" t="s">
        <v>265</v>
      </c>
      <c r="Q809" s="37"/>
      <c r="R809" s="37" t="s">
        <v>2439</v>
      </c>
    </row>
    <row r="810" spans="1:18" ht="27.7" hidden="1" thickBot="1" x14ac:dyDescent="0.55000000000000004">
      <c r="A810" s="36">
        <v>808</v>
      </c>
      <c r="B810" s="37" t="s">
        <v>2440</v>
      </c>
      <c r="C810" s="37" t="s">
        <v>2433</v>
      </c>
      <c r="D810" s="37" t="s">
        <v>2434</v>
      </c>
      <c r="E810" s="37" t="s">
        <v>2435</v>
      </c>
      <c r="F810" s="37" t="s">
        <v>1180</v>
      </c>
      <c r="G810" s="37" t="s">
        <v>1180</v>
      </c>
      <c r="H810" s="37" t="s">
        <v>1180</v>
      </c>
      <c r="I810" s="37" t="s">
        <v>88</v>
      </c>
      <c r="J810" s="37" t="s">
        <v>88</v>
      </c>
      <c r="K810" s="37" t="s">
        <v>2032</v>
      </c>
      <c r="L810" s="36">
        <v>4</v>
      </c>
      <c r="M810" s="36">
        <v>4</v>
      </c>
      <c r="N810" s="36">
        <v>4</v>
      </c>
      <c r="O810" s="36">
        <v>5</v>
      </c>
      <c r="P810" s="37" t="s">
        <v>265</v>
      </c>
      <c r="Q810" s="37"/>
      <c r="R810" s="37" t="s">
        <v>2441</v>
      </c>
    </row>
    <row r="811" spans="1:18" ht="27.7" hidden="1" thickBot="1" x14ac:dyDescent="0.55000000000000004">
      <c r="A811" s="36">
        <v>809</v>
      </c>
      <c r="B811" s="37" t="s">
        <v>2442</v>
      </c>
      <c r="C811" s="37" t="s">
        <v>2443</v>
      </c>
      <c r="D811" s="37" t="s">
        <v>2434</v>
      </c>
      <c r="E811" s="37" t="s">
        <v>2435</v>
      </c>
      <c r="F811" s="37" t="s">
        <v>1180</v>
      </c>
      <c r="G811" s="37" t="s">
        <v>1180</v>
      </c>
      <c r="H811" s="37" t="s">
        <v>1180</v>
      </c>
      <c r="I811" s="37" t="s">
        <v>88</v>
      </c>
      <c r="J811" s="37" t="s">
        <v>88</v>
      </c>
      <c r="K811" s="37" t="s">
        <v>2032</v>
      </c>
      <c r="L811" s="36">
        <v>3</v>
      </c>
      <c r="M811" s="36">
        <v>3</v>
      </c>
      <c r="N811" s="36">
        <v>3</v>
      </c>
      <c r="O811" s="36">
        <v>4</v>
      </c>
      <c r="P811" s="37" t="s">
        <v>265</v>
      </c>
      <c r="Q811" s="37"/>
      <c r="R811" s="37" t="s">
        <v>2444</v>
      </c>
    </row>
    <row r="812" spans="1:18" ht="27.7" hidden="1" thickBot="1" x14ac:dyDescent="0.55000000000000004">
      <c r="A812" s="36">
        <v>810</v>
      </c>
      <c r="B812" s="37" t="s">
        <v>2445</v>
      </c>
      <c r="C812" s="37" t="s">
        <v>2443</v>
      </c>
      <c r="D812" s="37" t="s">
        <v>2434</v>
      </c>
      <c r="E812" s="37" t="s">
        <v>2435</v>
      </c>
      <c r="F812" s="37" t="s">
        <v>1180</v>
      </c>
      <c r="G812" s="37" t="s">
        <v>1180</v>
      </c>
      <c r="H812" s="37" t="s">
        <v>1180</v>
      </c>
      <c r="I812" s="37" t="s">
        <v>105</v>
      </c>
      <c r="J812" s="37" t="s">
        <v>88</v>
      </c>
      <c r="K812" s="37" t="s">
        <v>2032</v>
      </c>
      <c r="L812" s="36">
        <v>3</v>
      </c>
      <c r="M812" s="36">
        <v>3</v>
      </c>
      <c r="N812" s="36">
        <v>3</v>
      </c>
      <c r="O812" s="36">
        <v>4</v>
      </c>
      <c r="P812" s="37" t="s">
        <v>265</v>
      </c>
      <c r="Q812" s="37"/>
      <c r="R812" s="37" t="s">
        <v>2446</v>
      </c>
    </row>
    <row r="813" spans="1:18" ht="27.7" hidden="1" thickBot="1" x14ac:dyDescent="0.55000000000000004">
      <c r="A813" s="36">
        <v>811</v>
      </c>
      <c r="B813" s="37" t="s">
        <v>2447</v>
      </c>
      <c r="C813" s="37" t="s">
        <v>2443</v>
      </c>
      <c r="D813" s="37" t="s">
        <v>2434</v>
      </c>
      <c r="E813" s="37" t="s">
        <v>2435</v>
      </c>
      <c r="F813" s="37" t="s">
        <v>1180</v>
      </c>
      <c r="G813" s="37" t="s">
        <v>1180</v>
      </c>
      <c r="H813" s="37" t="s">
        <v>1180</v>
      </c>
      <c r="I813" s="37" t="s">
        <v>88</v>
      </c>
      <c r="J813" s="37" t="s">
        <v>88</v>
      </c>
      <c r="K813" s="37" t="s">
        <v>2032</v>
      </c>
      <c r="L813" s="36">
        <v>4</v>
      </c>
      <c r="M813" s="36">
        <v>4</v>
      </c>
      <c r="N813" s="36">
        <v>4</v>
      </c>
      <c r="O813" s="36">
        <v>5</v>
      </c>
      <c r="P813" s="37" t="s">
        <v>265</v>
      </c>
      <c r="Q813" s="37"/>
      <c r="R813" s="37" t="s">
        <v>2448</v>
      </c>
    </row>
    <row r="814" spans="1:18" ht="27.7" hidden="1" thickBot="1" x14ac:dyDescent="0.55000000000000004">
      <c r="A814" s="36">
        <v>812</v>
      </c>
      <c r="B814" s="37" t="s">
        <v>2449</v>
      </c>
      <c r="C814" s="37" t="s">
        <v>1162</v>
      </c>
      <c r="D814" s="37" t="s">
        <v>1162</v>
      </c>
      <c r="E814" s="37" t="s">
        <v>1163</v>
      </c>
      <c r="F814" s="37" t="s">
        <v>1164</v>
      </c>
      <c r="G814" s="37" t="s">
        <v>1164</v>
      </c>
      <c r="H814" s="37" t="s">
        <v>1180</v>
      </c>
      <c r="I814" s="37" t="s">
        <v>1165</v>
      </c>
      <c r="J814" s="37" t="s">
        <v>1165</v>
      </c>
      <c r="K814" s="37" t="s">
        <v>88</v>
      </c>
      <c r="L814" s="36">
        <v>2</v>
      </c>
      <c r="M814" s="36">
        <v>2</v>
      </c>
      <c r="N814" s="36">
        <v>2</v>
      </c>
      <c r="O814" s="36">
        <v>4</v>
      </c>
      <c r="P814" s="37" t="s">
        <v>265</v>
      </c>
      <c r="Q814" s="37"/>
      <c r="R814" s="37" t="s">
        <v>2450</v>
      </c>
    </row>
    <row r="815" spans="1:18" ht="27.7" hidden="1" thickBot="1" x14ac:dyDescent="0.55000000000000004">
      <c r="A815" s="36">
        <v>813</v>
      </c>
      <c r="B815" s="37" t="s">
        <v>2451</v>
      </c>
      <c r="C815" s="37" t="s">
        <v>2443</v>
      </c>
      <c r="D815" s="37" t="s">
        <v>2434</v>
      </c>
      <c r="E815" s="37" t="s">
        <v>2435</v>
      </c>
      <c r="F815" s="37" t="s">
        <v>1180</v>
      </c>
      <c r="G815" s="37" t="s">
        <v>1180</v>
      </c>
      <c r="H815" s="37" t="s">
        <v>1180</v>
      </c>
      <c r="I815" s="37" t="s">
        <v>2452</v>
      </c>
      <c r="J815" s="37" t="s">
        <v>2452</v>
      </c>
      <c r="K815" s="37" t="s">
        <v>88</v>
      </c>
      <c r="L815" s="36">
        <v>3</v>
      </c>
      <c r="M815" s="36">
        <v>3</v>
      </c>
      <c r="N815" s="36">
        <v>3</v>
      </c>
      <c r="O815" s="36">
        <v>3</v>
      </c>
      <c r="P815" s="37" t="s">
        <v>265</v>
      </c>
      <c r="Q815" s="37"/>
      <c r="R815" s="37" t="s">
        <v>2453</v>
      </c>
    </row>
    <row r="816" spans="1:18" ht="14.7" hidden="1" thickBot="1" x14ac:dyDescent="0.55000000000000004">
      <c r="A816" s="36">
        <v>814</v>
      </c>
      <c r="B816" s="37" t="s">
        <v>2454</v>
      </c>
      <c r="C816" s="37" t="s">
        <v>2455</v>
      </c>
      <c r="D816" s="37" t="s">
        <v>2434</v>
      </c>
      <c r="E816" s="37" t="s">
        <v>2435</v>
      </c>
      <c r="F816" s="37" t="s">
        <v>1180</v>
      </c>
      <c r="G816" s="37" t="s">
        <v>1180</v>
      </c>
      <c r="H816" s="37" t="s">
        <v>1180</v>
      </c>
      <c r="I816" s="37" t="s">
        <v>88</v>
      </c>
      <c r="J816" s="37" t="s">
        <v>88</v>
      </c>
      <c r="K816" s="37" t="s">
        <v>88</v>
      </c>
      <c r="L816" s="36">
        <v>3</v>
      </c>
      <c r="M816" s="36">
        <v>3</v>
      </c>
      <c r="N816" s="36">
        <v>3</v>
      </c>
      <c r="O816" s="36">
        <v>4</v>
      </c>
      <c r="P816" s="37" t="s">
        <v>265</v>
      </c>
      <c r="Q816" s="37"/>
      <c r="R816" s="37" t="s">
        <v>2456</v>
      </c>
    </row>
    <row r="817" spans="1:18" ht="27.7" hidden="1" thickBot="1" x14ac:dyDescent="0.55000000000000004">
      <c r="A817" s="36">
        <v>815</v>
      </c>
      <c r="B817" s="37" t="s">
        <v>2457</v>
      </c>
      <c r="C817" s="37" t="s">
        <v>2455</v>
      </c>
      <c r="D817" s="37" t="s">
        <v>2434</v>
      </c>
      <c r="E817" s="37" t="s">
        <v>2435</v>
      </c>
      <c r="F817" s="37" t="s">
        <v>1180</v>
      </c>
      <c r="G817" s="37" t="s">
        <v>1180</v>
      </c>
      <c r="H817" s="37" t="s">
        <v>1180</v>
      </c>
      <c r="I817" s="37" t="s">
        <v>88</v>
      </c>
      <c r="J817" s="37" t="s">
        <v>88</v>
      </c>
      <c r="K817" s="37" t="s">
        <v>88</v>
      </c>
      <c r="L817" s="36">
        <v>4</v>
      </c>
      <c r="M817" s="36">
        <v>4</v>
      </c>
      <c r="N817" s="36">
        <v>4</v>
      </c>
      <c r="O817" s="36">
        <v>4</v>
      </c>
      <c r="P817" s="37" t="s">
        <v>292</v>
      </c>
      <c r="Q817" s="37"/>
      <c r="R817" s="37" t="s">
        <v>2458</v>
      </c>
    </row>
    <row r="818" spans="1:18" ht="14.7" hidden="1" thickBot="1" x14ac:dyDescent="0.55000000000000004">
      <c r="A818" s="36">
        <v>816</v>
      </c>
      <c r="B818" s="37" t="s">
        <v>2459</v>
      </c>
      <c r="C818" s="37" t="s">
        <v>2455</v>
      </c>
      <c r="D818" s="37" t="s">
        <v>2434</v>
      </c>
      <c r="E818" s="37" t="s">
        <v>2435</v>
      </c>
      <c r="F818" s="37" t="s">
        <v>1180</v>
      </c>
      <c r="G818" s="37" t="s">
        <v>1180</v>
      </c>
      <c r="H818" s="37" t="s">
        <v>1180</v>
      </c>
      <c r="I818" s="37" t="s">
        <v>105</v>
      </c>
      <c r="J818" s="37" t="s">
        <v>88</v>
      </c>
      <c r="K818" s="37" t="s">
        <v>88</v>
      </c>
      <c r="L818" s="36">
        <v>4</v>
      </c>
      <c r="M818" s="36">
        <v>4</v>
      </c>
      <c r="N818" s="36">
        <v>4</v>
      </c>
      <c r="O818" s="36">
        <v>5</v>
      </c>
      <c r="P818" s="37" t="s">
        <v>265</v>
      </c>
      <c r="Q818" s="37"/>
      <c r="R818" s="37" t="s">
        <v>2460</v>
      </c>
    </row>
    <row r="819" spans="1:18" ht="14.7" hidden="1" thickBot="1" x14ac:dyDescent="0.55000000000000004">
      <c r="A819" s="36">
        <v>817</v>
      </c>
      <c r="B819" s="37" t="s">
        <v>2455</v>
      </c>
      <c r="C819" s="37" t="s">
        <v>2455</v>
      </c>
      <c r="D819" s="37" t="s">
        <v>2434</v>
      </c>
      <c r="E819" s="37" t="s">
        <v>2435</v>
      </c>
      <c r="F819" s="37" t="s">
        <v>1180</v>
      </c>
      <c r="G819" s="37" t="s">
        <v>1180</v>
      </c>
      <c r="H819" s="37" t="s">
        <v>1180</v>
      </c>
      <c r="I819" s="37" t="s">
        <v>105</v>
      </c>
      <c r="J819" s="37" t="s">
        <v>88</v>
      </c>
      <c r="K819" s="37" t="s">
        <v>88</v>
      </c>
      <c r="L819" s="36">
        <v>5</v>
      </c>
      <c r="M819" s="36">
        <v>5</v>
      </c>
      <c r="N819" s="36">
        <v>5</v>
      </c>
      <c r="O819" s="36">
        <v>6</v>
      </c>
      <c r="P819" s="37" t="s">
        <v>265</v>
      </c>
      <c r="Q819" s="37"/>
      <c r="R819" s="37" t="s">
        <v>2461</v>
      </c>
    </row>
    <row r="820" spans="1:18" ht="27.7" hidden="1" thickBot="1" x14ac:dyDescent="0.55000000000000004">
      <c r="A820" s="36">
        <v>818</v>
      </c>
      <c r="B820" s="37" t="s">
        <v>2462</v>
      </c>
      <c r="C820" s="37" t="s">
        <v>2455</v>
      </c>
      <c r="D820" s="37" t="s">
        <v>2434</v>
      </c>
      <c r="E820" s="37" t="s">
        <v>2435</v>
      </c>
      <c r="F820" s="37" t="s">
        <v>1180</v>
      </c>
      <c r="G820" s="37" t="s">
        <v>1180</v>
      </c>
      <c r="H820" s="37" t="s">
        <v>1180</v>
      </c>
      <c r="I820" s="37" t="s">
        <v>88</v>
      </c>
      <c r="J820" s="37" t="s">
        <v>88</v>
      </c>
      <c r="K820" s="37" t="s">
        <v>88</v>
      </c>
      <c r="L820" s="36">
        <v>3</v>
      </c>
      <c r="M820" s="36">
        <v>3</v>
      </c>
      <c r="N820" s="36">
        <v>3</v>
      </c>
      <c r="O820" s="36">
        <v>5</v>
      </c>
      <c r="P820" s="37" t="s">
        <v>292</v>
      </c>
      <c r="Q820" s="37"/>
      <c r="R820" s="37" t="s">
        <v>2463</v>
      </c>
    </row>
    <row r="821" spans="1:18" ht="14.7" hidden="1" thickBot="1" x14ac:dyDescent="0.55000000000000004">
      <c r="A821" s="36">
        <v>819</v>
      </c>
      <c r="B821" s="37" t="s">
        <v>2464</v>
      </c>
      <c r="C821" s="37" t="s">
        <v>2455</v>
      </c>
      <c r="D821" s="37" t="s">
        <v>2434</v>
      </c>
      <c r="E821" s="37" t="s">
        <v>2435</v>
      </c>
      <c r="F821" s="37" t="s">
        <v>1180</v>
      </c>
      <c r="G821" s="37" t="s">
        <v>1180</v>
      </c>
      <c r="H821" s="37" t="s">
        <v>1180</v>
      </c>
      <c r="I821" s="37" t="s">
        <v>88</v>
      </c>
      <c r="J821" s="37" t="s">
        <v>88</v>
      </c>
      <c r="K821" s="37" t="s">
        <v>88</v>
      </c>
      <c r="L821" s="36">
        <v>4</v>
      </c>
      <c r="M821" s="36">
        <v>4</v>
      </c>
      <c r="N821" s="36">
        <v>4</v>
      </c>
      <c r="O821" s="36">
        <v>5</v>
      </c>
      <c r="P821" s="37" t="s">
        <v>265</v>
      </c>
      <c r="Q821" s="37"/>
      <c r="R821" s="37" t="s">
        <v>2465</v>
      </c>
    </row>
    <row r="822" spans="1:18" ht="27.7" hidden="1" thickBot="1" x14ac:dyDescent="0.55000000000000004">
      <c r="A822" s="36">
        <v>820</v>
      </c>
      <c r="B822" s="37" t="s">
        <v>2466</v>
      </c>
      <c r="C822" s="37" t="s">
        <v>2467</v>
      </c>
      <c r="D822" s="37" t="s">
        <v>2434</v>
      </c>
      <c r="E822" s="37" t="s">
        <v>2435</v>
      </c>
      <c r="F822" s="37" t="s">
        <v>1180</v>
      </c>
      <c r="G822" s="37" t="s">
        <v>1180</v>
      </c>
      <c r="H822" s="37" t="s">
        <v>1180</v>
      </c>
      <c r="I822" s="37" t="s">
        <v>105</v>
      </c>
      <c r="J822" s="37" t="s">
        <v>105</v>
      </c>
      <c r="K822" s="37" t="s">
        <v>88</v>
      </c>
      <c r="L822" s="36">
        <v>4</v>
      </c>
      <c r="M822" s="36">
        <v>4</v>
      </c>
      <c r="N822" s="36">
        <v>4</v>
      </c>
      <c r="O822" s="36">
        <v>4</v>
      </c>
      <c r="P822" s="37" t="s">
        <v>265</v>
      </c>
      <c r="Q822" s="37"/>
      <c r="R822" s="37" t="s">
        <v>2468</v>
      </c>
    </row>
    <row r="823" spans="1:18" ht="27.7" hidden="1" thickBot="1" x14ac:dyDescent="0.55000000000000004">
      <c r="A823" s="36">
        <v>821</v>
      </c>
      <c r="B823" s="37" t="s">
        <v>2469</v>
      </c>
      <c r="C823" s="37" t="s">
        <v>2467</v>
      </c>
      <c r="D823" s="37" t="s">
        <v>2434</v>
      </c>
      <c r="E823" s="37" t="s">
        <v>2435</v>
      </c>
      <c r="F823" s="37" t="s">
        <v>1180</v>
      </c>
      <c r="G823" s="37" t="s">
        <v>1180</v>
      </c>
      <c r="H823" s="37" t="s">
        <v>1180</v>
      </c>
      <c r="I823" s="37" t="s">
        <v>88</v>
      </c>
      <c r="J823" s="37" t="s">
        <v>88</v>
      </c>
      <c r="K823" s="37" t="s">
        <v>88</v>
      </c>
      <c r="L823" s="36">
        <v>3</v>
      </c>
      <c r="M823" s="36">
        <v>3</v>
      </c>
      <c r="N823" s="36">
        <v>3</v>
      </c>
      <c r="O823" s="36">
        <v>4</v>
      </c>
      <c r="P823" s="37" t="s">
        <v>292</v>
      </c>
      <c r="Q823" s="37"/>
      <c r="R823" s="37" t="s">
        <v>2470</v>
      </c>
    </row>
    <row r="824" spans="1:18" ht="14.7" hidden="1" thickBot="1" x14ac:dyDescent="0.55000000000000004">
      <c r="A824" s="36">
        <v>822</v>
      </c>
      <c r="B824" s="37" t="s">
        <v>2471</v>
      </c>
      <c r="C824" s="37" t="s">
        <v>2467</v>
      </c>
      <c r="D824" s="37" t="s">
        <v>2434</v>
      </c>
      <c r="E824" s="37" t="s">
        <v>2435</v>
      </c>
      <c r="F824" s="37" t="s">
        <v>1180</v>
      </c>
      <c r="G824" s="37" t="s">
        <v>1180</v>
      </c>
      <c r="H824" s="37" t="s">
        <v>1180</v>
      </c>
      <c r="I824" s="37" t="s">
        <v>105</v>
      </c>
      <c r="J824" s="37" t="s">
        <v>105</v>
      </c>
      <c r="K824" s="37" t="s">
        <v>88</v>
      </c>
      <c r="L824" s="36">
        <v>3</v>
      </c>
      <c r="M824" s="36">
        <v>3</v>
      </c>
      <c r="N824" s="36">
        <v>3</v>
      </c>
      <c r="O824" s="36">
        <v>4</v>
      </c>
      <c r="P824" s="37" t="s">
        <v>265</v>
      </c>
      <c r="Q824" s="37"/>
      <c r="R824" s="37" t="s">
        <v>2472</v>
      </c>
    </row>
    <row r="825" spans="1:18" ht="14.7" hidden="1" thickBot="1" x14ac:dyDescent="0.55000000000000004">
      <c r="A825" s="36">
        <v>823</v>
      </c>
      <c r="B825" s="37" t="s">
        <v>2473</v>
      </c>
      <c r="C825" s="37" t="s">
        <v>2474</v>
      </c>
      <c r="D825" s="37" t="s">
        <v>2435</v>
      </c>
      <c r="E825" s="37" t="s">
        <v>2435</v>
      </c>
      <c r="F825" s="37" t="s">
        <v>1180</v>
      </c>
      <c r="G825" s="37" t="s">
        <v>1180</v>
      </c>
      <c r="H825" s="37" t="s">
        <v>1180</v>
      </c>
      <c r="I825" s="37" t="s">
        <v>2475</v>
      </c>
      <c r="J825" s="37" t="s">
        <v>2475</v>
      </c>
      <c r="K825" s="37" t="s">
        <v>88</v>
      </c>
      <c r="L825" s="36">
        <v>2</v>
      </c>
      <c r="M825" s="36">
        <v>2</v>
      </c>
      <c r="N825" s="36">
        <v>2</v>
      </c>
      <c r="O825" s="36">
        <v>4</v>
      </c>
      <c r="P825" s="37" t="s">
        <v>292</v>
      </c>
      <c r="Q825" s="37"/>
      <c r="R825" s="37" t="s">
        <v>2476</v>
      </c>
    </row>
    <row r="826" spans="1:18" ht="27.7" hidden="1" thickBot="1" x14ac:dyDescent="0.55000000000000004">
      <c r="A826" s="36">
        <v>824</v>
      </c>
      <c r="B826" s="37" t="s">
        <v>2477</v>
      </c>
      <c r="C826" s="37" t="s">
        <v>2467</v>
      </c>
      <c r="D826" s="37" t="s">
        <v>2434</v>
      </c>
      <c r="E826" s="37" t="s">
        <v>2435</v>
      </c>
      <c r="F826" s="37" t="s">
        <v>1180</v>
      </c>
      <c r="G826" s="37" t="s">
        <v>1180</v>
      </c>
      <c r="H826" s="37" t="s">
        <v>1180</v>
      </c>
      <c r="I826" s="37" t="s">
        <v>2452</v>
      </c>
      <c r="J826" s="37" t="s">
        <v>2452</v>
      </c>
      <c r="K826" s="37" t="s">
        <v>88</v>
      </c>
      <c r="L826" s="36">
        <v>2</v>
      </c>
      <c r="M826" s="36">
        <v>2</v>
      </c>
      <c r="N826" s="36">
        <v>2</v>
      </c>
      <c r="O826" s="36">
        <v>3</v>
      </c>
      <c r="P826" s="37" t="s">
        <v>292</v>
      </c>
      <c r="Q826" s="37"/>
      <c r="R826" s="37" t="s">
        <v>2478</v>
      </c>
    </row>
    <row r="827" spans="1:18" ht="27.7" hidden="1" thickBot="1" x14ac:dyDescent="0.55000000000000004">
      <c r="A827" s="36">
        <v>825</v>
      </c>
      <c r="B827" s="37" t="s">
        <v>2479</v>
      </c>
      <c r="C827" s="37" t="s">
        <v>2467</v>
      </c>
      <c r="D827" s="37" t="s">
        <v>2434</v>
      </c>
      <c r="E827" s="37" t="s">
        <v>2435</v>
      </c>
      <c r="F827" s="37" t="s">
        <v>1180</v>
      </c>
      <c r="G827" s="37" t="s">
        <v>1180</v>
      </c>
      <c r="H827" s="37" t="s">
        <v>1180</v>
      </c>
      <c r="I827" s="37" t="s">
        <v>105</v>
      </c>
      <c r="J827" s="37" t="s">
        <v>105</v>
      </c>
      <c r="K827" s="37" t="s">
        <v>88</v>
      </c>
      <c r="L827" s="36">
        <v>4</v>
      </c>
      <c r="M827" s="36">
        <v>4</v>
      </c>
      <c r="N827" s="36">
        <v>4</v>
      </c>
      <c r="O827" s="36">
        <v>4</v>
      </c>
      <c r="P827" s="37" t="s">
        <v>265</v>
      </c>
      <c r="Q827" s="37"/>
      <c r="R827" s="37" t="s">
        <v>2480</v>
      </c>
    </row>
    <row r="828" spans="1:18" ht="27.7" hidden="1" thickBot="1" x14ac:dyDescent="0.55000000000000004">
      <c r="A828" s="36">
        <v>826</v>
      </c>
      <c r="B828" s="37" t="s">
        <v>2481</v>
      </c>
      <c r="C828" s="37" t="s">
        <v>2482</v>
      </c>
      <c r="D828" s="37" t="s">
        <v>726</v>
      </c>
      <c r="E828" s="37" t="s">
        <v>683</v>
      </c>
      <c r="F828" s="37" t="s">
        <v>689</v>
      </c>
      <c r="G828" s="37" t="s">
        <v>689</v>
      </c>
      <c r="H828" s="37" t="s">
        <v>712</v>
      </c>
      <c r="I828" s="37" t="s">
        <v>105</v>
      </c>
      <c r="J828" s="37" t="s">
        <v>105</v>
      </c>
      <c r="K828" s="37" t="s">
        <v>88</v>
      </c>
      <c r="L828" s="36">
        <v>2</v>
      </c>
      <c r="M828" s="36">
        <v>2</v>
      </c>
      <c r="N828" s="36">
        <v>2</v>
      </c>
      <c r="O828" s="36">
        <v>4</v>
      </c>
      <c r="P828" s="37" t="s">
        <v>265</v>
      </c>
      <c r="Q828" s="37" t="s">
        <v>2483</v>
      </c>
      <c r="R828" s="37" t="s">
        <v>2484</v>
      </c>
    </row>
    <row r="829" spans="1:18" ht="27.7" hidden="1" thickBot="1" x14ac:dyDescent="0.55000000000000004">
      <c r="A829" s="36">
        <v>827</v>
      </c>
      <c r="B829" s="37" t="s">
        <v>2482</v>
      </c>
      <c r="C829" s="37" t="s">
        <v>2482</v>
      </c>
      <c r="D829" s="37" t="s">
        <v>726</v>
      </c>
      <c r="E829" s="37" t="s">
        <v>683</v>
      </c>
      <c r="F829" s="37" t="s">
        <v>689</v>
      </c>
      <c r="G829" s="37" t="s">
        <v>689</v>
      </c>
      <c r="H829" s="37" t="s">
        <v>712</v>
      </c>
      <c r="I829" s="37" t="s">
        <v>105</v>
      </c>
      <c r="J829" s="37" t="s">
        <v>105</v>
      </c>
      <c r="K829" s="37" t="s">
        <v>88</v>
      </c>
      <c r="L829" s="36">
        <v>3</v>
      </c>
      <c r="M829" s="36">
        <v>3</v>
      </c>
      <c r="N829" s="36">
        <v>3</v>
      </c>
      <c r="O829" s="36">
        <v>4</v>
      </c>
      <c r="P829" s="37" t="s">
        <v>265</v>
      </c>
      <c r="Q829" s="37" t="s">
        <v>2485</v>
      </c>
      <c r="R829" s="37" t="s">
        <v>2486</v>
      </c>
    </row>
    <row r="830" spans="1:18" ht="27.7" hidden="1" thickBot="1" x14ac:dyDescent="0.55000000000000004">
      <c r="A830" s="36">
        <v>828</v>
      </c>
      <c r="B830" s="37" t="s">
        <v>2487</v>
      </c>
      <c r="C830" s="37" t="s">
        <v>2474</v>
      </c>
      <c r="D830" s="37" t="s">
        <v>2435</v>
      </c>
      <c r="E830" s="37" t="s">
        <v>2435</v>
      </c>
      <c r="F830" s="37" t="s">
        <v>1180</v>
      </c>
      <c r="G830" s="37" t="s">
        <v>1180</v>
      </c>
      <c r="H830" s="37" t="s">
        <v>1180</v>
      </c>
      <c r="I830" s="37" t="s">
        <v>2475</v>
      </c>
      <c r="J830" s="37" t="s">
        <v>2475</v>
      </c>
      <c r="K830" s="37" t="s">
        <v>88</v>
      </c>
      <c r="L830" s="36">
        <v>1</v>
      </c>
      <c r="M830" s="36">
        <v>1</v>
      </c>
      <c r="N830" s="36">
        <v>1</v>
      </c>
      <c r="O830" s="36">
        <v>2</v>
      </c>
      <c r="P830" s="37" t="s">
        <v>292</v>
      </c>
      <c r="Q830" s="37"/>
      <c r="R830" s="37" t="s">
        <v>2488</v>
      </c>
    </row>
    <row r="831" spans="1:18" ht="14.7" hidden="1" thickBot="1" x14ac:dyDescent="0.55000000000000004">
      <c r="A831" s="36">
        <v>829</v>
      </c>
      <c r="B831" s="37" t="s">
        <v>2489</v>
      </c>
      <c r="C831" s="37" t="s">
        <v>2474</v>
      </c>
      <c r="D831" s="37" t="s">
        <v>2435</v>
      </c>
      <c r="E831" s="37" t="s">
        <v>2435</v>
      </c>
      <c r="F831" s="37" t="s">
        <v>1180</v>
      </c>
      <c r="G831" s="37" t="s">
        <v>1180</v>
      </c>
      <c r="H831" s="37" t="s">
        <v>1180</v>
      </c>
      <c r="I831" s="37" t="s">
        <v>2475</v>
      </c>
      <c r="J831" s="37" t="s">
        <v>2475</v>
      </c>
      <c r="K831" s="37" t="s">
        <v>2475</v>
      </c>
      <c r="L831" s="36">
        <v>1</v>
      </c>
      <c r="M831" s="36">
        <v>1</v>
      </c>
      <c r="N831" s="36">
        <v>1</v>
      </c>
      <c r="O831" s="36">
        <v>2</v>
      </c>
      <c r="P831" s="37" t="s">
        <v>292</v>
      </c>
      <c r="Q831" s="37"/>
      <c r="R831" s="37" t="s">
        <v>2490</v>
      </c>
    </row>
    <row r="832" spans="1:18" ht="27.7" hidden="1" thickBot="1" x14ac:dyDescent="0.55000000000000004">
      <c r="A832" s="36">
        <v>830</v>
      </c>
      <c r="B832" s="37" t="s">
        <v>2491</v>
      </c>
      <c r="C832" s="37" t="s">
        <v>2474</v>
      </c>
      <c r="D832" s="37" t="s">
        <v>2435</v>
      </c>
      <c r="E832" s="37" t="s">
        <v>2435</v>
      </c>
      <c r="F832" s="37" t="s">
        <v>1180</v>
      </c>
      <c r="G832" s="37" t="s">
        <v>1180</v>
      </c>
      <c r="H832" s="37" t="s">
        <v>1180</v>
      </c>
      <c r="I832" s="37" t="s">
        <v>2452</v>
      </c>
      <c r="J832" s="37" t="s">
        <v>2452</v>
      </c>
      <c r="K832" s="37" t="s">
        <v>88</v>
      </c>
      <c r="L832" s="36">
        <v>3</v>
      </c>
      <c r="M832" s="36">
        <v>3</v>
      </c>
      <c r="N832" s="36">
        <v>3</v>
      </c>
      <c r="O832" s="36">
        <v>3</v>
      </c>
      <c r="P832" s="37" t="s">
        <v>292</v>
      </c>
      <c r="Q832" s="37"/>
      <c r="R832" s="37" t="s">
        <v>2492</v>
      </c>
    </row>
    <row r="833" spans="1:18" ht="27.7" hidden="1" thickBot="1" x14ac:dyDescent="0.55000000000000004">
      <c r="A833" s="36">
        <v>831</v>
      </c>
      <c r="B833" s="37" t="s">
        <v>2493</v>
      </c>
      <c r="C833" s="37" t="s">
        <v>2474</v>
      </c>
      <c r="D833" s="37" t="s">
        <v>2435</v>
      </c>
      <c r="E833" s="37" t="s">
        <v>2435</v>
      </c>
      <c r="F833" s="37" t="s">
        <v>1180</v>
      </c>
      <c r="G833" s="37" t="s">
        <v>1180</v>
      </c>
      <c r="H833" s="37" t="s">
        <v>1180</v>
      </c>
      <c r="I833" s="37" t="s">
        <v>105</v>
      </c>
      <c r="J833" s="37" t="s">
        <v>105</v>
      </c>
      <c r="K833" s="37" t="s">
        <v>88</v>
      </c>
      <c r="L833" s="36">
        <v>4</v>
      </c>
      <c r="M833" s="36">
        <v>4</v>
      </c>
      <c r="N833" s="36">
        <v>4</v>
      </c>
      <c r="O833" s="36">
        <v>6</v>
      </c>
      <c r="P833" s="37" t="s">
        <v>265</v>
      </c>
      <c r="Q833" s="37"/>
      <c r="R833" s="37" t="s">
        <v>2494</v>
      </c>
    </row>
    <row r="834" spans="1:18" ht="14.7" hidden="1" thickBot="1" x14ac:dyDescent="0.55000000000000004">
      <c r="A834" s="36">
        <v>832</v>
      </c>
      <c r="B834" s="37" t="s">
        <v>2495</v>
      </c>
      <c r="C834" s="37" t="s">
        <v>2496</v>
      </c>
      <c r="D834" s="37" t="s">
        <v>2435</v>
      </c>
      <c r="E834" s="37" t="s">
        <v>2435</v>
      </c>
      <c r="F834" s="37" t="s">
        <v>1180</v>
      </c>
      <c r="G834" s="37" t="s">
        <v>1180</v>
      </c>
      <c r="H834" s="37" t="s">
        <v>1180</v>
      </c>
      <c r="I834" s="37" t="s">
        <v>105</v>
      </c>
      <c r="J834" s="37" t="s">
        <v>105</v>
      </c>
      <c r="K834" s="37" t="s">
        <v>88</v>
      </c>
      <c r="L834" s="36">
        <v>4</v>
      </c>
      <c r="M834" s="36">
        <v>4</v>
      </c>
      <c r="N834" s="36">
        <v>4</v>
      </c>
      <c r="O834" s="36">
        <v>4</v>
      </c>
      <c r="P834" s="37" t="s">
        <v>265</v>
      </c>
      <c r="Q834" s="37"/>
      <c r="R834" s="37" t="s">
        <v>2497</v>
      </c>
    </row>
    <row r="835" spans="1:18" ht="27.7" hidden="1" thickBot="1" x14ac:dyDescent="0.55000000000000004">
      <c r="A835" s="36">
        <v>833</v>
      </c>
      <c r="B835" s="37" t="s">
        <v>2498</v>
      </c>
      <c r="C835" s="37" t="s">
        <v>2474</v>
      </c>
      <c r="D835" s="37" t="s">
        <v>2435</v>
      </c>
      <c r="E835" s="37" t="s">
        <v>2435</v>
      </c>
      <c r="F835" s="37" t="s">
        <v>1180</v>
      </c>
      <c r="G835" s="37" t="s">
        <v>1180</v>
      </c>
      <c r="H835" s="37" t="s">
        <v>1180</v>
      </c>
      <c r="I835" s="37" t="s">
        <v>2475</v>
      </c>
      <c r="J835" s="37" t="s">
        <v>2475</v>
      </c>
      <c r="K835" s="37" t="s">
        <v>88</v>
      </c>
      <c r="L835" s="36">
        <v>2</v>
      </c>
      <c r="M835" s="36">
        <v>2</v>
      </c>
      <c r="N835" s="36">
        <v>2</v>
      </c>
      <c r="O835" s="36">
        <v>3</v>
      </c>
      <c r="P835" s="37" t="s">
        <v>292</v>
      </c>
      <c r="Q835" s="37"/>
      <c r="R835" s="37" t="s">
        <v>2499</v>
      </c>
    </row>
    <row r="836" spans="1:18" ht="27.7" hidden="1" thickBot="1" x14ac:dyDescent="0.55000000000000004">
      <c r="A836" s="36">
        <v>834</v>
      </c>
      <c r="B836" s="37" t="s">
        <v>2496</v>
      </c>
      <c r="C836" s="37" t="s">
        <v>2496</v>
      </c>
      <c r="D836" s="37" t="s">
        <v>2435</v>
      </c>
      <c r="E836" s="37" t="s">
        <v>2435</v>
      </c>
      <c r="F836" s="37" t="s">
        <v>1180</v>
      </c>
      <c r="G836" s="37" t="s">
        <v>1180</v>
      </c>
      <c r="H836" s="37" t="s">
        <v>1180</v>
      </c>
      <c r="I836" s="37" t="s">
        <v>105</v>
      </c>
      <c r="J836" s="37" t="s">
        <v>2475</v>
      </c>
      <c r="K836" s="37" t="s">
        <v>88</v>
      </c>
      <c r="L836" s="36">
        <v>3</v>
      </c>
      <c r="M836" s="36">
        <v>3</v>
      </c>
      <c r="N836" s="36">
        <v>3</v>
      </c>
      <c r="O836" s="36">
        <v>4</v>
      </c>
      <c r="P836" s="37" t="s">
        <v>265</v>
      </c>
      <c r="Q836" s="37"/>
      <c r="R836" s="37" t="s">
        <v>2500</v>
      </c>
    </row>
    <row r="837" spans="1:18" ht="14.7" hidden="1" thickBot="1" x14ac:dyDescent="0.55000000000000004">
      <c r="A837" s="36">
        <v>835</v>
      </c>
      <c r="B837" s="37" t="s">
        <v>2501</v>
      </c>
      <c r="C837" s="37" t="s">
        <v>2496</v>
      </c>
      <c r="D837" s="37" t="s">
        <v>2435</v>
      </c>
      <c r="E837" s="37" t="s">
        <v>2435</v>
      </c>
      <c r="F837" s="37" t="s">
        <v>1180</v>
      </c>
      <c r="G837" s="37" t="s">
        <v>1180</v>
      </c>
      <c r="H837" s="37" t="s">
        <v>1180</v>
      </c>
      <c r="I837" s="37" t="s">
        <v>2475</v>
      </c>
      <c r="J837" s="37" t="s">
        <v>2475</v>
      </c>
      <c r="K837" s="37" t="s">
        <v>88</v>
      </c>
      <c r="L837" s="36">
        <v>1</v>
      </c>
      <c r="M837" s="36">
        <v>1</v>
      </c>
      <c r="N837" s="36">
        <v>1</v>
      </c>
      <c r="O837" s="36">
        <v>2</v>
      </c>
      <c r="P837" s="37" t="s">
        <v>292</v>
      </c>
      <c r="Q837" s="37"/>
      <c r="R837" s="37" t="s">
        <v>2502</v>
      </c>
    </row>
    <row r="838" spans="1:18" ht="27.7" hidden="1" thickBot="1" x14ac:dyDescent="0.55000000000000004">
      <c r="A838" s="36">
        <v>836</v>
      </c>
      <c r="B838" s="37" t="s">
        <v>2503</v>
      </c>
      <c r="C838" s="37" t="s">
        <v>2496</v>
      </c>
      <c r="D838" s="37" t="s">
        <v>2435</v>
      </c>
      <c r="E838" s="37" t="s">
        <v>2435</v>
      </c>
      <c r="F838" s="37" t="s">
        <v>1180</v>
      </c>
      <c r="G838" s="37" t="s">
        <v>1180</v>
      </c>
      <c r="H838" s="37" t="s">
        <v>1180</v>
      </c>
      <c r="I838" s="37" t="s">
        <v>105</v>
      </c>
      <c r="J838" s="37" t="s">
        <v>105</v>
      </c>
      <c r="K838" s="37" t="s">
        <v>88</v>
      </c>
      <c r="L838" s="36">
        <v>3</v>
      </c>
      <c r="M838" s="36">
        <v>3</v>
      </c>
      <c r="N838" s="36">
        <v>3</v>
      </c>
      <c r="O838" s="36">
        <v>5</v>
      </c>
      <c r="P838" s="37" t="s">
        <v>265</v>
      </c>
      <c r="Q838" s="37"/>
      <c r="R838" s="37" t="s">
        <v>2504</v>
      </c>
    </row>
    <row r="839" spans="1:18" ht="14.7" hidden="1" thickBot="1" x14ac:dyDescent="0.55000000000000004">
      <c r="A839" s="36">
        <v>837</v>
      </c>
      <c r="B839" s="37" t="s">
        <v>2505</v>
      </c>
      <c r="C839" s="37" t="s">
        <v>2506</v>
      </c>
      <c r="D839" s="37" t="s">
        <v>2435</v>
      </c>
      <c r="E839" s="37" t="s">
        <v>2435</v>
      </c>
      <c r="F839" s="37" t="s">
        <v>1180</v>
      </c>
      <c r="G839" s="37" t="s">
        <v>1180</v>
      </c>
      <c r="H839" s="37" t="s">
        <v>1180</v>
      </c>
      <c r="I839" s="37" t="s">
        <v>2475</v>
      </c>
      <c r="J839" s="37" t="s">
        <v>2475</v>
      </c>
      <c r="K839" s="37" t="s">
        <v>88</v>
      </c>
      <c r="L839" s="36">
        <v>1</v>
      </c>
      <c r="M839" s="36">
        <v>1</v>
      </c>
      <c r="N839" s="36">
        <v>1</v>
      </c>
      <c r="O839" s="36">
        <v>2</v>
      </c>
      <c r="P839" s="37" t="s">
        <v>292</v>
      </c>
      <c r="Q839" s="37"/>
      <c r="R839" s="37" t="s">
        <v>2507</v>
      </c>
    </row>
    <row r="840" spans="1:18" ht="14.7" hidden="1" thickBot="1" x14ac:dyDescent="0.55000000000000004">
      <c r="A840" s="36">
        <v>838</v>
      </c>
      <c r="B840" s="37" t="s">
        <v>2508</v>
      </c>
      <c r="C840" s="37" t="s">
        <v>2506</v>
      </c>
      <c r="D840" s="37" t="s">
        <v>2435</v>
      </c>
      <c r="E840" s="37" t="s">
        <v>2435</v>
      </c>
      <c r="F840" s="37" t="s">
        <v>1180</v>
      </c>
      <c r="G840" s="37" t="s">
        <v>1180</v>
      </c>
      <c r="H840" s="37" t="s">
        <v>1180</v>
      </c>
      <c r="I840" s="37" t="s">
        <v>105</v>
      </c>
      <c r="J840" s="37" t="s">
        <v>105</v>
      </c>
      <c r="K840" s="37" t="s">
        <v>88</v>
      </c>
      <c r="L840" s="36">
        <v>3</v>
      </c>
      <c r="M840" s="36">
        <v>3</v>
      </c>
      <c r="N840" s="36">
        <v>4</v>
      </c>
      <c r="O840" s="36">
        <v>4</v>
      </c>
      <c r="P840" s="37" t="s">
        <v>265</v>
      </c>
      <c r="Q840" s="37"/>
      <c r="R840" s="37" t="s">
        <v>2509</v>
      </c>
    </row>
    <row r="841" spans="1:18" ht="14.7" hidden="1" thickBot="1" x14ac:dyDescent="0.55000000000000004">
      <c r="A841" s="36">
        <v>839</v>
      </c>
      <c r="B841" s="37" t="s">
        <v>2510</v>
      </c>
      <c r="C841" s="37" t="s">
        <v>2511</v>
      </c>
      <c r="D841" s="37" t="s">
        <v>2435</v>
      </c>
      <c r="E841" s="37" t="s">
        <v>2435</v>
      </c>
      <c r="F841" s="37" t="s">
        <v>1180</v>
      </c>
      <c r="G841" s="37" t="s">
        <v>1180</v>
      </c>
      <c r="H841" s="37" t="s">
        <v>1180</v>
      </c>
      <c r="I841" s="37" t="s">
        <v>105</v>
      </c>
      <c r="J841" s="37" t="s">
        <v>88</v>
      </c>
      <c r="K841" s="37" t="s">
        <v>88</v>
      </c>
      <c r="L841" s="36">
        <v>3</v>
      </c>
      <c r="M841" s="36">
        <v>3</v>
      </c>
      <c r="N841" s="36">
        <v>3</v>
      </c>
      <c r="O841" s="36">
        <v>4</v>
      </c>
      <c r="P841" s="37" t="s">
        <v>265</v>
      </c>
      <c r="Q841" s="37"/>
      <c r="R841" s="37" t="s">
        <v>2512</v>
      </c>
    </row>
    <row r="842" spans="1:18" ht="14.7" hidden="1" thickBot="1" x14ac:dyDescent="0.55000000000000004">
      <c r="A842" s="36">
        <v>840</v>
      </c>
      <c r="B842" s="37" t="s">
        <v>2506</v>
      </c>
      <c r="C842" s="37" t="s">
        <v>2506</v>
      </c>
      <c r="D842" s="37" t="s">
        <v>2435</v>
      </c>
      <c r="E842" s="37" t="s">
        <v>2435</v>
      </c>
      <c r="F842" s="37" t="s">
        <v>1180</v>
      </c>
      <c r="G842" s="37" t="s">
        <v>1180</v>
      </c>
      <c r="H842" s="37" t="s">
        <v>1180</v>
      </c>
      <c r="I842" s="37" t="s">
        <v>2452</v>
      </c>
      <c r="J842" s="37" t="s">
        <v>2452</v>
      </c>
      <c r="K842" s="37" t="s">
        <v>88</v>
      </c>
      <c r="L842" s="36">
        <v>6</v>
      </c>
      <c r="M842" s="36">
        <v>6</v>
      </c>
      <c r="N842" s="36">
        <v>6</v>
      </c>
      <c r="O842" s="36">
        <v>6</v>
      </c>
      <c r="P842" s="37" t="s">
        <v>292</v>
      </c>
      <c r="Q842" s="37"/>
      <c r="R842" s="37" t="s">
        <v>2513</v>
      </c>
    </row>
    <row r="843" spans="1:18" ht="27.7" hidden="1" thickBot="1" x14ac:dyDescent="0.55000000000000004">
      <c r="A843" s="36">
        <v>841</v>
      </c>
      <c r="B843" s="37" t="s">
        <v>2511</v>
      </c>
      <c r="C843" s="37" t="s">
        <v>2511</v>
      </c>
      <c r="D843" s="37" t="s">
        <v>2435</v>
      </c>
      <c r="E843" s="37" t="s">
        <v>2435</v>
      </c>
      <c r="F843" s="37" t="s">
        <v>1180</v>
      </c>
      <c r="G843" s="37" t="s">
        <v>1180</v>
      </c>
      <c r="H843" s="37" t="s">
        <v>1180</v>
      </c>
      <c r="I843" s="37" t="s">
        <v>105</v>
      </c>
      <c r="J843" s="37" t="s">
        <v>88</v>
      </c>
      <c r="K843" s="37" t="s">
        <v>88</v>
      </c>
      <c r="L843" s="36">
        <v>5</v>
      </c>
      <c r="M843" s="36">
        <v>5</v>
      </c>
      <c r="N843" s="36">
        <v>5</v>
      </c>
      <c r="O843" s="36">
        <v>6</v>
      </c>
      <c r="P843" s="37" t="s">
        <v>265</v>
      </c>
      <c r="Q843" s="37"/>
      <c r="R843" s="37" t="s">
        <v>2514</v>
      </c>
    </row>
    <row r="844" spans="1:18" ht="14.7" hidden="1" thickBot="1" x14ac:dyDescent="0.55000000000000004">
      <c r="A844" s="36">
        <v>842</v>
      </c>
      <c r="B844" s="37" t="s">
        <v>2515</v>
      </c>
      <c r="C844" s="37" t="s">
        <v>2511</v>
      </c>
      <c r="D844" s="37" t="s">
        <v>2435</v>
      </c>
      <c r="E844" s="37" t="s">
        <v>2435</v>
      </c>
      <c r="F844" s="37" t="s">
        <v>1180</v>
      </c>
      <c r="G844" s="37" t="s">
        <v>1180</v>
      </c>
      <c r="H844" s="37" t="s">
        <v>1180</v>
      </c>
      <c r="I844" s="37" t="s">
        <v>2452</v>
      </c>
      <c r="J844" s="37" t="s">
        <v>2452</v>
      </c>
      <c r="K844" s="37" t="s">
        <v>88</v>
      </c>
      <c r="L844" s="36">
        <v>1</v>
      </c>
      <c r="M844" s="36">
        <v>4</v>
      </c>
      <c r="N844" s="36">
        <v>4</v>
      </c>
      <c r="O844" s="36">
        <v>4</v>
      </c>
      <c r="P844" s="37" t="s">
        <v>265</v>
      </c>
      <c r="Q844" s="37"/>
      <c r="R844" s="37" t="s">
        <v>2516</v>
      </c>
    </row>
    <row r="845" spans="1:18" ht="27.7" hidden="1" thickBot="1" x14ac:dyDescent="0.55000000000000004">
      <c r="A845" s="36">
        <v>843</v>
      </c>
      <c r="B845" s="37" t="s">
        <v>2517</v>
      </c>
      <c r="C845" s="37" t="s">
        <v>2517</v>
      </c>
      <c r="D845" s="37" t="s">
        <v>2435</v>
      </c>
      <c r="E845" s="37" t="s">
        <v>2435</v>
      </c>
      <c r="F845" s="37" t="s">
        <v>1180</v>
      </c>
      <c r="G845" s="37" t="s">
        <v>1180</v>
      </c>
      <c r="H845" s="37" t="s">
        <v>1180</v>
      </c>
      <c r="I845" s="37" t="s">
        <v>2032</v>
      </c>
      <c r="J845" s="37" t="s">
        <v>2032</v>
      </c>
      <c r="K845" s="37" t="s">
        <v>88</v>
      </c>
      <c r="L845" s="36">
        <v>2</v>
      </c>
      <c r="M845" s="36">
        <v>6</v>
      </c>
      <c r="N845" s="36">
        <v>6</v>
      </c>
      <c r="O845" s="36">
        <v>7</v>
      </c>
      <c r="P845" s="37" t="s">
        <v>292</v>
      </c>
      <c r="Q845" s="37"/>
      <c r="R845" s="37" t="s">
        <v>2518</v>
      </c>
    </row>
    <row r="846" spans="1:18" ht="27.7" hidden="1" thickBot="1" x14ac:dyDescent="0.55000000000000004">
      <c r="A846" s="36">
        <v>844</v>
      </c>
      <c r="B846" s="37" t="s">
        <v>2519</v>
      </c>
      <c r="C846" s="37" t="s">
        <v>2517</v>
      </c>
      <c r="D846" s="37" t="s">
        <v>2435</v>
      </c>
      <c r="E846" s="37" t="s">
        <v>2435</v>
      </c>
      <c r="F846" s="37" t="s">
        <v>1180</v>
      </c>
      <c r="G846" s="37" t="s">
        <v>1180</v>
      </c>
      <c r="H846" s="37" t="s">
        <v>1180</v>
      </c>
      <c r="I846" s="37" t="s">
        <v>2452</v>
      </c>
      <c r="J846" s="37" t="s">
        <v>2452</v>
      </c>
      <c r="K846" s="37" t="s">
        <v>88</v>
      </c>
      <c r="L846" s="36">
        <v>1</v>
      </c>
      <c r="M846" s="36">
        <v>1</v>
      </c>
      <c r="N846" s="36">
        <v>4</v>
      </c>
      <c r="O846" s="36">
        <v>4</v>
      </c>
      <c r="P846" s="37" t="s">
        <v>265</v>
      </c>
      <c r="Q846" s="37"/>
      <c r="R846" s="37" t="s">
        <v>2520</v>
      </c>
    </row>
    <row r="847" spans="1:18" ht="27.7" hidden="1" thickBot="1" x14ac:dyDescent="0.55000000000000004">
      <c r="A847" s="36">
        <v>845</v>
      </c>
      <c r="B847" s="37" t="s">
        <v>2521</v>
      </c>
      <c r="C847" s="37" t="s">
        <v>2517</v>
      </c>
      <c r="D847" s="37" t="s">
        <v>2435</v>
      </c>
      <c r="E847" s="37" t="s">
        <v>2435</v>
      </c>
      <c r="F847" s="37" t="s">
        <v>1180</v>
      </c>
      <c r="G847" s="37" t="s">
        <v>1180</v>
      </c>
      <c r="H847" s="37" t="s">
        <v>1180</v>
      </c>
      <c r="I847" s="37" t="s">
        <v>2032</v>
      </c>
      <c r="J847" s="37" t="s">
        <v>2032</v>
      </c>
      <c r="K847" s="37" t="s">
        <v>88</v>
      </c>
      <c r="L847" s="36">
        <v>1</v>
      </c>
      <c r="M847" s="36">
        <v>1</v>
      </c>
      <c r="N847" s="36">
        <v>4</v>
      </c>
      <c r="O847" s="36">
        <v>5</v>
      </c>
      <c r="P847" s="37" t="s">
        <v>265</v>
      </c>
      <c r="Q847" s="37"/>
      <c r="R847" s="37" t="s">
        <v>2522</v>
      </c>
    </row>
    <row r="848" spans="1:18" ht="27.7" hidden="1" thickBot="1" x14ac:dyDescent="0.55000000000000004">
      <c r="A848" s="36">
        <v>846</v>
      </c>
      <c r="B848" s="37" t="s">
        <v>2523</v>
      </c>
      <c r="C848" s="37" t="s">
        <v>2517</v>
      </c>
      <c r="D848" s="37" t="s">
        <v>2435</v>
      </c>
      <c r="E848" s="37" t="s">
        <v>2435</v>
      </c>
      <c r="F848" s="37" t="s">
        <v>1180</v>
      </c>
      <c r="G848" s="37" t="s">
        <v>1180</v>
      </c>
      <c r="H848" s="37" t="s">
        <v>1180</v>
      </c>
      <c r="I848" s="37" t="s">
        <v>2032</v>
      </c>
      <c r="J848" s="37" t="s">
        <v>2032</v>
      </c>
      <c r="K848" s="37" t="s">
        <v>88</v>
      </c>
      <c r="L848" s="36">
        <v>1</v>
      </c>
      <c r="M848" s="36">
        <v>1</v>
      </c>
      <c r="N848" s="36">
        <v>1</v>
      </c>
      <c r="O848" s="36">
        <v>3</v>
      </c>
      <c r="P848" s="37" t="s">
        <v>265</v>
      </c>
      <c r="Q848" s="37"/>
      <c r="R848" s="37" t="s">
        <v>2524</v>
      </c>
    </row>
    <row r="849" spans="1:18" ht="27.7" hidden="1" thickBot="1" x14ac:dyDescent="0.55000000000000004">
      <c r="A849" s="36">
        <v>847</v>
      </c>
      <c r="B849" s="37" t="s">
        <v>2525</v>
      </c>
      <c r="C849" s="37" t="s">
        <v>2517</v>
      </c>
      <c r="D849" s="37" t="s">
        <v>2435</v>
      </c>
      <c r="E849" s="37" t="s">
        <v>2435</v>
      </c>
      <c r="F849" s="37" t="s">
        <v>1180</v>
      </c>
      <c r="G849" s="37" t="s">
        <v>1180</v>
      </c>
      <c r="H849" s="37" t="s">
        <v>1180</v>
      </c>
      <c r="I849" s="37" t="s">
        <v>105</v>
      </c>
      <c r="J849" s="37" t="s">
        <v>105</v>
      </c>
      <c r="K849" s="37" t="s">
        <v>88</v>
      </c>
      <c r="L849" s="36">
        <v>1</v>
      </c>
      <c r="M849" s="36">
        <v>1</v>
      </c>
      <c r="N849" s="36">
        <v>3</v>
      </c>
      <c r="O849" s="36">
        <v>3</v>
      </c>
      <c r="P849" s="37" t="s">
        <v>265</v>
      </c>
      <c r="Q849" s="37"/>
      <c r="R849" s="37" t="s">
        <v>2526</v>
      </c>
    </row>
    <row r="850" spans="1:18" ht="27.7" hidden="1" thickBot="1" x14ac:dyDescent="0.55000000000000004">
      <c r="A850" s="36">
        <v>848</v>
      </c>
      <c r="B850" s="37" t="s">
        <v>2527</v>
      </c>
      <c r="C850" s="37" t="s">
        <v>940</v>
      </c>
      <c r="D850" s="37" t="s">
        <v>284</v>
      </c>
      <c r="E850" s="37" t="s">
        <v>260</v>
      </c>
      <c r="F850" s="37" t="s">
        <v>520</v>
      </c>
      <c r="G850" s="37" t="s">
        <v>515</v>
      </c>
      <c r="H850" s="37" t="s">
        <v>515</v>
      </c>
      <c r="I850" s="37" t="s">
        <v>264</v>
      </c>
      <c r="J850" s="37" t="s">
        <v>105</v>
      </c>
      <c r="K850" s="37" t="s">
        <v>105</v>
      </c>
      <c r="L850" s="36">
        <v>1</v>
      </c>
      <c r="M850" s="36">
        <v>2</v>
      </c>
      <c r="N850" s="36">
        <v>2</v>
      </c>
      <c r="O850" s="36">
        <v>4</v>
      </c>
      <c r="P850" s="37" t="s">
        <v>265</v>
      </c>
      <c r="Q850" s="37"/>
      <c r="R850" s="37" t="s">
        <v>2528</v>
      </c>
    </row>
    <row r="851" spans="1:18" ht="27.7" hidden="1" thickBot="1" x14ac:dyDescent="0.55000000000000004">
      <c r="A851" s="36">
        <v>849</v>
      </c>
      <c r="B851" s="37" t="s">
        <v>2529</v>
      </c>
      <c r="C851" s="37" t="s">
        <v>2517</v>
      </c>
      <c r="D851" s="37" t="s">
        <v>2435</v>
      </c>
      <c r="E851" s="37" t="s">
        <v>2435</v>
      </c>
      <c r="F851" s="37" t="s">
        <v>1180</v>
      </c>
      <c r="G851" s="37" t="s">
        <v>1180</v>
      </c>
      <c r="H851" s="37" t="s">
        <v>1180</v>
      </c>
      <c r="I851" s="37" t="s">
        <v>2530</v>
      </c>
      <c r="J851" s="37" t="s">
        <v>2530</v>
      </c>
      <c r="K851" s="37" t="s">
        <v>2530</v>
      </c>
      <c r="L851" s="36">
        <v>1</v>
      </c>
      <c r="M851" s="36">
        <v>1</v>
      </c>
      <c r="N851" s="36">
        <v>1</v>
      </c>
      <c r="O851" s="36">
        <v>3</v>
      </c>
      <c r="P851" s="37" t="s">
        <v>265</v>
      </c>
      <c r="Q851" s="37"/>
      <c r="R851" s="37" t="s">
        <v>2531</v>
      </c>
    </row>
    <row r="852" spans="1:18" ht="27.7" hidden="1" thickBot="1" x14ac:dyDescent="0.55000000000000004">
      <c r="A852" s="36">
        <v>850</v>
      </c>
      <c r="B852" s="37" t="s">
        <v>2532</v>
      </c>
      <c r="C852" s="37" t="s">
        <v>1321</v>
      </c>
      <c r="D852" s="37" t="s">
        <v>1001</v>
      </c>
      <c r="E852" s="37" t="s">
        <v>260</v>
      </c>
      <c r="F852" s="37" t="s">
        <v>1002</v>
      </c>
      <c r="G852" s="37" t="s">
        <v>1002</v>
      </c>
      <c r="H852" s="37" t="s">
        <v>1002</v>
      </c>
      <c r="I852" s="37" t="s">
        <v>1003</v>
      </c>
      <c r="J852" s="37" t="s">
        <v>1003</v>
      </c>
      <c r="K852" s="37" t="s">
        <v>1003</v>
      </c>
      <c r="L852" s="36">
        <v>1</v>
      </c>
      <c r="M852" s="36">
        <v>1</v>
      </c>
      <c r="N852" s="36">
        <v>1</v>
      </c>
      <c r="O852" s="36">
        <v>2</v>
      </c>
      <c r="P852" s="37" t="s">
        <v>265</v>
      </c>
      <c r="Q852" s="37" t="s">
        <v>2533</v>
      </c>
      <c r="R852" s="37" t="s">
        <v>2534</v>
      </c>
    </row>
    <row r="853" spans="1:18" ht="27.7" hidden="1" thickBot="1" x14ac:dyDescent="0.55000000000000004">
      <c r="A853" s="36">
        <v>851</v>
      </c>
      <c r="B853" s="37" t="s">
        <v>1161</v>
      </c>
      <c r="C853" s="37" t="s">
        <v>1161</v>
      </c>
      <c r="D853" s="37" t="s">
        <v>1162</v>
      </c>
      <c r="E853" s="37" t="s">
        <v>1163</v>
      </c>
      <c r="F853" s="37" t="s">
        <v>871</v>
      </c>
      <c r="G853" s="37" t="s">
        <v>871</v>
      </c>
      <c r="H853" s="37" t="s">
        <v>871</v>
      </c>
      <c r="I853" s="37" t="s">
        <v>105</v>
      </c>
      <c r="J853" s="37" t="s">
        <v>105</v>
      </c>
      <c r="K853" s="37" t="s">
        <v>105</v>
      </c>
      <c r="L853" s="36">
        <v>4</v>
      </c>
      <c r="M853" s="36">
        <v>4</v>
      </c>
      <c r="N853" s="36">
        <v>4</v>
      </c>
      <c r="O853" s="36">
        <v>5</v>
      </c>
      <c r="P853" s="37" t="s">
        <v>265</v>
      </c>
      <c r="Q853" s="37" t="s">
        <v>2535</v>
      </c>
      <c r="R853" s="37" t="s">
        <v>2536</v>
      </c>
    </row>
    <row r="854" spans="1:18" ht="27.7" hidden="1" thickBot="1" x14ac:dyDescent="0.55000000000000004">
      <c r="A854" s="36">
        <v>852</v>
      </c>
      <c r="B854" s="37" t="s">
        <v>2537</v>
      </c>
      <c r="C854" s="37" t="s">
        <v>1063</v>
      </c>
      <c r="D854" s="37" t="s">
        <v>1063</v>
      </c>
      <c r="E854" s="37" t="s">
        <v>1064</v>
      </c>
      <c r="F854" s="37" t="s">
        <v>2002</v>
      </c>
      <c r="G854" s="37" t="s">
        <v>2002</v>
      </c>
      <c r="H854" s="37" t="s">
        <v>2002</v>
      </c>
      <c r="I854" s="37" t="s">
        <v>1964</v>
      </c>
      <c r="J854" s="37" t="s">
        <v>88</v>
      </c>
      <c r="K854" s="37" t="s">
        <v>88</v>
      </c>
      <c r="L854" s="36">
        <v>3</v>
      </c>
      <c r="M854" s="36">
        <v>3</v>
      </c>
      <c r="N854" s="36">
        <v>3</v>
      </c>
      <c r="O854" s="36">
        <v>4</v>
      </c>
      <c r="P854" s="37" t="s">
        <v>292</v>
      </c>
      <c r="Q854" s="37"/>
      <c r="R854" s="37" t="s">
        <v>2538</v>
      </c>
    </row>
    <row r="855" spans="1:18" ht="27.7" hidden="1" thickBot="1" x14ac:dyDescent="0.55000000000000004">
      <c r="A855" s="36">
        <v>853</v>
      </c>
      <c r="B855" s="37" t="s">
        <v>2539</v>
      </c>
      <c r="C855" s="37" t="s">
        <v>2001</v>
      </c>
      <c r="D855" s="37" t="s">
        <v>1998</v>
      </c>
      <c r="E855" s="37" t="s">
        <v>1064</v>
      </c>
      <c r="F855" s="37" t="s">
        <v>1972</v>
      </c>
      <c r="G855" s="37" t="s">
        <v>1972</v>
      </c>
      <c r="H855" s="37" t="s">
        <v>1972</v>
      </c>
      <c r="I855" s="37" t="s">
        <v>1964</v>
      </c>
      <c r="J855" s="37" t="s">
        <v>88</v>
      </c>
      <c r="K855" s="37" t="s">
        <v>88</v>
      </c>
      <c r="L855" s="36">
        <v>3</v>
      </c>
      <c r="M855" s="36">
        <v>3</v>
      </c>
      <c r="N855" s="36">
        <v>3</v>
      </c>
      <c r="O855" s="36">
        <v>3</v>
      </c>
      <c r="P855" s="37" t="s">
        <v>292</v>
      </c>
      <c r="Q855" s="37"/>
      <c r="R855" s="37" t="s">
        <v>2540</v>
      </c>
    </row>
    <row r="856" spans="1:18" ht="27.7" hidden="1" thickBot="1" x14ac:dyDescent="0.55000000000000004">
      <c r="A856" s="36">
        <v>854</v>
      </c>
      <c r="B856" s="37" t="s">
        <v>2541</v>
      </c>
      <c r="C856" s="37" t="s">
        <v>2542</v>
      </c>
      <c r="D856" s="37" t="s">
        <v>2543</v>
      </c>
      <c r="E856" s="37" t="s">
        <v>1064</v>
      </c>
      <c r="F856" s="37" t="s">
        <v>1065</v>
      </c>
      <c r="G856" s="37" t="s">
        <v>1065</v>
      </c>
      <c r="H856" s="37" t="s">
        <v>1065</v>
      </c>
      <c r="I856" s="37" t="s">
        <v>92</v>
      </c>
      <c r="J856" s="37" t="s">
        <v>92</v>
      </c>
      <c r="K856" s="37" t="s">
        <v>92</v>
      </c>
      <c r="L856" s="36">
        <v>2</v>
      </c>
      <c r="M856" s="36">
        <v>2</v>
      </c>
      <c r="N856" s="36">
        <v>2</v>
      </c>
      <c r="O856" s="36">
        <v>3</v>
      </c>
      <c r="P856" s="37" t="s">
        <v>292</v>
      </c>
      <c r="Q856" s="37"/>
      <c r="R856" s="37" t="s">
        <v>2544</v>
      </c>
    </row>
    <row r="857" spans="1:18" ht="27.7" hidden="1" thickBot="1" x14ac:dyDescent="0.55000000000000004">
      <c r="A857" s="36">
        <v>855</v>
      </c>
      <c r="B857" s="37" t="s">
        <v>2545</v>
      </c>
      <c r="C857" s="37" t="s">
        <v>2546</v>
      </c>
      <c r="D857" s="37" t="s">
        <v>2547</v>
      </c>
      <c r="E857" s="37" t="s">
        <v>2037</v>
      </c>
      <c r="F857" s="37" t="s">
        <v>2030</v>
      </c>
      <c r="G857" s="37" t="s">
        <v>2030</v>
      </c>
      <c r="H857" s="37" t="s">
        <v>2030</v>
      </c>
      <c r="I857" s="37" t="s">
        <v>88</v>
      </c>
      <c r="J857" s="37" t="s">
        <v>88</v>
      </c>
      <c r="K857" s="37" t="s">
        <v>88</v>
      </c>
      <c r="L857" s="36">
        <v>1</v>
      </c>
      <c r="M857" s="36">
        <v>1</v>
      </c>
      <c r="N857" s="36">
        <v>2</v>
      </c>
      <c r="O857" s="36">
        <v>3</v>
      </c>
      <c r="P857" s="37" t="s">
        <v>265</v>
      </c>
      <c r="Q857" s="37"/>
      <c r="R857" s="37" t="s">
        <v>2548</v>
      </c>
    </row>
    <row r="858" spans="1:18" ht="27.7" hidden="1" thickBot="1" x14ac:dyDescent="0.55000000000000004">
      <c r="A858" s="36">
        <v>856</v>
      </c>
      <c r="B858" s="37" t="s">
        <v>2549</v>
      </c>
      <c r="C858" s="37" t="s">
        <v>2546</v>
      </c>
      <c r="D858" s="37" t="s">
        <v>2547</v>
      </c>
      <c r="E858" s="37" t="s">
        <v>2037</v>
      </c>
      <c r="F858" s="37" t="s">
        <v>2030</v>
      </c>
      <c r="G858" s="37" t="s">
        <v>2030</v>
      </c>
      <c r="H858" s="37" t="s">
        <v>2030</v>
      </c>
      <c r="I858" s="37" t="s">
        <v>2452</v>
      </c>
      <c r="J858" s="37" t="s">
        <v>88</v>
      </c>
      <c r="K858" s="37" t="s">
        <v>88</v>
      </c>
      <c r="L858" s="36">
        <v>1</v>
      </c>
      <c r="M858" s="36">
        <v>1</v>
      </c>
      <c r="N858" s="36">
        <v>2</v>
      </c>
      <c r="O858" s="36">
        <v>4</v>
      </c>
      <c r="P858" s="37" t="s">
        <v>265</v>
      </c>
      <c r="Q858" s="37" t="s">
        <v>2550</v>
      </c>
      <c r="R858" s="37" t="s">
        <v>2551</v>
      </c>
    </row>
    <row r="859" spans="1:18" ht="27.7" hidden="1" thickBot="1" x14ac:dyDescent="0.55000000000000004">
      <c r="A859" s="36">
        <v>857</v>
      </c>
      <c r="B859" s="37" t="s">
        <v>2552</v>
      </c>
      <c r="C859" s="37" t="s">
        <v>2553</v>
      </c>
      <c r="D859" s="37" t="s">
        <v>2547</v>
      </c>
      <c r="E859" s="37" t="s">
        <v>2037</v>
      </c>
      <c r="F859" s="37" t="s">
        <v>2030</v>
      </c>
      <c r="G859" s="37" t="s">
        <v>2030</v>
      </c>
      <c r="H859" s="37" t="s">
        <v>2030</v>
      </c>
      <c r="I859" s="37" t="s">
        <v>88</v>
      </c>
      <c r="J859" s="37" t="s">
        <v>88</v>
      </c>
      <c r="K859" s="37" t="s">
        <v>88</v>
      </c>
      <c r="L859" s="36">
        <v>1</v>
      </c>
      <c r="M859" s="36">
        <v>1</v>
      </c>
      <c r="N859" s="36">
        <v>1</v>
      </c>
      <c r="O859" s="36">
        <v>3</v>
      </c>
      <c r="P859" s="37" t="s">
        <v>265</v>
      </c>
      <c r="Q859" s="37"/>
      <c r="R859" s="37" t="s">
        <v>2554</v>
      </c>
    </row>
    <row r="860" spans="1:18" ht="27.7" hidden="1" thickBot="1" x14ac:dyDescent="0.55000000000000004">
      <c r="A860" s="36">
        <v>858</v>
      </c>
      <c r="B860" s="37" t="s">
        <v>2555</v>
      </c>
      <c r="C860" s="37" t="s">
        <v>2553</v>
      </c>
      <c r="D860" s="37" t="s">
        <v>2547</v>
      </c>
      <c r="E860" s="37" t="s">
        <v>2037</v>
      </c>
      <c r="F860" s="37" t="s">
        <v>2030</v>
      </c>
      <c r="G860" s="37" t="s">
        <v>2030</v>
      </c>
      <c r="H860" s="37" t="s">
        <v>2030</v>
      </c>
      <c r="I860" s="37" t="s">
        <v>88</v>
      </c>
      <c r="J860" s="37" t="s">
        <v>88</v>
      </c>
      <c r="K860" s="37" t="s">
        <v>88</v>
      </c>
      <c r="L860" s="36">
        <v>3</v>
      </c>
      <c r="M860" s="36">
        <v>3</v>
      </c>
      <c r="N860" s="36">
        <v>3</v>
      </c>
      <c r="O860" s="36">
        <v>6</v>
      </c>
      <c r="P860" s="37" t="s">
        <v>265</v>
      </c>
      <c r="Q860" s="37"/>
      <c r="R860" s="37" t="s">
        <v>2556</v>
      </c>
    </row>
    <row r="861" spans="1:18" ht="27.7" hidden="1" thickBot="1" x14ac:dyDescent="0.55000000000000004">
      <c r="A861" s="36">
        <v>859</v>
      </c>
      <c r="B861" s="37" t="s">
        <v>2553</v>
      </c>
      <c r="C861" s="37" t="s">
        <v>2553</v>
      </c>
      <c r="D861" s="37" t="s">
        <v>2547</v>
      </c>
      <c r="E861" s="37" t="s">
        <v>2037</v>
      </c>
      <c r="F861" s="37" t="s">
        <v>2030</v>
      </c>
      <c r="G861" s="37" t="s">
        <v>2030</v>
      </c>
      <c r="H861" s="37" t="s">
        <v>2030</v>
      </c>
      <c r="I861" s="37" t="s">
        <v>88</v>
      </c>
      <c r="J861" s="37" t="s">
        <v>88</v>
      </c>
      <c r="K861" s="37" t="s">
        <v>88</v>
      </c>
      <c r="L861" s="36">
        <v>4</v>
      </c>
      <c r="M861" s="36">
        <v>4</v>
      </c>
      <c r="N861" s="36">
        <v>4</v>
      </c>
      <c r="O861" s="36">
        <v>5</v>
      </c>
      <c r="P861" s="37" t="s">
        <v>292</v>
      </c>
      <c r="Q861" s="37"/>
      <c r="R861" s="37" t="s">
        <v>2557</v>
      </c>
    </row>
    <row r="862" spans="1:18" ht="27.7" hidden="1" thickBot="1" x14ac:dyDescent="0.55000000000000004">
      <c r="A862" s="36">
        <v>860</v>
      </c>
      <c r="B862" s="37" t="s">
        <v>2558</v>
      </c>
      <c r="C862" s="37" t="s">
        <v>2558</v>
      </c>
      <c r="D862" s="37" t="s">
        <v>2547</v>
      </c>
      <c r="E862" s="37" t="s">
        <v>2037</v>
      </c>
      <c r="F862" s="37" t="s">
        <v>2030</v>
      </c>
      <c r="G862" s="37" t="s">
        <v>2030</v>
      </c>
      <c r="H862" s="37" t="s">
        <v>2030</v>
      </c>
      <c r="I862" s="37" t="s">
        <v>2452</v>
      </c>
      <c r="J862" s="37" t="s">
        <v>2032</v>
      </c>
      <c r="K862" s="37" t="s">
        <v>2032</v>
      </c>
      <c r="L862" s="36">
        <v>4</v>
      </c>
      <c r="M862" s="36">
        <v>4</v>
      </c>
      <c r="N862" s="36">
        <v>4</v>
      </c>
      <c r="O862" s="36">
        <v>6</v>
      </c>
      <c r="P862" s="37" t="s">
        <v>292</v>
      </c>
      <c r="Q862" s="37"/>
      <c r="R862" s="37" t="s">
        <v>2559</v>
      </c>
    </row>
    <row r="863" spans="1:18" ht="27.7" hidden="1" thickBot="1" x14ac:dyDescent="0.55000000000000004">
      <c r="A863" s="36">
        <v>861</v>
      </c>
      <c r="B863" s="37" t="s">
        <v>2560</v>
      </c>
      <c r="C863" s="37" t="s">
        <v>2196</v>
      </c>
      <c r="D863" s="37" t="s">
        <v>2036</v>
      </c>
      <c r="E863" s="37" t="s">
        <v>2037</v>
      </c>
      <c r="F863" s="37" t="s">
        <v>2030</v>
      </c>
      <c r="G863" s="37" t="s">
        <v>2030</v>
      </c>
      <c r="H863" s="37" t="s">
        <v>2030</v>
      </c>
      <c r="I863" s="37" t="s">
        <v>88</v>
      </c>
      <c r="J863" s="37" t="s">
        <v>88</v>
      </c>
      <c r="K863" s="37" t="s">
        <v>88</v>
      </c>
      <c r="L863" s="36">
        <v>2</v>
      </c>
      <c r="M863" s="36">
        <v>2</v>
      </c>
      <c r="N863" s="36">
        <v>2</v>
      </c>
      <c r="O863" s="36">
        <v>3</v>
      </c>
      <c r="P863" s="37" t="s">
        <v>292</v>
      </c>
      <c r="Q863" s="37"/>
      <c r="R863" s="37" t="s">
        <v>2561</v>
      </c>
    </row>
    <row r="864" spans="1:18" ht="27.7" hidden="1" thickBot="1" x14ac:dyDescent="0.55000000000000004">
      <c r="A864" s="36">
        <v>862</v>
      </c>
      <c r="B864" s="37" t="s">
        <v>2562</v>
      </c>
      <c r="C864" s="37" t="s">
        <v>2563</v>
      </c>
      <c r="D864" s="37" t="s">
        <v>2036</v>
      </c>
      <c r="E864" s="37" t="s">
        <v>2037</v>
      </c>
      <c r="F864" s="37" t="s">
        <v>2030</v>
      </c>
      <c r="G864" s="37" t="s">
        <v>2030</v>
      </c>
      <c r="H864" s="37" t="s">
        <v>2030</v>
      </c>
      <c r="I864" s="37" t="s">
        <v>88</v>
      </c>
      <c r="J864" s="37" t="s">
        <v>88</v>
      </c>
      <c r="K864" s="37" t="s">
        <v>88</v>
      </c>
      <c r="L864" s="36">
        <v>1</v>
      </c>
      <c r="M864" s="36">
        <v>1</v>
      </c>
      <c r="N864" s="36">
        <v>1</v>
      </c>
      <c r="O864" s="36">
        <v>2</v>
      </c>
      <c r="P864" s="37" t="s">
        <v>292</v>
      </c>
      <c r="Q864" s="37"/>
      <c r="R864" s="37" t="s">
        <v>2564</v>
      </c>
    </row>
    <row r="865" spans="1:18" ht="27.7" hidden="1" thickBot="1" x14ac:dyDescent="0.55000000000000004">
      <c r="A865" s="36">
        <v>863</v>
      </c>
      <c r="B865" s="37" t="s">
        <v>2565</v>
      </c>
      <c r="C865" s="37" t="s">
        <v>2563</v>
      </c>
      <c r="D865" s="37" t="s">
        <v>2036</v>
      </c>
      <c r="E865" s="37" t="s">
        <v>2037</v>
      </c>
      <c r="F865" s="37" t="s">
        <v>2030</v>
      </c>
      <c r="G865" s="37" t="s">
        <v>2030</v>
      </c>
      <c r="H865" s="37" t="s">
        <v>2030</v>
      </c>
      <c r="I865" s="37" t="s">
        <v>88</v>
      </c>
      <c r="J865" s="37" t="s">
        <v>88</v>
      </c>
      <c r="K865" s="37" t="s">
        <v>88</v>
      </c>
      <c r="L865" s="36">
        <v>1</v>
      </c>
      <c r="M865" s="36">
        <v>1</v>
      </c>
      <c r="N865" s="36">
        <v>1</v>
      </c>
      <c r="O865" s="36">
        <v>2</v>
      </c>
      <c r="P865" s="37" t="s">
        <v>292</v>
      </c>
      <c r="Q865" s="37"/>
      <c r="R865" s="37" t="s">
        <v>2566</v>
      </c>
    </row>
    <row r="866" spans="1:18" ht="27.7" hidden="1" thickBot="1" x14ac:dyDescent="0.55000000000000004">
      <c r="A866" s="36">
        <v>864</v>
      </c>
      <c r="B866" s="37" t="s">
        <v>2567</v>
      </c>
      <c r="C866" s="37" t="s">
        <v>2563</v>
      </c>
      <c r="D866" s="37" t="s">
        <v>2036</v>
      </c>
      <c r="E866" s="37" t="s">
        <v>2037</v>
      </c>
      <c r="F866" s="37" t="s">
        <v>2134</v>
      </c>
      <c r="G866" s="37" t="s">
        <v>2134</v>
      </c>
      <c r="H866" s="37" t="s">
        <v>2134</v>
      </c>
      <c r="I866" s="37" t="s">
        <v>88</v>
      </c>
      <c r="J866" s="37" t="s">
        <v>88</v>
      </c>
      <c r="K866" s="37" t="s">
        <v>88</v>
      </c>
      <c r="L866" s="36">
        <v>1</v>
      </c>
      <c r="M866" s="36">
        <v>1</v>
      </c>
      <c r="N866" s="36">
        <v>1</v>
      </c>
      <c r="O866" s="36">
        <v>2</v>
      </c>
      <c r="P866" s="37" t="s">
        <v>292</v>
      </c>
      <c r="Q866" s="37"/>
      <c r="R866" s="37" t="s">
        <v>2568</v>
      </c>
    </row>
    <row r="867" spans="1:18" ht="27.7" hidden="1" thickBot="1" x14ac:dyDescent="0.55000000000000004">
      <c r="A867" s="36">
        <v>865</v>
      </c>
      <c r="B867" s="37" t="s">
        <v>2569</v>
      </c>
      <c r="C867" s="37" t="s">
        <v>2563</v>
      </c>
      <c r="D867" s="37" t="s">
        <v>2036</v>
      </c>
      <c r="E867" s="37" t="s">
        <v>2037</v>
      </c>
      <c r="F867" s="37" t="s">
        <v>2134</v>
      </c>
      <c r="G867" s="37" t="s">
        <v>2134</v>
      </c>
      <c r="H867" s="37" t="s">
        <v>2134</v>
      </c>
      <c r="I867" s="37" t="s">
        <v>88</v>
      </c>
      <c r="J867" s="37" t="s">
        <v>88</v>
      </c>
      <c r="K867" s="37" t="s">
        <v>88</v>
      </c>
      <c r="L867" s="36">
        <v>1</v>
      </c>
      <c r="M867" s="36">
        <v>1</v>
      </c>
      <c r="N867" s="36">
        <v>1</v>
      </c>
      <c r="O867" s="36">
        <v>2</v>
      </c>
      <c r="P867" s="37" t="s">
        <v>292</v>
      </c>
      <c r="Q867" s="37"/>
      <c r="R867" s="37" t="s">
        <v>2570</v>
      </c>
    </row>
    <row r="868" spans="1:18" ht="27.7" hidden="1" thickBot="1" x14ac:dyDescent="0.55000000000000004">
      <c r="A868" s="36">
        <v>866</v>
      </c>
      <c r="B868" s="37" t="s">
        <v>2571</v>
      </c>
      <c r="C868" s="37" t="s">
        <v>2546</v>
      </c>
      <c r="D868" s="37" t="s">
        <v>2547</v>
      </c>
      <c r="E868" s="37" t="s">
        <v>2037</v>
      </c>
      <c r="F868" s="37" t="s">
        <v>2030</v>
      </c>
      <c r="G868" s="37" t="s">
        <v>2030</v>
      </c>
      <c r="H868" s="37" t="s">
        <v>2030</v>
      </c>
      <c r="I868" s="37" t="s">
        <v>2452</v>
      </c>
      <c r="J868" s="37" t="s">
        <v>88</v>
      </c>
      <c r="K868" s="37" t="s">
        <v>88</v>
      </c>
      <c r="L868" s="36">
        <v>1</v>
      </c>
      <c r="M868" s="36">
        <v>1</v>
      </c>
      <c r="N868" s="36">
        <v>2</v>
      </c>
      <c r="O868" s="36">
        <v>4</v>
      </c>
      <c r="P868" s="37" t="s">
        <v>265</v>
      </c>
      <c r="Q868" s="37"/>
      <c r="R868" s="37" t="s">
        <v>2572</v>
      </c>
    </row>
    <row r="869" spans="1:18" ht="27.7" hidden="1" thickBot="1" x14ac:dyDescent="0.55000000000000004">
      <c r="A869" s="36">
        <v>867</v>
      </c>
      <c r="B869" s="37" t="s">
        <v>2573</v>
      </c>
      <c r="C869" s="37" t="s">
        <v>2574</v>
      </c>
      <c r="D869" s="37" t="s">
        <v>2036</v>
      </c>
      <c r="E869" s="37" t="s">
        <v>2037</v>
      </c>
      <c r="F869" s="37" t="s">
        <v>2030</v>
      </c>
      <c r="G869" s="37" t="s">
        <v>2030</v>
      </c>
      <c r="H869" s="37" t="s">
        <v>2030</v>
      </c>
      <c r="I869" s="37" t="s">
        <v>2452</v>
      </c>
      <c r="J869" s="37" t="s">
        <v>2452</v>
      </c>
      <c r="K869" s="37" t="s">
        <v>2452</v>
      </c>
      <c r="L869" s="36">
        <v>1</v>
      </c>
      <c r="M869" s="36">
        <v>1</v>
      </c>
      <c r="N869" s="36">
        <v>1</v>
      </c>
      <c r="O869" s="36">
        <v>3</v>
      </c>
      <c r="P869" s="37" t="s">
        <v>265</v>
      </c>
      <c r="Q869" s="37"/>
      <c r="R869" s="37" t="s">
        <v>2575</v>
      </c>
    </row>
    <row r="870" spans="1:18" ht="27.7" hidden="1" thickBot="1" x14ac:dyDescent="0.55000000000000004">
      <c r="A870" s="36">
        <v>868</v>
      </c>
      <c r="B870" s="37" t="s">
        <v>2576</v>
      </c>
      <c r="C870" s="37" t="s">
        <v>2574</v>
      </c>
      <c r="D870" s="37" t="s">
        <v>2036</v>
      </c>
      <c r="E870" s="37" t="s">
        <v>2037</v>
      </c>
      <c r="F870" s="37" t="s">
        <v>2030</v>
      </c>
      <c r="G870" s="37" t="s">
        <v>2030</v>
      </c>
      <c r="H870" s="37" t="s">
        <v>2030</v>
      </c>
      <c r="I870" s="37" t="s">
        <v>2452</v>
      </c>
      <c r="J870" s="37" t="s">
        <v>2452</v>
      </c>
      <c r="K870" s="37" t="s">
        <v>2452</v>
      </c>
      <c r="L870" s="36">
        <v>5</v>
      </c>
      <c r="M870" s="36">
        <v>5</v>
      </c>
      <c r="N870" s="36">
        <v>5</v>
      </c>
      <c r="O870" s="36">
        <v>6</v>
      </c>
      <c r="P870" s="37" t="s">
        <v>265</v>
      </c>
      <c r="Q870" s="37"/>
      <c r="R870" s="37" t="s">
        <v>2577</v>
      </c>
    </row>
    <row r="871" spans="1:18" ht="27.7" hidden="1" thickBot="1" x14ac:dyDescent="0.55000000000000004">
      <c r="A871" s="36">
        <v>869</v>
      </c>
      <c r="B871" s="37" t="s">
        <v>2578</v>
      </c>
      <c r="C871" s="37" t="s">
        <v>2574</v>
      </c>
      <c r="D871" s="37" t="s">
        <v>2036</v>
      </c>
      <c r="E871" s="37" t="s">
        <v>2037</v>
      </c>
      <c r="F871" s="37" t="s">
        <v>2030</v>
      </c>
      <c r="G871" s="37" t="s">
        <v>2030</v>
      </c>
      <c r="H871" s="37" t="s">
        <v>2030</v>
      </c>
      <c r="I871" s="37" t="s">
        <v>2452</v>
      </c>
      <c r="J871" s="37" t="s">
        <v>2452</v>
      </c>
      <c r="K871" s="37" t="s">
        <v>2452</v>
      </c>
      <c r="L871" s="36">
        <v>3</v>
      </c>
      <c r="M871" s="36">
        <v>3</v>
      </c>
      <c r="N871" s="36">
        <v>3</v>
      </c>
      <c r="O871" s="36">
        <v>4</v>
      </c>
      <c r="P871" s="37" t="s">
        <v>265</v>
      </c>
      <c r="Q871" s="37"/>
      <c r="R871" s="37" t="s">
        <v>2579</v>
      </c>
    </row>
    <row r="872" spans="1:18" ht="27.7" hidden="1" thickBot="1" x14ac:dyDescent="0.55000000000000004">
      <c r="A872" s="36">
        <v>870</v>
      </c>
      <c r="B872" s="37" t="s">
        <v>2580</v>
      </c>
      <c r="C872" s="37" t="s">
        <v>2574</v>
      </c>
      <c r="D872" s="37" t="s">
        <v>2036</v>
      </c>
      <c r="E872" s="37" t="s">
        <v>2037</v>
      </c>
      <c r="F872" s="37" t="s">
        <v>2030</v>
      </c>
      <c r="G872" s="37" t="s">
        <v>2030</v>
      </c>
      <c r="H872" s="37" t="s">
        <v>2030</v>
      </c>
      <c r="I872" s="37" t="s">
        <v>2452</v>
      </c>
      <c r="J872" s="37" t="s">
        <v>2032</v>
      </c>
      <c r="K872" s="37" t="s">
        <v>2032</v>
      </c>
      <c r="L872" s="36">
        <v>3</v>
      </c>
      <c r="M872" s="36">
        <v>3</v>
      </c>
      <c r="N872" s="36">
        <v>3</v>
      </c>
      <c r="O872" s="36">
        <v>5</v>
      </c>
      <c r="P872" s="37" t="s">
        <v>265</v>
      </c>
      <c r="Q872" s="37"/>
      <c r="R872" s="37" t="s">
        <v>2581</v>
      </c>
    </row>
    <row r="873" spans="1:18" ht="14.7" hidden="1" thickBot="1" x14ac:dyDescent="0.55000000000000004">
      <c r="A873" s="36">
        <v>871</v>
      </c>
      <c r="B873" s="37" t="s">
        <v>2582</v>
      </c>
      <c r="C873" s="37" t="s">
        <v>2583</v>
      </c>
      <c r="D873" s="37" t="s">
        <v>2404</v>
      </c>
      <c r="E873" s="37" t="s">
        <v>2404</v>
      </c>
      <c r="F873" s="37" t="s">
        <v>2584</v>
      </c>
      <c r="G873" s="37" t="s">
        <v>2584</v>
      </c>
      <c r="H873" s="37" t="s">
        <v>2584</v>
      </c>
      <c r="I873" s="37" t="s">
        <v>88</v>
      </c>
      <c r="J873" s="37" t="s">
        <v>88</v>
      </c>
      <c r="K873" s="37" t="s">
        <v>88</v>
      </c>
      <c r="L873" s="36">
        <v>2</v>
      </c>
      <c r="M873" s="36">
        <v>2</v>
      </c>
      <c r="N873" s="36">
        <v>2</v>
      </c>
      <c r="O873" s="36">
        <v>3</v>
      </c>
      <c r="P873" s="37" t="s">
        <v>265</v>
      </c>
      <c r="Q873" s="37"/>
      <c r="R873" s="37" t="s">
        <v>2585</v>
      </c>
    </row>
    <row r="874" spans="1:18" ht="27.7" hidden="1" thickBot="1" x14ac:dyDescent="0.55000000000000004">
      <c r="A874" s="36">
        <v>872</v>
      </c>
      <c r="B874" s="37" t="s">
        <v>2583</v>
      </c>
      <c r="C874" s="37" t="s">
        <v>2583</v>
      </c>
      <c r="D874" s="37" t="s">
        <v>2404</v>
      </c>
      <c r="E874" s="37" t="s">
        <v>2404</v>
      </c>
      <c r="F874" s="37" t="s">
        <v>2584</v>
      </c>
      <c r="G874" s="37" t="s">
        <v>2584</v>
      </c>
      <c r="H874" s="37" t="s">
        <v>2584</v>
      </c>
      <c r="I874" s="37" t="s">
        <v>88</v>
      </c>
      <c r="J874" s="37" t="s">
        <v>88</v>
      </c>
      <c r="K874" s="37" t="s">
        <v>88</v>
      </c>
      <c r="L874" s="36">
        <v>2</v>
      </c>
      <c r="M874" s="36">
        <v>2</v>
      </c>
      <c r="N874" s="36">
        <v>2</v>
      </c>
      <c r="O874" s="36">
        <v>4</v>
      </c>
      <c r="P874" s="37" t="s">
        <v>265</v>
      </c>
      <c r="Q874" s="37"/>
      <c r="R874" s="37" t="s">
        <v>2586</v>
      </c>
    </row>
    <row r="875" spans="1:18" ht="14.7" hidden="1" thickBot="1" x14ac:dyDescent="0.55000000000000004">
      <c r="A875" s="36">
        <v>873</v>
      </c>
      <c r="B875" s="37" t="s">
        <v>2587</v>
      </c>
      <c r="C875" s="37" t="s">
        <v>2588</v>
      </c>
      <c r="D875" s="37" t="s">
        <v>2404</v>
      </c>
      <c r="E875" s="37" t="s">
        <v>2404</v>
      </c>
      <c r="F875" s="37" t="s">
        <v>2589</v>
      </c>
      <c r="G875" s="37" t="s">
        <v>2589</v>
      </c>
      <c r="H875" s="37" t="s">
        <v>2589</v>
      </c>
      <c r="I875" s="37" t="s">
        <v>88</v>
      </c>
      <c r="J875" s="37" t="s">
        <v>88</v>
      </c>
      <c r="K875" s="37" t="s">
        <v>88</v>
      </c>
      <c r="L875" s="36">
        <v>3</v>
      </c>
      <c r="M875" s="36">
        <v>3</v>
      </c>
      <c r="N875" s="36">
        <v>3</v>
      </c>
      <c r="O875" s="36">
        <v>4</v>
      </c>
      <c r="P875" s="37" t="s">
        <v>292</v>
      </c>
      <c r="Q875" s="37"/>
      <c r="R875" s="37" t="s">
        <v>2590</v>
      </c>
    </row>
    <row r="876" spans="1:18" ht="27.7" hidden="1" thickBot="1" x14ac:dyDescent="0.55000000000000004">
      <c r="A876" s="36">
        <v>874</v>
      </c>
      <c r="B876" s="37" t="s">
        <v>2591</v>
      </c>
      <c r="C876" s="37" t="s">
        <v>2588</v>
      </c>
      <c r="D876" s="37" t="s">
        <v>2404</v>
      </c>
      <c r="E876" s="37" t="s">
        <v>2404</v>
      </c>
      <c r="F876" s="37" t="s">
        <v>2584</v>
      </c>
      <c r="G876" s="37" t="s">
        <v>2584</v>
      </c>
      <c r="H876" s="37" t="s">
        <v>2584</v>
      </c>
      <c r="I876" s="37" t="s">
        <v>88</v>
      </c>
      <c r="J876" s="37" t="s">
        <v>88</v>
      </c>
      <c r="K876" s="37" t="s">
        <v>88</v>
      </c>
      <c r="L876" s="36">
        <v>2</v>
      </c>
      <c r="M876" s="36">
        <v>2</v>
      </c>
      <c r="N876" s="36">
        <v>2</v>
      </c>
      <c r="O876" s="36">
        <v>3</v>
      </c>
      <c r="P876" s="37" t="s">
        <v>265</v>
      </c>
      <c r="Q876" s="37"/>
      <c r="R876" s="37" t="s">
        <v>2592</v>
      </c>
    </row>
    <row r="877" spans="1:18" ht="27.7" hidden="1" thickBot="1" x14ac:dyDescent="0.55000000000000004">
      <c r="A877" s="36">
        <v>875</v>
      </c>
      <c r="B877" s="37" t="s">
        <v>2593</v>
      </c>
      <c r="C877" s="37" t="s">
        <v>2594</v>
      </c>
      <c r="D877" s="37" t="s">
        <v>2404</v>
      </c>
      <c r="E877" s="37" t="s">
        <v>2404</v>
      </c>
      <c r="F877" s="37" t="s">
        <v>2589</v>
      </c>
      <c r="G877" s="37" t="s">
        <v>2589</v>
      </c>
      <c r="H877" s="37" t="s">
        <v>2589</v>
      </c>
      <c r="I877" s="37" t="s">
        <v>2077</v>
      </c>
      <c r="J877" s="37" t="s">
        <v>2077</v>
      </c>
      <c r="K877" s="37" t="s">
        <v>2077</v>
      </c>
      <c r="L877" s="36">
        <v>6</v>
      </c>
      <c r="M877" s="36">
        <v>6</v>
      </c>
      <c r="N877" s="36">
        <v>6</v>
      </c>
      <c r="O877" s="36">
        <v>7</v>
      </c>
      <c r="P877" s="37" t="s">
        <v>292</v>
      </c>
      <c r="Q877" s="37"/>
      <c r="R877" s="37" t="s">
        <v>2595</v>
      </c>
    </row>
    <row r="878" spans="1:18" ht="27.7" hidden="1" thickBot="1" x14ac:dyDescent="0.55000000000000004">
      <c r="A878" s="36">
        <v>876</v>
      </c>
      <c r="B878" s="37" t="s">
        <v>2596</v>
      </c>
      <c r="C878" s="37" t="s">
        <v>2594</v>
      </c>
      <c r="D878" s="37" t="s">
        <v>2404</v>
      </c>
      <c r="E878" s="37" t="s">
        <v>2404</v>
      </c>
      <c r="F878" s="37" t="s">
        <v>2589</v>
      </c>
      <c r="G878" s="37" t="s">
        <v>2589</v>
      </c>
      <c r="H878" s="37" t="s">
        <v>2589</v>
      </c>
      <c r="I878" s="37" t="s">
        <v>2077</v>
      </c>
      <c r="J878" s="37" t="s">
        <v>2077</v>
      </c>
      <c r="K878" s="37" t="s">
        <v>2077</v>
      </c>
      <c r="L878" s="36">
        <v>3</v>
      </c>
      <c r="M878" s="36">
        <v>3</v>
      </c>
      <c r="N878" s="36">
        <v>3</v>
      </c>
      <c r="O878" s="36">
        <v>4</v>
      </c>
      <c r="P878" s="37" t="s">
        <v>292</v>
      </c>
      <c r="Q878" s="37"/>
      <c r="R878" s="37" t="s">
        <v>2597</v>
      </c>
    </row>
    <row r="879" spans="1:18" ht="27.7" hidden="1" thickBot="1" x14ac:dyDescent="0.55000000000000004">
      <c r="A879" s="36">
        <v>877</v>
      </c>
      <c r="B879" s="37" t="s">
        <v>2598</v>
      </c>
      <c r="C879" s="37" t="s">
        <v>2599</v>
      </c>
      <c r="D879" s="37" t="s">
        <v>2402</v>
      </c>
      <c r="E879" s="37" t="s">
        <v>2404</v>
      </c>
      <c r="F879" s="37" t="s">
        <v>2405</v>
      </c>
      <c r="G879" s="37" t="s">
        <v>2405</v>
      </c>
      <c r="H879" s="37" t="s">
        <v>2405</v>
      </c>
      <c r="I879" s="37" t="s">
        <v>2077</v>
      </c>
      <c r="J879" s="37" t="s">
        <v>2077</v>
      </c>
      <c r="K879" s="37" t="s">
        <v>2077</v>
      </c>
      <c r="L879" s="36">
        <v>1</v>
      </c>
      <c r="M879" s="36">
        <v>1</v>
      </c>
      <c r="N879" s="36">
        <v>1</v>
      </c>
      <c r="O879" s="36">
        <v>3</v>
      </c>
      <c r="P879" s="37" t="s">
        <v>292</v>
      </c>
      <c r="Q879" s="37"/>
      <c r="R879" s="37" t="s">
        <v>2600</v>
      </c>
    </row>
    <row r="880" spans="1:18" ht="27.7" hidden="1" thickBot="1" x14ac:dyDescent="0.55000000000000004">
      <c r="A880" s="36">
        <v>878</v>
      </c>
      <c r="B880" s="37" t="s">
        <v>2601</v>
      </c>
      <c r="C880" s="37" t="s">
        <v>2599</v>
      </c>
      <c r="D880" s="37" t="s">
        <v>2402</v>
      </c>
      <c r="E880" s="37" t="s">
        <v>2404</v>
      </c>
      <c r="F880" s="37" t="s">
        <v>2405</v>
      </c>
      <c r="G880" s="37" t="s">
        <v>2405</v>
      </c>
      <c r="H880" s="37" t="s">
        <v>2405</v>
      </c>
      <c r="I880" s="37" t="s">
        <v>2077</v>
      </c>
      <c r="J880" s="37" t="s">
        <v>2077</v>
      </c>
      <c r="K880" s="37" t="s">
        <v>2077</v>
      </c>
      <c r="L880" s="36">
        <v>1</v>
      </c>
      <c r="M880" s="36">
        <v>1</v>
      </c>
      <c r="N880" s="36">
        <v>1</v>
      </c>
      <c r="O880" s="36">
        <v>4</v>
      </c>
      <c r="P880" s="37" t="s">
        <v>292</v>
      </c>
      <c r="Q880" s="37"/>
      <c r="R880" s="37" t="s">
        <v>2602</v>
      </c>
    </row>
    <row r="881" spans="1:18" ht="27.7" hidden="1" thickBot="1" x14ac:dyDescent="0.55000000000000004">
      <c r="A881" s="36">
        <v>879</v>
      </c>
      <c r="B881" s="37" t="s">
        <v>2603</v>
      </c>
      <c r="C881" s="37" t="s">
        <v>2407</v>
      </c>
      <c r="D881" s="37" t="s">
        <v>2402</v>
      </c>
      <c r="E881" s="37" t="s">
        <v>2404</v>
      </c>
      <c r="F881" s="37" t="s">
        <v>2405</v>
      </c>
      <c r="G881" s="37" t="s">
        <v>2405</v>
      </c>
      <c r="H881" s="37" t="s">
        <v>2405</v>
      </c>
      <c r="I881" s="37" t="s">
        <v>2077</v>
      </c>
      <c r="J881" s="37" t="s">
        <v>2077</v>
      </c>
      <c r="K881" s="37" t="s">
        <v>2077</v>
      </c>
      <c r="L881" s="36">
        <v>3</v>
      </c>
      <c r="M881" s="36">
        <v>3</v>
      </c>
      <c r="N881" s="36">
        <v>3</v>
      </c>
      <c r="O881" s="36">
        <v>5</v>
      </c>
      <c r="P881" s="37" t="s">
        <v>292</v>
      </c>
      <c r="Q881" s="37"/>
      <c r="R881" s="37" t="s">
        <v>2604</v>
      </c>
    </row>
    <row r="882" spans="1:18" ht="27.7" hidden="1" thickBot="1" x14ac:dyDescent="0.55000000000000004">
      <c r="A882" s="36">
        <v>880</v>
      </c>
      <c r="B882" s="37" t="s">
        <v>2605</v>
      </c>
      <c r="C882" s="37" t="s">
        <v>2606</v>
      </c>
      <c r="D882" s="37" t="s">
        <v>2402</v>
      </c>
      <c r="E882" s="37" t="s">
        <v>2404</v>
      </c>
      <c r="F882" s="37" t="s">
        <v>2405</v>
      </c>
      <c r="G882" s="37" t="s">
        <v>2405</v>
      </c>
      <c r="H882" s="37" t="s">
        <v>2405</v>
      </c>
      <c r="I882" s="37" t="s">
        <v>2077</v>
      </c>
      <c r="J882" s="37" t="s">
        <v>2077</v>
      </c>
      <c r="K882" s="37" t="s">
        <v>2077</v>
      </c>
      <c r="L882" s="36">
        <v>1</v>
      </c>
      <c r="M882" s="36">
        <v>1</v>
      </c>
      <c r="N882" s="36">
        <v>1</v>
      </c>
      <c r="O882" s="36">
        <v>5</v>
      </c>
      <c r="P882" s="37" t="s">
        <v>292</v>
      </c>
      <c r="Q882" s="37"/>
      <c r="R882" s="37" t="s">
        <v>2607</v>
      </c>
    </row>
    <row r="883" spans="1:18" ht="27.7" hidden="1" thickBot="1" x14ac:dyDescent="0.55000000000000004">
      <c r="A883" s="36">
        <v>881</v>
      </c>
      <c r="B883" s="37" t="s">
        <v>2608</v>
      </c>
      <c r="C883" s="37" t="s">
        <v>2609</v>
      </c>
      <c r="D883" s="37" t="s">
        <v>2404</v>
      </c>
      <c r="E883" s="37" t="s">
        <v>2404</v>
      </c>
      <c r="F883" s="37" t="s">
        <v>2589</v>
      </c>
      <c r="G883" s="37" t="s">
        <v>2589</v>
      </c>
      <c r="H883" s="37" t="s">
        <v>2589</v>
      </c>
      <c r="I883" s="37" t="s">
        <v>2077</v>
      </c>
      <c r="J883" s="37" t="s">
        <v>2077</v>
      </c>
      <c r="K883" s="37" t="s">
        <v>2077</v>
      </c>
      <c r="L883" s="36">
        <v>1</v>
      </c>
      <c r="M883" s="36">
        <v>1</v>
      </c>
      <c r="N883" s="36">
        <v>3</v>
      </c>
      <c r="O883" s="36">
        <v>4</v>
      </c>
      <c r="P883" s="37" t="s">
        <v>292</v>
      </c>
      <c r="Q883" s="37"/>
      <c r="R883" s="37" t="s">
        <v>2610</v>
      </c>
    </row>
    <row r="884" spans="1:18" ht="27.7" hidden="1" thickBot="1" x14ac:dyDescent="0.55000000000000004">
      <c r="A884" s="36">
        <v>882</v>
      </c>
      <c r="B884" s="37" t="s">
        <v>2611</v>
      </c>
      <c r="C884" s="37" t="s">
        <v>2612</v>
      </c>
      <c r="D884" s="37" t="s">
        <v>2404</v>
      </c>
      <c r="E884" s="37" t="s">
        <v>2404</v>
      </c>
      <c r="F884" s="37" t="s">
        <v>2589</v>
      </c>
      <c r="G884" s="37" t="s">
        <v>2589</v>
      </c>
      <c r="H884" s="37" t="s">
        <v>2589</v>
      </c>
      <c r="I884" s="37" t="s">
        <v>2077</v>
      </c>
      <c r="J884" s="37" t="s">
        <v>2077</v>
      </c>
      <c r="K884" s="37" t="s">
        <v>2077</v>
      </c>
      <c r="L884" s="36">
        <v>1</v>
      </c>
      <c r="M884" s="36">
        <v>1</v>
      </c>
      <c r="N884" s="36">
        <v>1</v>
      </c>
      <c r="O884" s="36">
        <v>4</v>
      </c>
      <c r="P884" s="37" t="s">
        <v>292</v>
      </c>
      <c r="Q884" s="37"/>
      <c r="R884" s="37" t="s">
        <v>2613</v>
      </c>
    </row>
    <row r="885" spans="1:18" ht="27.7" hidden="1" thickBot="1" x14ac:dyDescent="0.55000000000000004">
      <c r="A885" s="36">
        <v>883</v>
      </c>
      <c r="B885" s="37" t="s">
        <v>2614</v>
      </c>
      <c r="C885" s="37" t="s">
        <v>2614</v>
      </c>
      <c r="D885" s="37" t="s">
        <v>2404</v>
      </c>
      <c r="E885" s="37" t="s">
        <v>2404</v>
      </c>
      <c r="F885" s="37" t="s">
        <v>2589</v>
      </c>
      <c r="G885" s="37" t="s">
        <v>2589</v>
      </c>
      <c r="H885" s="37" t="s">
        <v>2589</v>
      </c>
      <c r="I885" s="37" t="s">
        <v>2077</v>
      </c>
      <c r="J885" s="37" t="s">
        <v>2077</v>
      </c>
      <c r="K885" s="37" t="s">
        <v>2077</v>
      </c>
      <c r="L885" s="36">
        <v>4</v>
      </c>
      <c r="M885" s="36">
        <v>4</v>
      </c>
      <c r="N885" s="36">
        <v>4</v>
      </c>
      <c r="O885" s="36">
        <v>5</v>
      </c>
      <c r="P885" s="37" t="s">
        <v>292</v>
      </c>
      <c r="Q885" s="37"/>
      <c r="R885" s="37" t="s">
        <v>2615</v>
      </c>
    </row>
    <row r="886" spans="1:18" ht="27.7" hidden="1" thickBot="1" x14ac:dyDescent="0.55000000000000004">
      <c r="A886" s="36">
        <v>884</v>
      </c>
      <c r="B886" s="37" t="s">
        <v>2616</v>
      </c>
      <c r="C886" s="37" t="s">
        <v>2612</v>
      </c>
      <c r="D886" s="37" t="s">
        <v>2404</v>
      </c>
      <c r="E886" s="37" t="s">
        <v>2404</v>
      </c>
      <c r="F886" s="37" t="s">
        <v>2589</v>
      </c>
      <c r="G886" s="37" t="s">
        <v>2589</v>
      </c>
      <c r="H886" s="37" t="s">
        <v>2589</v>
      </c>
      <c r="I886" s="37" t="s">
        <v>2077</v>
      </c>
      <c r="J886" s="37" t="s">
        <v>2077</v>
      </c>
      <c r="K886" s="37" t="s">
        <v>2077</v>
      </c>
      <c r="L886" s="36">
        <v>1</v>
      </c>
      <c r="M886" s="36">
        <v>1</v>
      </c>
      <c r="N886" s="36">
        <v>2</v>
      </c>
      <c r="O886" s="36">
        <v>3</v>
      </c>
      <c r="P886" s="37" t="s">
        <v>292</v>
      </c>
      <c r="Q886" s="37"/>
      <c r="R886" s="37" t="s">
        <v>2617</v>
      </c>
    </row>
    <row r="887" spans="1:18" ht="27.7" hidden="1" thickBot="1" x14ac:dyDescent="0.55000000000000004">
      <c r="A887" s="36">
        <v>885</v>
      </c>
      <c r="B887" s="37" t="s">
        <v>2618</v>
      </c>
      <c r="C887" s="37" t="s">
        <v>2619</v>
      </c>
      <c r="D887" s="37" t="s">
        <v>2404</v>
      </c>
      <c r="E887" s="37" t="s">
        <v>2404</v>
      </c>
      <c r="F887" s="37" t="s">
        <v>2589</v>
      </c>
      <c r="G887" s="37" t="s">
        <v>2589</v>
      </c>
      <c r="H887" s="37" t="s">
        <v>2589</v>
      </c>
      <c r="I887" s="37" t="s">
        <v>2077</v>
      </c>
      <c r="J887" s="37" t="s">
        <v>2077</v>
      </c>
      <c r="K887" s="37" t="s">
        <v>2077</v>
      </c>
      <c r="L887" s="36">
        <v>1</v>
      </c>
      <c r="M887" s="36">
        <v>1</v>
      </c>
      <c r="N887" s="36">
        <v>3</v>
      </c>
      <c r="O887" s="36">
        <v>4</v>
      </c>
      <c r="P887" s="37" t="s">
        <v>292</v>
      </c>
      <c r="Q887" s="37"/>
      <c r="R887" s="37" t="s">
        <v>2620</v>
      </c>
    </row>
    <row r="888" spans="1:18" ht="27.7" hidden="1" thickBot="1" x14ac:dyDescent="0.55000000000000004">
      <c r="A888" s="36">
        <v>886</v>
      </c>
      <c r="B888" s="37" t="s">
        <v>1359</v>
      </c>
      <c r="C888" s="37" t="s">
        <v>1359</v>
      </c>
      <c r="D888" s="37" t="s">
        <v>1359</v>
      </c>
      <c r="E888" s="37" t="s">
        <v>1345</v>
      </c>
      <c r="F888" s="37" t="s">
        <v>1938</v>
      </c>
      <c r="G888" s="37" t="s">
        <v>1938</v>
      </c>
      <c r="H888" s="37" t="s">
        <v>1938</v>
      </c>
      <c r="I888" s="37" t="s">
        <v>1003</v>
      </c>
      <c r="J888" s="37" t="s">
        <v>1003</v>
      </c>
      <c r="K888" s="37" t="s">
        <v>1003</v>
      </c>
      <c r="L888" s="36">
        <v>2</v>
      </c>
      <c r="M888" s="36">
        <v>2</v>
      </c>
      <c r="N888" s="36">
        <v>2</v>
      </c>
      <c r="O888" s="36">
        <v>3</v>
      </c>
      <c r="P888" s="37" t="s">
        <v>292</v>
      </c>
      <c r="Q888" s="37"/>
      <c r="R888" s="37" t="s">
        <v>2621</v>
      </c>
    </row>
    <row r="889" spans="1:18" ht="27.7" hidden="1" thickBot="1" x14ac:dyDescent="0.55000000000000004">
      <c r="A889" s="36">
        <v>887</v>
      </c>
      <c r="B889" s="37" t="s">
        <v>2622</v>
      </c>
      <c r="C889" s="37" t="s">
        <v>2623</v>
      </c>
      <c r="D889" s="37" t="s">
        <v>2624</v>
      </c>
      <c r="E889" s="37" t="s">
        <v>1785</v>
      </c>
      <c r="F889" s="37" t="s">
        <v>2625</v>
      </c>
      <c r="G889" s="37" t="s">
        <v>2625</v>
      </c>
      <c r="H889" s="37" t="s">
        <v>2625</v>
      </c>
      <c r="I889" s="37" t="s">
        <v>1003</v>
      </c>
      <c r="J889" s="37" t="s">
        <v>1003</v>
      </c>
      <c r="K889" s="37" t="s">
        <v>1003</v>
      </c>
      <c r="L889" s="36">
        <v>1</v>
      </c>
      <c r="M889" s="36">
        <v>1</v>
      </c>
      <c r="N889" s="36">
        <v>1</v>
      </c>
      <c r="O889" s="36">
        <v>2</v>
      </c>
      <c r="P889" s="37" t="s">
        <v>292</v>
      </c>
      <c r="Q889" s="37"/>
      <c r="R889" s="37" t="s">
        <v>2626</v>
      </c>
    </row>
    <row r="890" spans="1:18" ht="27.7" hidden="1" thickBot="1" x14ac:dyDescent="0.55000000000000004">
      <c r="A890" s="36">
        <v>888</v>
      </c>
      <c r="B890" s="37" t="s">
        <v>2627</v>
      </c>
      <c r="C890" s="37" t="s">
        <v>1359</v>
      </c>
      <c r="D890" s="37" t="s">
        <v>1359</v>
      </c>
      <c r="E890" s="37" t="s">
        <v>1345</v>
      </c>
      <c r="F890" s="37" t="s">
        <v>1938</v>
      </c>
      <c r="G890" s="37" t="s">
        <v>1938</v>
      </c>
      <c r="H890" s="37" t="s">
        <v>1938</v>
      </c>
      <c r="I890" s="37" t="s">
        <v>1003</v>
      </c>
      <c r="J890" s="37" t="s">
        <v>1003</v>
      </c>
      <c r="K890" s="37" t="s">
        <v>1003</v>
      </c>
      <c r="L890" s="36">
        <v>1</v>
      </c>
      <c r="M890" s="36">
        <v>1</v>
      </c>
      <c r="N890" s="36">
        <v>1</v>
      </c>
      <c r="O890" s="36">
        <v>2</v>
      </c>
      <c r="P890" s="37" t="s">
        <v>292</v>
      </c>
      <c r="Q890" s="37"/>
      <c r="R890" s="37" t="s">
        <v>2628</v>
      </c>
    </row>
    <row r="891" spans="1:18" ht="27.7" hidden="1" thickBot="1" x14ac:dyDescent="0.55000000000000004">
      <c r="A891" s="36">
        <v>889</v>
      </c>
      <c r="B891" s="37" t="s">
        <v>2629</v>
      </c>
      <c r="C891" s="37" t="s">
        <v>2629</v>
      </c>
      <c r="D891" s="37" t="s">
        <v>1359</v>
      </c>
      <c r="E891" s="37" t="s">
        <v>1345</v>
      </c>
      <c r="F891" s="37" t="s">
        <v>1938</v>
      </c>
      <c r="G891" s="37" t="s">
        <v>1938</v>
      </c>
      <c r="H891" s="37" t="s">
        <v>1938</v>
      </c>
      <c r="I891" s="37" t="s">
        <v>1003</v>
      </c>
      <c r="J891" s="37" t="s">
        <v>1003</v>
      </c>
      <c r="K891" s="37" t="s">
        <v>1003</v>
      </c>
      <c r="L891" s="36">
        <v>1</v>
      </c>
      <c r="M891" s="36">
        <v>1</v>
      </c>
      <c r="N891" s="36">
        <v>1</v>
      </c>
      <c r="O891" s="36">
        <v>2</v>
      </c>
      <c r="P891" s="37" t="s">
        <v>292</v>
      </c>
      <c r="Q891" s="37"/>
      <c r="R891" s="37" t="s">
        <v>2630</v>
      </c>
    </row>
    <row r="892" spans="1:18" ht="27.7" hidden="1" thickBot="1" x14ac:dyDescent="0.55000000000000004">
      <c r="A892" s="36">
        <v>890</v>
      </c>
      <c r="B892" s="37" t="s">
        <v>2631</v>
      </c>
      <c r="C892" s="37" t="s">
        <v>2623</v>
      </c>
      <c r="D892" s="37" t="s">
        <v>2624</v>
      </c>
      <c r="E892" s="37" t="s">
        <v>1785</v>
      </c>
      <c r="F892" s="37" t="s">
        <v>2625</v>
      </c>
      <c r="G892" s="37" t="s">
        <v>2625</v>
      </c>
      <c r="H892" s="37" t="s">
        <v>2625</v>
      </c>
      <c r="I892" s="37" t="s">
        <v>1003</v>
      </c>
      <c r="J892" s="37" t="s">
        <v>1003</v>
      </c>
      <c r="K892" s="37" t="s">
        <v>1003</v>
      </c>
      <c r="L892" s="36">
        <v>1</v>
      </c>
      <c r="M892" s="36">
        <v>1</v>
      </c>
      <c r="N892" s="36">
        <v>1</v>
      </c>
      <c r="O892" s="36">
        <v>2</v>
      </c>
      <c r="P892" s="37" t="s">
        <v>292</v>
      </c>
      <c r="Q892" s="37"/>
      <c r="R892" s="37" t="s">
        <v>2632</v>
      </c>
    </row>
    <row r="893" spans="1:18" ht="27.7" hidden="1" thickBot="1" x14ac:dyDescent="0.55000000000000004">
      <c r="A893" s="36">
        <v>891</v>
      </c>
      <c r="B893" s="37" t="s">
        <v>2633</v>
      </c>
      <c r="C893" s="37" t="s">
        <v>2634</v>
      </c>
      <c r="D893" s="37" t="s">
        <v>2624</v>
      </c>
      <c r="E893" s="37" t="s">
        <v>1785</v>
      </c>
      <c r="F893" s="37" t="s">
        <v>1821</v>
      </c>
      <c r="G893" s="37" t="s">
        <v>1821</v>
      </c>
      <c r="H893" s="37" t="s">
        <v>1821</v>
      </c>
      <c r="I893" s="37" t="s">
        <v>1465</v>
      </c>
      <c r="J893" s="37" t="s">
        <v>1465</v>
      </c>
      <c r="K893" s="37" t="s">
        <v>1465</v>
      </c>
      <c r="L893" s="36">
        <v>1</v>
      </c>
      <c r="M893" s="36">
        <v>1</v>
      </c>
      <c r="N893" s="36">
        <v>1</v>
      </c>
      <c r="O893" s="36">
        <v>3</v>
      </c>
      <c r="P893" s="37" t="s">
        <v>292</v>
      </c>
      <c r="Q893" s="37" t="s">
        <v>2635</v>
      </c>
      <c r="R893" s="37" t="s">
        <v>2636</v>
      </c>
    </row>
    <row r="894" spans="1:18" ht="27.7" hidden="1" thickBot="1" x14ac:dyDescent="0.55000000000000004">
      <c r="A894" s="36">
        <v>892</v>
      </c>
      <c r="B894" s="37" t="s">
        <v>2637</v>
      </c>
      <c r="C894" s="37" t="s">
        <v>2623</v>
      </c>
      <c r="D894" s="37" t="s">
        <v>2624</v>
      </c>
      <c r="E894" s="37" t="s">
        <v>1785</v>
      </c>
      <c r="F894" s="37" t="s">
        <v>2625</v>
      </c>
      <c r="G894" s="37" t="s">
        <v>2625</v>
      </c>
      <c r="H894" s="37" t="s">
        <v>2625</v>
      </c>
      <c r="I894" s="37" t="s">
        <v>1003</v>
      </c>
      <c r="J894" s="37" t="s">
        <v>1003</v>
      </c>
      <c r="K894" s="37" t="s">
        <v>1003</v>
      </c>
      <c r="L894" s="36">
        <v>1</v>
      </c>
      <c r="M894" s="36">
        <v>1</v>
      </c>
      <c r="N894" s="36">
        <v>1</v>
      </c>
      <c r="O894" s="36">
        <v>2</v>
      </c>
      <c r="P894" s="37" t="s">
        <v>292</v>
      </c>
      <c r="Q894" s="37"/>
      <c r="R894" s="37" t="s">
        <v>2638</v>
      </c>
    </row>
    <row r="895" spans="1:18" ht="27.7" hidden="1" thickBot="1" x14ac:dyDescent="0.55000000000000004">
      <c r="A895" s="36">
        <v>893</v>
      </c>
      <c r="B895" s="37" t="s">
        <v>2624</v>
      </c>
      <c r="C895" s="37" t="s">
        <v>2624</v>
      </c>
      <c r="D895" s="37" t="s">
        <v>2624</v>
      </c>
      <c r="E895" s="37" t="s">
        <v>1785</v>
      </c>
      <c r="F895" s="37" t="s">
        <v>2625</v>
      </c>
      <c r="G895" s="37" t="s">
        <v>2625</v>
      </c>
      <c r="H895" s="37" t="s">
        <v>2625</v>
      </c>
      <c r="I895" s="37" t="s">
        <v>1003</v>
      </c>
      <c r="J895" s="37" t="s">
        <v>1003</v>
      </c>
      <c r="K895" s="37" t="s">
        <v>1003</v>
      </c>
      <c r="L895" s="36">
        <v>1</v>
      </c>
      <c r="M895" s="36">
        <v>1</v>
      </c>
      <c r="N895" s="36">
        <v>1</v>
      </c>
      <c r="O895" s="36">
        <v>3</v>
      </c>
      <c r="P895" s="37" t="s">
        <v>292</v>
      </c>
      <c r="Q895" s="37"/>
      <c r="R895" s="37" t="s">
        <v>2639</v>
      </c>
    </row>
    <row r="896" spans="1:18" ht="27.7" hidden="1" thickBot="1" x14ac:dyDescent="0.55000000000000004">
      <c r="A896" s="36">
        <v>894</v>
      </c>
      <c r="B896" s="37" t="s">
        <v>2640</v>
      </c>
      <c r="C896" s="37" t="s">
        <v>2641</v>
      </c>
      <c r="D896" s="37" t="s">
        <v>1063</v>
      </c>
      <c r="E896" s="37" t="s">
        <v>1064</v>
      </c>
      <c r="F896" s="37" t="s">
        <v>2002</v>
      </c>
      <c r="G896" s="37" t="s">
        <v>2002</v>
      </c>
      <c r="H896" s="37" t="s">
        <v>2002</v>
      </c>
      <c r="I896" s="37" t="s">
        <v>1964</v>
      </c>
      <c r="J896" s="37" t="s">
        <v>88</v>
      </c>
      <c r="K896" s="37" t="s">
        <v>88</v>
      </c>
      <c r="L896" s="36">
        <v>3</v>
      </c>
      <c r="M896" s="36">
        <v>3</v>
      </c>
      <c r="N896" s="36">
        <v>3</v>
      </c>
      <c r="O896" s="36">
        <v>3</v>
      </c>
      <c r="P896" s="37" t="s">
        <v>292</v>
      </c>
      <c r="Q896" s="37"/>
      <c r="R896" s="37" t="s">
        <v>2642</v>
      </c>
    </row>
    <row r="897" spans="1:18" ht="14.7" hidden="1" thickBot="1" x14ac:dyDescent="0.55000000000000004">
      <c r="A897" s="36">
        <v>895</v>
      </c>
      <c r="B897" s="37" t="s">
        <v>2643</v>
      </c>
      <c r="C897" s="37" t="s">
        <v>2643</v>
      </c>
      <c r="D897" s="37" t="s">
        <v>2644</v>
      </c>
      <c r="E897" s="37" t="s">
        <v>1785</v>
      </c>
      <c r="F897" s="37" t="s">
        <v>1821</v>
      </c>
      <c r="G897" s="37" t="s">
        <v>1821</v>
      </c>
      <c r="H897" s="37" t="s">
        <v>1821</v>
      </c>
      <c r="I897" s="37" t="s">
        <v>1465</v>
      </c>
      <c r="J897" s="37" t="s">
        <v>1465</v>
      </c>
      <c r="K897" s="37" t="s">
        <v>1465</v>
      </c>
      <c r="L897" s="36">
        <v>1</v>
      </c>
      <c r="M897" s="36">
        <v>1</v>
      </c>
      <c r="N897" s="36">
        <v>1</v>
      </c>
      <c r="O897" s="36">
        <v>2</v>
      </c>
      <c r="P897" s="37" t="s">
        <v>292</v>
      </c>
      <c r="Q897" s="37"/>
      <c r="R897" s="37" t="s">
        <v>2645</v>
      </c>
    </row>
    <row r="898" spans="1:18" ht="14.7" hidden="1" thickBot="1" x14ac:dyDescent="0.55000000000000004">
      <c r="A898" s="36">
        <v>896</v>
      </c>
      <c r="B898" s="37" t="s">
        <v>2646</v>
      </c>
      <c r="C898" s="37" t="s">
        <v>2646</v>
      </c>
      <c r="D898" s="37" t="s">
        <v>2644</v>
      </c>
      <c r="E898" s="37" t="s">
        <v>1785</v>
      </c>
      <c r="F898" s="37" t="s">
        <v>1821</v>
      </c>
      <c r="G898" s="37" t="s">
        <v>1821</v>
      </c>
      <c r="H898" s="37" t="s">
        <v>1840</v>
      </c>
      <c r="I898" s="37" t="s">
        <v>1465</v>
      </c>
      <c r="J898" s="37" t="s">
        <v>1465</v>
      </c>
      <c r="K898" s="37" t="s">
        <v>1465</v>
      </c>
      <c r="L898" s="36">
        <v>1</v>
      </c>
      <c r="M898" s="36">
        <v>1</v>
      </c>
      <c r="N898" s="36">
        <v>1</v>
      </c>
      <c r="O898" s="36">
        <v>2</v>
      </c>
      <c r="P898" s="37" t="s">
        <v>292</v>
      </c>
      <c r="Q898" s="37"/>
      <c r="R898" s="37" t="s">
        <v>2647</v>
      </c>
    </row>
    <row r="899" spans="1:18" ht="14.7" hidden="1" thickBot="1" x14ac:dyDescent="0.55000000000000004">
      <c r="A899" s="36">
        <v>897</v>
      </c>
      <c r="B899" s="37" t="s">
        <v>2648</v>
      </c>
      <c r="C899" s="37" t="s">
        <v>2646</v>
      </c>
      <c r="D899" s="37" t="s">
        <v>2644</v>
      </c>
      <c r="E899" s="37" t="s">
        <v>1785</v>
      </c>
      <c r="F899" s="37" t="s">
        <v>1821</v>
      </c>
      <c r="G899" s="37" t="s">
        <v>1821</v>
      </c>
      <c r="H899" s="37" t="s">
        <v>1840</v>
      </c>
      <c r="I899" s="37" t="s">
        <v>1465</v>
      </c>
      <c r="J899" s="37" t="s">
        <v>1465</v>
      </c>
      <c r="K899" s="37" t="s">
        <v>1465</v>
      </c>
      <c r="L899" s="36">
        <v>2</v>
      </c>
      <c r="M899" s="36">
        <v>2</v>
      </c>
      <c r="N899" s="36">
        <v>2</v>
      </c>
      <c r="O899" s="36">
        <v>2</v>
      </c>
      <c r="P899" s="37" t="s">
        <v>292</v>
      </c>
      <c r="Q899" s="37"/>
      <c r="R899" s="37" t="s">
        <v>2649</v>
      </c>
    </row>
    <row r="900" spans="1:18" ht="14.7" hidden="1" thickBot="1" x14ac:dyDescent="0.55000000000000004">
      <c r="A900" s="36">
        <v>898</v>
      </c>
      <c r="B900" s="37" t="s">
        <v>2634</v>
      </c>
      <c r="C900" s="37" t="s">
        <v>2634</v>
      </c>
      <c r="D900" s="37" t="s">
        <v>2624</v>
      </c>
      <c r="E900" s="37" t="s">
        <v>1785</v>
      </c>
      <c r="F900" s="37" t="s">
        <v>1821</v>
      </c>
      <c r="G900" s="37" t="s">
        <v>1821</v>
      </c>
      <c r="H900" s="37" t="s">
        <v>1840</v>
      </c>
      <c r="I900" s="37" t="s">
        <v>1465</v>
      </c>
      <c r="J900" s="37" t="s">
        <v>1465</v>
      </c>
      <c r="K900" s="37" t="s">
        <v>1465</v>
      </c>
      <c r="L900" s="36">
        <v>2</v>
      </c>
      <c r="M900" s="36">
        <v>2</v>
      </c>
      <c r="N900" s="36">
        <v>2</v>
      </c>
      <c r="O900" s="36">
        <v>3</v>
      </c>
      <c r="P900" s="37" t="s">
        <v>292</v>
      </c>
      <c r="Q900" s="37"/>
      <c r="R900" s="37" t="s">
        <v>2650</v>
      </c>
    </row>
    <row r="901" spans="1:18" ht="27.7" hidden="1" thickBot="1" x14ac:dyDescent="0.55000000000000004">
      <c r="A901" s="36">
        <v>899</v>
      </c>
      <c r="B901" s="37" t="s">
        <v>2651</v>
      </c>
      <c r="C901" s="37" t="s">
        <v>2641</v>
      </c>
      <c r="D901" s="37" t="s">
        <v>1063</v>
      </c>
      <c r="E901" s="37" t="s">
        <v>1064</v>
      </c>
      <c r="F901" s="37" t="s">
        <v>2002</v>
      </c>
      <c r="G901" s="37" t="s">
        <v>2002</v>
      </c>
      <c r="H901" s="37" t="s">
        <v>2002</v>
      </c>
      <c r="I901" s="37" t="s">
        <v>1964</v>
      </c>
      <c r="J901" s="37" t="s">
        <v>1964</v>
      </c>
      <c r="K901" s="37" t="s">
        <v>1964</v>
      </c>
      <c r="L901" s="36">
        <v>2</v>
      </c>
      <c r="M901" s="36">
        <v>2</v>
      </c>
      <c r="N901" s="36">
        <v>2</v>
      </c>
      <c r="O901" s="36">
        <v>3</v>
      </c>
      <c r="P901" s="37" t="s">
        <v>265</v>
      </c>
      <c r="Q901" s="37"/>
      <c r="R901" s="37" t="s">
        <v>2652</v>
      </c>
    </row>
    <row r="902" spans="1:18" ht="27.7" hidden="1" thickBot="1" x14ac:dyDescent="0.55000000000000004">
      <c r="A902" s="36">
        <v>900</v>
      </c>
      <c r="B902" s="37" t="s">
        <v>2653</v>
      </c>
      <c r="C902" s="37" t="s">
        <v>2654</v>
      </c>
      <c r="D902" s="37" t="s">
        <v>1958</v>
      </c>
      <c r="E902" s="37" t="s">
        <v>1959</v>
      </c>
      <c r="F902" s="37" t="s">
        <v>1840</v>
      </c>
      <c r="G902" s="37" t="s">
        <v>1840</v>
      </c>
      <c r="H902" s="37" t="s">
        <v>1840</v>
      </c>
      <c r="I902" s="37" t="s">
        <v>2655</v>
      </c>
      <c r="J902" s="37" t="s">
        <v>1465</v>
      </c>
      <c r="K902" s="37" t="s">
        <v>1465</v>
      </c>
      <c r="L902" s="36">
        <v>2</v>
      </c>
      <c r="M902" s="36">
        <v>2</v>
      </c>
      <c r="N902" s="36">
        <v>2</v>
      </c>
      <c r="O902" s="36">
        <v>4</v>
      </c>
      <c r="P902" s="37" t="s">
        <v>292</v>
      </c>
      <c r="Q902" s="37" t="s">
        <v>2653</v>
      </c>
      <c r="R902" s="37" t="s">
        <v>2656</v>
      </c>
    </row>
    <row r="903" spans="1:18" ht="27.7" hidden="1" thickBot="1" x14ac:dyDescent="0.55000000000000004">
      <c r="A903" s="36">
        <v>901</v>
      </c>
      <c r="B903" s="37" t="s">
        <v>2657</v>
      </c>
      <c r="C903" s="37" t="s">
        <v>2654</v>
      </c>
      <c r="D903" s="37" t="s">
        <v>1958</v>
      </c>
      <c r="E903" s="37" t="s">
        <v>1959</v>
      </c>
      <c r="F903" s="37" t="s">
        <v>1840</v>
      </c>
      <c r="G903" s="37" t="s">
        <v>1840</v>
      </c>
      <c r="H903" s="37" t="s">
        <v>1840</v>
      </c>
      <c r="I903" s="37" t="s">
        <v>2655</v>
      </c>
      <c r="J903" s="37" t="s">
        <v>1465</v>
      </c>
      <c r="K903" s="37" t="s">
        <v>1465</v>
      </c>
      <c r="L903" s="36">
        <v>1</v>
      </c>
      <c r="M903" s="36">
        <v>1</v>
      </c>
      <c r="N903" s="36">
        <v>1</v>
      </c>
      <c r="O903" s="36">
        <v>3</v>
      </c>
      <c r="P903" s="37" t="s">
        <v>292</v>
      </c>
      <c r="Q903" s="37"/>
      <c r="R903" s="37" t="s">
        <v>2658</v>
      </c>
    </row>
    <row r="904" spans="1:18" ht="27.7" hidden="1" thickBot="1" x14ac:dyDescent="0.55000000000000004">
      <c r="A904" s="36">
        <v>902</v>
      </c>
      <c r="B904" s="37" t="s">
        <v>2659</v>
      </c>
      <c r="C904" s="37" t="s">
        <v>1970</v>
      </c>
      <c r="D904" s="37" t="s">
        <v>1971</v>
      </c>
      <c r="E904" s="37" t="s">
        <v>1959</v>
      </c>
      <c r="F904" s="37" t="s">
        <v>1972</v>
      </c>
      <c r="G904" s="37" t="s">
        <v>1972</v>
      </c>
      <c r="H904" s="37" t="s">
        <v>1972</v>
      </c>
      <c r="I904" s="37" t="s">
        <v>2031</v>
      </c>
      <c r="J904" s="37" t="s">
        <v>2031</v>
      </c>
      <c r="K904" s="37" t="s">
        <v>2031</v>
      </c>
      <c r="L904" s="36">
        <v>3</v>
      </c>
      <c r="M904" s="36">
        <v>3</v>
      </c>
      <c r="N904" s="36">
        <v>3</v>
      </c>
      <c r="O904" s="36">
        <v>3</v>
      </c>
      <c r="P904" s="37" t="s">
        <v>292</v>
      </c>
      <c r="Q904" s="37"/>
      <c r="R904" s="37" t="s">
        <v>2660</v>
      </c>
    </row>
    <row r="905" spans="1:18" ht="27.7" hidden="1" thickBot="1" x14ac:dyDescent="0.55000000000000004">
      <c r="A905" s="36">
        <v>903</v>
      </c>
      <c r="B905" s="37" t="s">
        <v>1979</v>
      </c>
      <c r="C905" s="37" t="s">
        <v>1979</v>
      </c>
      <c r="D905" s="37" t="s">
        <v>1971</v>
      </c>
      <c r="E905" s="37" t="s">
        <v>1959</v>
      </c>
      <c r="F905" s="37" t="s">
        <v>1980</v>
      </c>
      <c r="G905" s="37" t="s">
        <v>1980</v>
      </c>
      <c r="H905" s="37" t="s">
        <v>1840</v>
      </c>
      <c r="I905" s="37" t="s">
        <v>1964</v>
      </c>
      <c r="J905" s="37" t="s">
        <v>1964</v>
      </c>
      <c r="K905" s="37" t="s">
        <v>1964</v>
      </c>
      <c r="L905" s="36">
        <v>5</v>
      </c>
      <c r="M905" s="36">
        <v>5</v>
      </c>
      <c r="N905" s="36">
        <v>5</v>
      </c>
      <c r="O905" s="36">
        <v>6</v>
      </c>
      <c r="P905" s="37" t="s">
        <v>292</v>
      </c>
      <c r="Q905" s="37"/>
      <c r="R905" s="37" t="s">
        <v>2661</v>
      </c>
    </row>
    <row r="906" spans="1:18" ht="27.7" hidden="1" thickBot="1" x14ac:dyDescent="0.55000000000000004">
      <c r="A906" s="36">
        <v>904</v>
      </c>
      <c r="B906" s="37" t="s">
        <v>2662</v>
      </c>
      <c r="C906" s="37" t="s">
        <v>2662</v>
      </c>
      <c r="D906" s="37" t="s">
        <v>1984</v>
      </c>
      <c r="E906" s="37" t="s">
        <v>1064</v>
      </c>
      <c r="F906" s="37" t="s">
        <v>1972</v>
      </c>
      <c r="G906" s="37" t="s">
        <v>1972</v>
      </c>
      <c r="H906" s="37" t="s">
        <v>1972</v>
      </c>
      <c r="I906" s="37" t="s">
        <v>1964</v>
      </c>
      <c r="J906" s="37" t="s">
        <v>1964</v>
      </c>
      <c r="K906" s="37" t="s">
        <v>1964</v>
      </c>
      <c r="L906" s="36">
        <v>3</v>
      </c>
      <c r="M906" s="36">
        <v>3</v>
      </c>
      <c r="N906" s="36">
        <v>3</v>
      </c>
      <c r="O906" s="36">
        <v>5</v>
      </c>
      <c r="P906" s="37" t="s">
        <v>292</v>
      </c>
      <c r="Q906" s="37"/>
      <c r="R906" s="37" t="s">
        <v>2663</v>
      </c>
    </row>
    <row r="907" spans="1:18" ht="27.7" hidden="1" thickBot="1" x14ac:dyDescent="0.55000000000000004">
      <c r="A907" s="36">
        <v>905</v>
      </c>
      <c r="B907" s="37" t="s">
        <v>2664</v>
      </c>
      <c r="C907" s="37" t="s">
        <v>2664</v>
      </c>
      <c r="D907" s="37" t="s">
        <v>1984</v>
      </c>
      <c r="E907" s="37" t="s">
        <v>1064</v>
      </c>
      <c r="F907" s="37" t="s">
        <v>1972</v>
      </c>
      <c r="G907" s="37" t="s">
        <v>1972</v>
      </c>
      <c r="H907" s="37" t="s">
        <v>1972</v>
      </c>
      <c r="I907" s="37" t="s">
        <v>1964</v>
      </c>
      <c r="J907" s="37" t="s">
        <v>1964</v>
      </c>
      <c r="K907" s="37" t="s">
        <v>1964</v>
      </c>
      <c r="L907" s="36">
        <v>3</v>
      </c>
      <c r="M907" s="36">
        <v>3</v>
      </c>
      <c r="N907" s="36">
        <v>3</v>
      </c>
      <c r="O907" s="36">
        <v>5</v>
      </c>
      <c r="P907" s="37" t="s">
        <v>292</v>
      </c>
      <c r="Q907" s="37"/>
      <c r="R907" s="37" t="s">
        <v>2665</v>
      </c>
    </row>
    <row r="908" spans="1:18" ht="27.7" hidden="1" thickBot="1" x14ac:dyDescent="0.55000000000000004">
      <c r="A908" s="36">
        <v>906</v>
      </c>
      <c r="B908" s="37" t="s">
        <v>2666</v>
      </c>
      <c r="C908" s="37" t="s">
        <v>1984</v>
      </c>
      <c r="D908" s="37" t="s">
        <v>1984</v>
      </c>
      <c r="E908" s="37" t="s">
        <v>1064</v>
      </c>
      <c r="F908" s="37" t="s">
        <v>1972</v>
      </c>
      <c r="G908" s="37" t="s">
        <v>1972</v>
      </c>
      <c r="H908" s="37" t="s">
        <v>1972</v>
      </c>
      <c r="I908" s="37" t="s">
        <v>88</v>
      </c>
      <c r="J908" s="37" t="s">
        <v>88</v>
      </c>
      <c r="K908" s="37" t="s">
        <v>88</v>
      </c>
      <c r="L908" s="36">
        <v>3</v>
      </c>
      <c r="M908" s="36">
        <v>3</v>
      </c>
      <c r="N908" s="36">
        <v>3</v>
      </c>
      <c r="O908" s="36">
        <v>5</v>
      </c>
      <c r="P908" s="37" t="s">
        <v>292</v>
      </c>
      <c r="Q908" s="37"/>
      <c r="R908" s="37" t="s">
        <v>2667</v>
      </c>
    </row>
    <row r="909" spans="1:18" ht="27.7" hidden="1" thickBot="1" x14ac:dyDescent="0.55000000000000004">
      <c r="A909" s="36">
        <v>907</v>
      </c>
      <c r="B909" s="37" t="s">
        <v>2668</v>
      </c>
      <c r="C909" s="37" t="s">
        <v>2664</v>
      </c>
      <c r="D909" s="37" t="s">
        <v>1984</v>
      </c>
      <c r="E909" s="37" t="s">
        <v>1064</v>
      </c>
      <c r="F909" s="37" t="s">
        <v>1972</v>
      </c>
      <c r="G909" s="37" t="s">
        <v>1972</v>
      </c>
      <c r="H909" s="37" t="s">
        <v>1972</v>
      </c>
      <c r="I909" s="37" t="s">
        <v>92</v>
      </c>
      <c r="J909" s="37" t="s">
        <v>92</v>
      </c>
      <c r="K909" s="37" t="s">
        <v>88</v>
      </c>
      <c r="L909" s="36">
        <v>2</v>
      </c>
      <c r="M909" s="36">
        <v>2</v>
      </c>
      <c r="N909" s="36">
        <v>2</v>
      </c>
      <c r="O909" s="36">
        <v>3</v>
      </c>
      <c r="P909" s="37" t="s">
        <v>292</v>
      </c>
      <c r="Q909" s="37"/>
      <c r="R909" s="37" t="s">
        <v>2669</v>
      </c>
    </row>
    <row r="910" spans="1:18" ht="27.7" hidden="1" thickBot="1" x14ac:dyDescent="0.55000000000000004">
      <c r="A910" s="36">
        <v>911</v>
      </c>
      <c r="B910" s="37" t="s">
        <v>2670</v>
      </c>
      <c r="C910" s="37" t="s">
        <v>2670</v>
      </c>
      <c r="D910" s="37" t="s">
        <v>2671</v>
      </c>
      <c r="E910" s="37" t="s">
        <v>2672</v>
      </c>
      <c r="F910" s="37" t="s">
        <v>2673</v>
      </c>
      <c r="G910" s="37" t="s">
        <v>2673</v>
      </c>
      <c r="H910" s="37" t="s">
        <v>1180</v>
      </c>
      <c r="I910" s="37" t="s">
        <v>2530</v>
      </c>
      <c r="J910" s="37" t="s">
        <v>2530</v>
      </c>
      <c r="K910" s="37" t="s">
        <v>88</v>
      </c>
      <c r="L910" s="36">
        <v>2</v>
      </c>
      <c r="M910" s="36">
        <v>2</v>
      </c>
      <c r="N910" s="36">
        <v>2</v>
      </c>
      <c r="O910" s="36">
        <v>5</v>
      </c>
      <c r="P910" s="37" t="s">
        <v>292</v>
      </c>
      <c r="Q910" s="37"/>
      <c r="R910" s="37" t="s">
        <v>2674</v>
      </c>
    </row>
    <row r="911" spans="1:18" ht="27.7" hidden="1" thickBot="1" x14ac:dyDescent="0.55000000000000004">
      <c r="A911" s="36">
        <v>912</v>
      </c>
      <c r="B911" s="37" t="s">
        <v>2675</v>
      </c>
      <c r="C911" s="37" t="s">
        <v>2671</v>
      </c>
      <c r="D911" s="37" t="s">
        <v>2671</v>
      </c>
      <c r="E911" s="37" t="s">
        <v>2672</v>
      </c>
      <c r="F911" s="37" t="s">
        <v>2673</v>
      </c>
      <c r="G911" s="37" t="s">
        <v>2673</v>
      </c>
      <c r="H911" s="37" t="s">
        <v>2673</v>
      </c>
      <c r="I911" s="37" t="s">
        <v>2530</v>
      </c>
      <c r="J911" s="37" t="s">
        <v>2530</v>
      </c>
      <c r="K911" s="37" t="s">
        <v>88</v>
      </c>
      <c r="L911" s="36">
        <v>2</v>
      </c>
      <c r="M911" s="36">
        <v>2</v>
      </c>
      <c r="N911" s="36">
        <v>3</v>
      </c>
      <c r="O911" s="36">
        <v>3</v>
      </c>
      <c r="P911" s="37" t="s">
        <v>292</v>
      </c>
      <c r="Q911" s="37"/>
      <c r="R911" s="37" t="s">
        <v>2676</v>
      </c>
    </row>
    <row r="912" spans="1:18" ht="27.7" hidden="1" thickBot="1" x14ac:dyDescent="0.55000000000000004">
      <c r="A912" s="36">
        <v>913</v>
      </c>
      <c r="B912" s="37" t="s">
        <v>2677</v>
      </c>
      <c r="C912" s="37" t="s">
        <v>2671</v>
      </c>
      <c r="D912" s="37" t="s">
        <v>2671</v>
      </c>
      <c r="E912" s="37" t="s">
        <v>2672</v>
      </c>
      <c r="F912" s="37" t="s">
        <v>2673</v>
      </c>
      <c r="G912" s="37" t="s">
        <v>2673</v>
      </c>
      <c r="H912" s="37" t="s">
        <v>2673</v>
      </c>
      <c r="I912" s="37" t="s">
        <v>2530</v>
      </c>
      <c r="J912" s="37" t="s">
        <v>2530</v>
      </c>
      <c r="K912" s="37" t="s">
        <v>2530</v>
      </c>
      <c r="L912" s="36">
        <v>2</v>
      </c>
      <c r="M912" s="36">
        <v>2</v>
      </c>
      <c r="N912" s="36">
        <v>4</v>
      </c>
      <c r="O912" s="36">
        <v>5</v>
      </c>
      <c r="P912" s="37" t="s">
        <v>292</v>
      </c>
      <c r="Q912" s="37"/>
      <c r="R912" s="37" t="s">
        <v>2678</v>
      </c>
    </row>
    <row r="913" spans="1:18" ht="27.7" hidden="1" thickBot="1" x14ac:dyDescent="0.55000000000000004">
      <c r="A913" s="36">
        <v>914</v>
      </c>
      <c r="B913" s="37" t="s">
        <v>2679</v>
      </c>
      <c r="C913" s="37" t="s">
        <v>2680</v>
      </c>
      <c r="D913" s="37" t="s">
        <v>2680</v>
      </c>
      <c r="E913" s="37" t="s">
        <v>2672</v>
      </c>
      <c r="F913" s="37" t="s">
        <v>2680</v>
      </c>
      <c r="G913" s="37" t="s">
        <v>2680</v>
      </c>
      <c r="H913" s="37" t="s">
        <v>2680</v>
      </c>
      <c r="I913" s="37" t="s">
        <v>2530</v>
      </c>
      <c r="J913" s="37" t="s">
        <v>2530</v>
      </c>
      <c r="K913" s="37" t="s">
        <v>2530</v>
      </c>
      <c r="L913" s="36">
        <v>2</v>
      </c>
      <c r="M913" s="36">
        <v>2</v>
      </c>
      <c r="N913" s="36">
        <v>3</v>
      </c>
      <c r="O913" s="36">
        <v>5</v>
      </c>
      <c r="P913" s="37" t="s">
        <v>292</v>
      </c>
      <c r="Q913" s="37"/>
      <c r="R913" s="37" t="s">
        <v>2681</v>
      </c>
    </row>
    <row r="914" spans="1:18" ht="27.7" hidden="1" thickBot="1" x14ac:dyDescent="0.55000000000000004">
      <c r="A914" s="36">
        <v>915</v>
      </c>
      <c r="B914" s="37" t="s">
        <v>2682</v>
      </c>
      <c r="C914" s="37" t="s">
        <v>2671</v>
      </c>
      <c r="D914" s="37" t="s">
        <v>2671</v>
      </c>
      <c r="E914" s="37" t="s">
        <v>2672</v>
      </c>
      <c r="F914" s="37" t="s">
        <v>2673</v>
      </c>
      <c r="G914" s="37" t="s">
        <v>2673</v>
      </c>
      <c r="H914" s="37" t="s">
        <v>2673</v>
      </c>
      <c r="I914" s="37" t="s">
        <v>2530</v>
      </c>
      <c r="J914" s="37" t="s">
        <v>2530</v>
      </c>
      <c r="K914" s="37" t="s">
        <v>2530</v>
      </c>
      <c r="L914" s="36">
        <v>2</v>
      </c>
      <c r="M914" s="36">
        <v>2</v>
      </c>
      <c r="N914" s="36">
        <v>3</v>
      </c>
      <c r="O914" s="36">
        <v>5</v>
      </c>
      <c r="P914" s="37" t="s">
        <v>292</v>
      </c>
      <c r="Q914" s="37"/>
      <c r="R914" s="37" t="s">
        <v>2683</v>
      </c>
    </row>
    <row r="915" spans="1:18" ht="27.7" hidden="1" thickBot="1" x14ac:dyDescent="0.55000000000000004">
      <c r="A915" s="36">
        <v>916</v>
      </c>
      <c r="B915" s="37" t="s">
        <v>2684</v>
      </c>
      <c r="C915" s="37" t="s">
        <v>2670</v>
      </c>
      <c r="D915" s="37" t="s">
        <v>2672</v>
      </c>
      <c r="E915" s="37" t="s">
        <v>2672</v>
      </c>
      <c r="F915" s="37" t="s">
        <v>1180</v>
      </c>
      <c r="G915" s="37" t="s">
        <v>1180</v>
      </c>
      <c r="H915" s="37" t="s">
        <v>1180</v>
      </c>
      <c r="I915" s="37" t="s">
        <v>2530</v>
      </c>
      <c r="J915" s="37" t="s">
        <v>2530</v>
      </c>
      <c r="K915" s="37" t="s">
        <v>88</v>
      </c>
      <c r="L915" s="36">
        <v>1</v>
      </c>
      <c r="M915" s="36">
        <v>1</v>
      </c>
      <c r="N915" s="36">
        <v>1</v>
      </c>
      <c r="O915" s="36">
        <v>1</v>
      </c>
      <c r="P915" s="37" t="s">
        <v>292</v>
      </c>
      <c r="Q915" s="37"/>
      <c r="R915" s="37" t="s">
        <v>2685</v>
      </c>
    </row>
    <row r="916" spans="1:18" ht="27.7" hidden="1" thickBot="1" x14ac:dyDescent="0.55000000000000004">
      <c r="A916" s="36">
        <v>917</v>
      </c>
      <c r="B916" s="37" t="s">
        <v>2686</v>
      </c>
      <c r="C916" s="37" t="s">
        <v>2670</v>
      </c>
      <c r="D916" s="37" t="s">
        <v>2671</v>
      </c>
      <c r="E916" s="37" t="s">
        <v>2672</v>
      </c>
      <c r="F916" s="37" t="s">
        <v>1180</v>
      </c>
      <c r="G916" s="37" t="s">
        <v>1180</v>
      </c>
      <c r="H916" s="37" t="s">
        <v>1180</v>
      </c>
      <c r="I916" s="37" t="s">
        <v>2530</v>
      </c>
      <c r="J916" s="37" t="s">
        <v>2530</v>
      </c>
      <c r="K916" s="37" t="s">
        <v>88</v>
      </c>
      <c r="L916" s="36">
        <v>1</v>
      </c>
      <c r="M916" s="36">
        <v>1</v>
      </c>
      <c r="N916" s="36">
        <v>1</v>
      </c>
      <c r="O916" s="36">
        <v>2</v>
      </c>
      <c r="P916" s="37" t="s">
        <v>292</v>
      </c>
      <c r="Q916" s="37"/>
      <c r="R916" s="37" t="s">
        <v>2687</v>
      </c>
    </row>
    <row r="917" spans="1:18" ht="27.7" hidden="1" thickBot="1" x14ac:dyDescent="0.55000000000000004">
      <c r="A917" s="36">
        <v>918</v>
      </c>
      <c r="B917" s="37" t="s">
        <v>2688</v>
      </c>
      <c r="C917" s="37" t="s">
        <v>2506</v>
      </c>
      <c r="D917" s="37" t="s">
        <v>2435</v>
      </c>
      <c r="E917" s="37" t="s">
        <v>2435</v>
      </c>
      <c r="F917" s="37" t="s">
        <v>1180</v>
      </c>
      <c r="G917" s="37" t="s">
        <v>1180</v>
      </c>
      <c r="H917" s="37" t="s">
        <v>1180</v>
      </c>
      <c r="I917" s="37" t="s">
        <v>2475</v>
      </c>
      <c r="J917" s="37" t="s">
        <v>2475</v>
      </c>
      <c r="K917" s="37" t="s">
        <v>88</v>
      </c>
      <c r="L917" s="36">
        <v>2</v>
      </c>
      <c r="M917" s="36">
        <v>2</v>
      </c>
      <c r="N917" s="36">
        <v>2</v>
      </c>
      <c r="O917" s="36">
        <v>3</v>
      </c>
      <c r="P917" s="37" t="s">
        <v>292</v>
      </c>
      <c r="Q917" s="37"/>
      <c r="R917" s="37" t="s">
        <v>2689</v>
      </c>
    </row>
    <row r="918" spans="1:18" ht="27.7" hidden="1" thickBot="1" x14ac:dyDescent="0.55000000000000004">
      <c r="A918" s="36">
        <v>919</v>
      </c>
      <c r="B918" s="37" t="s">
        <v>2690</v>
      </c>
      <c r="C918" s="37" t="s">
        <v>2670</v>
      </c>
      <c r="D918" s="37" t="s">
        <v>2671</v>
      </c>
      <c r="E918" s="37" t="s">
        <v>2672</v>
      </c>
      <c r="F918" s="37" t="s">
        <v>2673</v>
      </c>
      <c r="G918" s="37" t="s">
        <v>2673</v>
      </c>
      <c r="H918" s="37" t="s">
        <v>1180</v>
      </c>
      <c r="I918" s="37" t="s">
        <v>2530</v>
      </c>
      <c r="J918" s="37" t="s">
        <v>2530</v>
      </c>
      <c r="K918" s="37" t="s">
        <v>88</v>
      </c>
      <c r="L918" s="36">
        <v>1</v>
      </c>
      <c r="M918" s="36">
        <v>1</v>
      </c>
      <c r="N918" s="36">
        <v>1</v>
      </c>
      <c r="O918" s="36">
        <v>2</v>
      </c>
      <c r="P918" s="37" t="s">
        <v>292</v>
      </c>
      <c r="Q918" s="37"/>
      <c r="R918" s="37" t="s">
        <v>2691</v>
      </c>
    </row>
    <row r="919" spans="1:18" ht="27.7" hidden="1" thickBot="1" x14ac:dyDescent="0.55000000000000004">
      <c r="A919" s="36">
        <v>920</v>
      </c>
      <c r="B919" s="37" t="s">
        <v>2692</v>
      </c>
      <c r="C919" s="37" t="s">
        <v>2671</v>
      </c>
      <c r="D919" s="37" t="s">
        <v>2672</v>
      </c>
      <c r="E919" s="37" t="s">
        <v>2672</v>
      </c>
      <c r="F919" s="37" t="s">
        <v>1180</v>
      </c>
      <c r="G919" s="37" t="s">
        <v>1180</v>
      </c>
      <c r="H919" s="37" t="s">
        <v>1180</v>
      </c>
      <c r="I919" s="37" t="s">
        <v>2530</v>
      </c>
      <c r="J919" s="37" t="s">
        <v>2530</v>
      </c>
      <c r="K919" s="37" t="s">
        <v>88</v>
      </c>
      <c r="L919" s="36">
        <v>1</v>
      </c>
      <c r="M919" s="36">
        <v>1</v>
      </c>
      <c r="N919" s="36">
        <v>1</v>
      </c>
      <c r="O919" s="36">
        <v>2</v>
      </c>
      <c r="P919" s="37" t="s">
        <v>292</v>
      </c>
      <c r="Q919" s="37"/>
      <c r="R919" s="37" t="s">
        <v>2693</v>
      </c>
    </row>
    <row r="920" spans="1:18" ht="27.7" hidden="1" thickBot="1" x14ac:dyDescent="0.55000000000000004">
      <c r="A920" s="36">
        <v>921</v>
      </c>
      <c r="B920" s="37" t="s">
        <v>2694</v>
      </c>
      <c r="C920" s="37" t="s">
        <v>2671</v>
      </c>
      <c r="D920" s="37" t="s">
        <v>2672</v>
      </c>
      <c r="E920" s="37" t="s">
        <v>2672</v>
      </c>
      <c r="F920" s="37" t="s">
        <v>1180</v>
      </c>
      <c r="G920" s="37" t="s">
        <v>1180</v>
      </c>
      <c r="H920" s="37" t="s">
        <v>1180</v>
      </c>
      <c r="I920" s="37" t="s">
        <v>2530</v>
      </c>
      <c r="J920" s="37" t="s">
        <v>2530</v>
      </c>
      <c r="K920" s="37" t="s">
        <v>88</v>
      </c>
      <c r="L920" s="36">
        <v>1</v>
      </c>
      <c r="M920" s="36">
        <v>1</v>
      </c>
      <c r="N920" s="36">
        <v>1</v>
      </c>
      <c r="O920" s="36">
        <v>1</v>
      </c>
      <c r="P920" s="37" t="s">
        <v>292</v>
      </c>
      <c r="Q920" s="37"/>
      <c r="R920" s="37" t="s">
        <v>2695</v>
      </c>
    </row>
    <row r="921" spans="1:18" ht="27.7" hidden="1" thickBot="1" x14ac:dyDescent="0.55000000000000004">
      <c r="A921" s="36">
        <v>922</v>
      </c>
      <c r="B921" s="37" t="s">
        <v>2696</v>
      </c>
      <c r="C921" s="37" t="s">
        <v>2680</v>
      </c>
      <c r="D921" s="37" t="s">
        <v>2680</v>
      </c>
      <c r="E921" s="37" t="s">
        <v>2672</v>
      </c>
      <c r="F921" s="37" t="s">
        <v>2680</v>
      </c>
      <c r="G921" s="37" t="s">
        <v>2680</v>
      </c>
      <c r="H921" s="37" t="s">
        <v>1180</v>
      </c>
      <c r="I921" s="37" t="s">
        <v>2530</v>
      </c>
      <c r="J921" s="37" t="s">
        <v>2530</v>
      </c>
      <c r="K921" s="37" t="s">
        <v>88</v>
      </c>
      <c r="L921" s="36">
        <v>1</v>
      </c>
      <c r="M921" s="36">
        <v>1</v>
      </c>
      <c r="N921" s="36">
        <v>1</v>
      </c>
      <c r="O921" s="36">
        <v>2</v>
      </c>
      <c r="P921" s="37" t="s">
        <v>292</v>
      </c>
      <c r="Q921" s="37"/>
      <c r="R921" s="37" t="s">
        <v>2697</v>
      </c>
    </row>
    <row r="922" spans="1:18" ht="27.7" hidden="1" thickBot="1" x14ac:dyDescent="0.55000000000000004">
      <c r="A922" s="36">
        <v>925</v>
      </c>
      <c r="B922" s="37" t="s">
        <v>2698</v>
      </c>
      <c r="C922" s="37" t="s">
        <v>2699</v>
      </c>
      <c r="D922" s="37" t="s">
        <v>2672</v>
      </c>
      <c r="E922" s="37" t="s">
        <v>2672</v>
      </c>
      <c r="F922" s="37" t="s">
        <v>2700</v>
      </c>
      <c r="G922" s="37" t="s">
        <v>2700</v>
      </c>
      <c r="H922" s="37" t="s">
        <v>2700</v>
      </c>
      <c r="I922" s="37" t="s">
        <v>2530</v>
      </c>
      <c r="J922" s="37" t="s">
        <v>2530</v>
      </c>
      <c r="K922" s="37" t="s">
        <v>2530</v>
      </c>
      <c r="L922" s="36">
        <v>2</v>
      </c>
      <c r="M922" s="36">
        <v>2</v>
      </c>
      <c r="N922" s="36">
        <v>2</v>
      </c>
      <c r="O922" s="36">
        <v>5</v>
      </c>
      <c r="P922" s="37" t="s">
        <v>292</v>
      </c>
      <c r="Q922" s="37"/>
      <c r="R922" s="37" t="s">
        <v>2701</v>
      </c>
    </row>
    <row r="923" spans="1:18" ht="27.7" hidden="1" thickBot="1" x14ac:dyDescent="0.55000000000000004">
      <c r="A923" s="36">
        <v>926</v>
      </c>
      <c r="B923" s="37" t="s">
        <v>2702</v>
      </c>
      <c r="C923" s="37" t="s">
        <v>2702</v>
      </c>
      <c r="D923" s="37" t="s">
        <v>2672</v>
      </c>
      <c r="E923" s="37" t="s">
        <v>2672</v>
      </c>
      <c r="F923" s="37" t="s">
        <v>2700</v>
      </c>
      <c r="G923" s="37" t="s">
        <v>2700</v>
      </c>
      <c r="H923" s="37" t="s">
        <v>2700</v>
      </c>
      <c r="I923" s="37" t="s">
        <v>2530</v>
      </c>
      <c r="J923" s="37" t="s">
        <v>2530</v>
      </c>
      <c r="K923" s="37" t="s">
        <v>2530</v>
      </c>
      <c r="L923" s="36">
        <v>1</v>
      </c>
      <c r="M923" s="36">
        <v>1</v>
      </c>
      <c r="N923" s="36">
        <v>1</v>
      </c>
      <c r="O923" s="36">
        <v>4</v>
      </c>
      <c r="P923" s="37" t="s">
        <v>292</v>
      </c>
      <c r="Q923" s="37"/>
      <c r="R923" s="37" t="s">
        <v>2703</v>
      </c>
    </row>
    <row r="924" spans="1:18" ht="27.7" hidden="1" thickBot="1" x14ac:dyDescent="0.55000000000000004">
      <c r="A924" s="36">
        <v>927</v>
      </c>
      <c r="B924" s="37" t="s">
        <v>2704</v>
      </c>
      <c r="C924" s="37" t="s">
        <v>2680</v>
      </c>
      <c r="D924" s="37" t="s">
        <v>2672</v>
      </c>
      <c r="E924" s="37" t="s">
        <v>2672</v>
      </c>
      <c r="F924" s="37" t="s">
        <v>2680</v>
      </c>
      <c r="G924" s="37" t="s">
        <v>2680</v>
      </c>
      <c r="H924" s="37" t="s">
        <v>2680</v>
      </c>
      <c r="I924" s="37" t="s">
        <v>2530</v>
      </c>
      <c r="J924" s="37" t="s">
        <v>2530</v>
      </c>
      <c r="K924" s="37" t="s">
        <v>2530</v>
      </c>
      <c r="L924" s="36">
        <v>1</v>
      </c>
      <c r="M924" s="36">
        <v>1</v>
      </c>
      <c r="N924" s="36">
        <v>1</v>
      </c>
      <c r="O924" s="36">
        <v>3</v>
      </c>
      <c r="P924" s="37" t="s">
        <v>292</v>
      </c>
      <c r="Q924" s="37"/>
      <c r="R924" s="37" t="s">
        <v>2705</v>
      </c>
    </row>
    <row r="925" spans="1:18" ht="27.7" hidden="1" thickBot="1" x14ac:dyDescent="0.55000000000000004">
      <c r="A925" s="36">
        <v>928</v>
      </c>
      <c r="B925" s="37" t="s">
        <v>2706</v>
      </c>
      <c r="C925" s="37" t="s">
        <v>2706</v>
      </c>
      <c r="D925" s="37" t="s">
        <v>2680</v>
      </c>
      <c r="E925" s="37" t="s">
        <v>2672</v>
      </c>
      <c r="F925" s="37" t="s">
        <v>2680</v>
      </c>
      <c r="G925" s="37" t="s">
        <v>2680</v>
      </c>
      <c r="H925" s="37" t="s">
        <v>2680</v>
      </c>
      <c r="I925" s="37" t="s">
        <v>2530</v>
      </c>
      <c r="J925" s="37" t="s">
        <v>2530</v>
      </c>
      <c r="K925" s="37" t="s">
        <v>2530</v>
      </c>
      <c r="L925" s="36">
        <v>1</v>
      </c>
      <c r="M925" s="36">
        <v>1</v>
      </c>
      <c r="N925" s="36">
        <v>1</v>
      </c>
      <c r="O925" s="36">
        <v>3</v>
      </c>
      <c r="P925" s="37" t="s">
        <v>292</v>
      </c>
      <c r="Q925" s="37"/>
      <c r="R925" s="37" t="s">
        <v>2707</v>
      </c>
    </row>
    <row r="926" spans="1:18" ht="27.7" hidden="1" thickBot="1" x14ac:dyDescent="0.55000000000000004">
      <c r="A926" s="36">
        <v>929</v>
      </c>
      <c r="B926" s="37" t="s">
        <v>2708</v>
      </c>
      <c r="C926" s="37" t="s">
        <v>2709</v>
      </c>
      <c r="D926" s="37" t="s">
        <v>876</v>
      </c>
      <c r="E926" s="37" t="s">
        <v>877</v>
      </c>
      <c r="F926" s="37" t="s">
        <v>871</v>
      </c>
      <c r="G926" s="37" t="s">
        <v>872</v>
      </c>
      <c r="H926" s="37" t="s">
        <v>872</v>
      </c>
      <c r="I926" s="37" t="s">
        <v>105</v>
      </c>
      <c r="J926" s="37" t="s">
        <v>105</v>
      </c>
      <c r="K926" s="37" t="s">
        <v>105</v>
      </c>
      <c r="L926" s="36">
        <v>3</v>
      </c>
      <c r="M926" s="36">
        <v>3</v>
      </c>
      <c r="N926" s="36">
        <v>3</v>
      </c>
      <c r="O926" s="36">
        <v>4</v>
      </c>
      <c r="P926" s="37" t="s">
        <v>265</v>
      </c>
      <c r="Q926" s="37" t="s">
        <v>2710</v>
      </c>
      <c r="R926" s="37" t="s">
        <v>2711</v>
      </c>
    </row>
    <row r="927" spans="1:18" ht="41.35" hidden="1" thickBot="1" x14ac:dyDescent="0.55000000000000004">
      <c r="A927" s="36">
        <v>930</v>
      </c>
      <c r="B927" s="37" t="s">
        <v>2712</v>
      </c>
      <c r="C927" s="37" t="s">
        <v>624</v>
      </c>
      <c r="D927" s="37" t="s">
        <v>530</v>
      </c>
      <c r="E927" s="37" t="s">
        <v>502</v>
      </c>
      <c r="F927" s="37" t="s">
        <v>487</v>
      </c>
      <c r="G927" s="37" t="s">
        <v>488</v>
      </c>
      <c r="H927" s="37" t="s">
        <v>488</v>
      </c>
      <c r="I927" s="37" t="s">
        <v>105</v>
      </c>
      <c r="J927" s="37" t="s">
        <v>105</v>
      </c>
      <c r="K927" s="37" t="s">
        <v>105</v>
      </c>
      <c r="L927" s="36">
        <v>3</v>
      </c>
      <c r="M927" s="36">
        <v>3</v>
      </c>
      <c r="N927" s="36">
        <v>3</v>
      </c>
      <c r="O927" s="36">
        <v>4</v>
      </c>
      <c r="P927" s="37" t="s">
        <v>292</v>
      </c>
      <c r="Q927" s="37"/>
      <c r="R927" s="37" t="s">
        <v>2713</v>
      </c>
    </row>
    <row r="928" spans="1:18" ht="27.7" hidden="1" thickBot="1" x14ac:dyDescent="0.55000000000000004">
      <c r="A928" s="36">
        <v>931</v>
      </c>
      <c r="B928" s="37" t="s">
        <v>2714</v>
      </c>
      <c r="C928" s="37" t="s">
        <v>1060</v>
      </c>
      <c r="D928" s="37" t="s">
        <v>1012</v>
      </c>
      <c r="E928" s="37" t="s">
        <v>260</v>
      </c>
      <c r="F928" s="37" t="s">
        <v>262</v>
      </c>
      <c r="G928" s="37" t="s">
        <v>262</v>
      </c>
      <c r="H928" s="37" t="s">
        <v>1007</v>
      </c>
      <c r="I928" s="37" t="s">
        <v>264</v>
      </c>
      <c r="J928" s="37" t="s">
        <v>264</v>
      </c>
      <c r="K928" s="37" t="s">
        <v>105</v>
      </c>
      <c r="L928" s="36">
        <v>1</v>
      </c>
      <c r="M928" s="36">
        <v>1</v>
      </c>
      <c r="N928" s="36">
        <v>2</v>
      </c>
      <c r="O928" s="36">
        <v>3</v>
      </c>
      <c r="P928" s="37" t="s">
        <v>265</v>
      </c>
      <c r="Q928" s="37" t="s">
        <v>2715</v>
      </c>
      <c r="R928" s="37" t="s">
        <v>2716</v>
      </c>
    </row>
    <row r="929" spans="1:18" ht="27.7" hidden="1" thickBot="1" x14ac:dyDescent="0.55000000000000004">
      <c r="A929" s="36">
        <v>932</v>
      </c>
      <c r="B929" s="37" t="s">
        <v>2717</v>
      </c>
      <c r="C929" s="37" t="s">
        <v>1045</v>
      </c>
      <c r="D929" s="37" t="s">
        <v>1012</v>
      </c>
      <c r="E929" s="37" t="s">
        <v>260</v>
      </c>
      <c r="F929" s="37" t="s">
        <v>262</v>
      </c>
      <c r="G929" s="37" t="s">
        <v>262</v>
      </c>
      <c r="H929" s="37" t="s">
        <v>1007</v>
      </c>
      <c r="I929" s="37" t="s">
        <v>264</v>
      </c>
      <c r="J929" s="37" t="s">
        <v>264</v>
      </c>
      <c r="K929" s="37" t="s">
        <v>105</v>
      </c>
      <c r="L929" s="36">
        <v>1</v>
      </c>
      <c r="M929" s="36">
        <v>1</v>
      </c>
      <c r="N929" s="36">
        <v>1</v>
      </c>
      <c r="O929" s="36">
        <v>3</v>
      </c>
      <c r="P929" s="37" t="s">
        <v>265</v>
      </c>
      <c r="Q929" s="37"/>
      <c r="R929" s="37" t="s">
        <v>2718</v>
      </c>
    </row>
    <row r="930" spans="1:18" ht="27.7" hidden="1" thickBot="1" x14ac:dyDescent="0.55000000000000004">
      <c r="A930" s="36">
        <v>933</v>
      </c>
      <c r="B930" s="37" t="s">
        <v>2719</v>
      </c>
      <c r="C930" s="37" t="s">
        <v>1393</v>
      </c>
      <c r="D930" s="37" t="s">
        <v>1394</v>
      </c>
      <c r="E930" s="37" t="s">
        <v>1374</v>
      </c>
      <c r="F930" s="37" t="s">
        <v>1804</v>
      </c>
      <c r="G930" s="37" t="s">
        <v>1387</v>
      </c>
      <c r="H930" s="37" t="s">
        <v>1387</v>
      </c>
      <c r="I930" s="37" t="s">
        <v>944</v>
      </c>
      <c r="J930" s="37" t="s">
        <v>944</v>
      </c>
      <c r="K930" s="37" t="s">
        <v>1165</v>
      </c>
      <c r="L930" s="36">
        <v>1</v>
      </c>
      <c r="M930" s="36">
        <v>1</v>
      </c>
      <c r="N930" s="36">
        <v>1</v>
      </c>
      <c r="O930" s="36">
        <v>3</v>
      </c>
      <c r="P930" s="37" t="s">
        <v>292</v>
      </c>
      <c r="Q930" s="37"/>
      <c r="R930" s="37" t="s">
        <v>2720</v>
      </c>
    </row>
    <row r="931" spans="1:18" ht="27.7" hidden="1" thickBot="1" x14ac:dyDescent="0.55000000000000004">
      <c r="A931" s="36">
        <v>934</v>
      </c>
      <c r="B931" s="37" t="s">
        <v>2721</v>
      </c>
      <c r="C931" s="37" t="s">
        <v>1413</v>
      </c>
      <c r="D931" s="37" t="s">
        <v>1394</v>
      </c>
      <c r="E931" s="37" t="s">
        <v>1374</v>
      </c>
      <c r="F931" s="37" t="s">
        <v>1395</v>
      </c>
      <c r="G931" s="37" t="s">
        <v>1387</v>
      </c>
      <c r="H931" s="37" t="s">
        <v>1387</v>
      </c>
      <c r="I931" s="37" t="s">
        <v>944</v>
      </c>
      <c r="J931" s="37" t="s">
        <v>944</v>
      </c>
      <c r="K931" s="37" t="s">
        <v>1165</v>
      </c>
      <c r="L931" s="36">
        <v>1</v>
      </c>
      <c r="M931" s="36">
        <v>1</v>
      </c>
      <c r="N931" s="36">
        <v>1</v>
      </c>
      <c r="O931" s="36">
        <v>4</v>
      </c>
      <c r="P931" s="37" t="s">
        <v>292</v>
      </c>
      <c r="Q931" s="37"/>
      <c r="R931" s="37" t="s">
        <v>2722</v>
      </c>
    </row>
    <row r="932" spans="1:18" ht="27.7" hidden="1" thickBot="1" x14ac:dyDescent="0.55000000000000004">
      <c r="A932" s="36">
        <v>935</v>
      </c>
      <c r="B932" s="37" t="s">
        <v>2723</v>
      </c>
      <c r="C932" s="37" t="s">
        <v>1170</v>
      </c>
      <c r="D932" s="37" t="s">
        <v>1162</v>
      </c>
      <c r="E932" s="37" t="s">
        <v>1163</v>
      </c>
      <c r="F932" s="37" t="s">
        <v>1164</v>
      </c>
      <c r="G932" s="37" t="s">
        <v>1164</v>
      </c>
      <c r="H932" s="37" t="s">
        <v>871</v>
      </c>
      <c r="I932" s="37" t="s">
        <v>1165</v>
      </c>
      <c r="J932" s="37" t="s">
        <v>1165</v>
      </c>
      <c r="K932" s="37" t="s">
        <v>105</v>
      </c>
      <c r="L932" s="36">
        <v>3</v>
      </c>
      <c r="M932" s="36">
        <v>3</v>
      </c>
      <c r="N932" s="36">
        <v>3</v>
      </c>
      <c r="O932" s="36">
        <v>4</v>
      </c>
      <c r="P932" s="37" t="s">
        <v>265</v>
      </c>
      <c r="Q932" s="37"/>
      <c r="R932" s="37" t="s">
        <v>2724</v>
      </c>
    </row>
    <row r="933" spans="1:18" ht="27.7" hidden="1" thickBot="1" x14ac:dyDescent="0.55000000000000004">
      <c r="A933" s="36">
        <v>1013</v>
      </c>
      <c r="B933" s="37" t="s">
        <v>2725</v>
      </c>
      <c r="C933" s="37" t="s">
        <v>2085</v>
      </c>
      <c r="D933" s="37" t="s">
        <v>2085</v>
      </c>
      <c r="E933" s="37" t="s">
        <v>1163</v>
      </c>
      <c r="F933" s="37" t="s">
        <v>1911</v>
      </c>
      <c r="G933" s="37" t="s">
        <v>2079</v>
      </c>
      <c r="H933" s="37" t="s">
        <v>2079</v>
      </c>
      <c r="I933" s="37" t="s">
        <v>1165</v>
      </c>
      <c r="J933" s="37" t="s">
        <v>2077</v>
      </c>
      <c r="K933" s="37" t="s">
        <v>2077</v>
      </c>
      <c r="L933" s="36">
        <v>2</v>
      </c>
      <c r="M933" s="36">
        <v>2</v>
      </c>
      <c r="N933" s="36">
        <v>2</v>
      </c>
      <c r="O933" s="36">
        <v>3</v>
      </c>
      <c r="P933" s="37" t="s">
        <v>292</v>
      </c>
      <c r="Q933" s="37"/>
      <c r="R933" s="37" t="s">
        <v>2726</v>
      </c>
    </row>
    <row r="934" spans="1:18" ht="27.7" thickBot="1" x14ac:dyDescent="0.55000000000000004">
      <c r="A934" s="36">
        <v>1112</v>
      </c>
      <c r="B934" s="37" t="s">
        <v>2727</v>
      </c>
      <c r="C934" s="37" t="s">
        <v>2728</v>
      </c>
      <c r="D934" s="37" t="s">
        <v>2729</v>
      </c>
      <c r="E934" s="37" t="s">
        <v>2730</v>
      </c>
      <c r="F934" s="37" t="s">
        <v>2731</v>
      </c>
      <c r="G934" s="37" t="s">
        <v>2731</v>
      </c>
      <c r="H934" s="37" t="s">
        <v>2731</v>
      </c>
      <c r="I934" s="37" t="s">
        <v>102</v>
      </c>
      <c r="J934" s="37" t="s">
        <v>102</v>
      </c>
      <c r="K934" s="37" t="s">
        <v>90</v>
      </c>
      <c r="L934" s="36">
        <v>4</v>
      </c>
      <c r="M934" s="36">
        <v>4</v>
      </c>
      <c r="N934" s="36">
        <v>4</v>
      </c>
      <c r="O934" s="36">
        <v>6</v>
      </c>
      <c r="P934" s="37" t="s">
        <v>265</v>
      </c>
      <c r="Q934" s="37"/>
      <c r="R934" s="37" t="s">
        <v>2732</v>
      </c>
    </row>
    <row r="935" spans="1:18" ht="27.7" hidden="1" thickBot="1" x14ac:dyDescent="0.55000000000000004">
      <c r="A935" s="36">
        <v>1113</v>
      </c>
      <c r="B935" s="37" t="s">
        <v>2733</v>
      </c>
      <c r="C935" s="37" t="s">
        <v>2641</v>
      </c>
      <c r="D935" s="37" t="s">
        <v>1063</v>
      </c>
      <c r="E935" s="37" t="s">
        <v>1064</v>
      </c>
      <c r="F935" s="37" t="s">
        <v>2002</v>
      </c>
      <c r="G935" s="37" t="s">
        <v>2002</v>
      </c>
      <c r="H935" s="37" t="s">
        <v>2002</v>
      </c>
      <c r="I935" s="37" t="s">
        <v>1964</v>
      </c>
      <c r="J935" s="37" t="s">
        <v>88</v>
      </c>
      <c r="K935" s="37" t="s">
        <v>88</v>
      </c>
      <c r="L935" s="36">
        <v>1</v>
      </c>
      <c r="M935" s="36">
        <v>1</v>
      </c>
      <c r="N935" s="36">
        <v>1</v>
      </c>
      <c r="O935" s="36">
        <v>1</v>
      </c>
      <c r="P935" s="37" t="s">
        <v>292</v>
      </c>
      <c r="Q935" s="37"/>
      <c r="R935" s="37" t="s">
        <v>2734</v>
      </c>
    </row>
    <row r="936" spans="1:18" ht="41.35" thickBot="1" x14ac:dyDescent="0.55000000000000004">
      <c r="A936" s="36">
        <v>1114</v>
      </c>
      <c r="B936" s="37" t="s">
        <v>2735</v>
      </c>
      <c r="C936" s="37" t="s">
        <v>2736</v>
      </c>
      <c r="D936" s="37" t="s">
        <v>2729</v>
      </c>
      <c r="E936" s="37" t="s">
        <v>2730</v>
      </c>
      <c r="F936" s="37" t="s">
        <v>2731</v>
      </c>
      <c r="G936" s="37" t="s">
        <v>2731</v>
      </c>
      <c r="H936" s="37" t="s">
        <v>2731</v>
      </c>
      <c r="I936" s="37" t="s">
        <v>2031</v>
      </c>
      <c r="J936" s="37" t="s">
        <v>2031</v>
      </c>
      <c r="K936" s="37" t="s">
        <v>2031</v>
      </c>
      <c r="L936" s="36">
        <v>3</v>
      </c>
      <c r="M936" s="36">
        <v>3</v>
      </c>
      <c r="N936" s="36">
        <v>3</v>
      </c>
      <c r="O936" s="36">
        <v>6</v>
      </c>
      <c r="P936" s="37" t="s">
        <v>265</v>
      </c>
      <c r="Q936" s="37"/>
      <c r="R936" s="37" t="s">
        <v>2737</v>
      </c>
    </row>
    <row r="937" spans="1:18" ht="27.7" thickBot="1" x14ac:dyDescent="0.55000000000000004">
      <c r="A937" s="36">
        <v>1115</v>
      </c>
      <c r="B937" s="37" t="s">
        <v>2738</v>
      </c>
      <c r="C937" s="37" t="s">
        <v>2739</v>
      </c>
      <c r="D937" s="37" t="s">
        <v>2729</v>
      </c>
      <c r="E937" s="37" t="s">
        <v>2730</v>
      </c>
      <c r="F937" s="37" t="s">
        <v>2731</v>
      </c>
      <c r="G937" s="37" t="s">
        <v>2731</v>
      </c>
      <c r="H937" s="37" t="s">
        <v>2731</v>
      </c>
      <c r="I937" s="37" t="s">
        <v>102</v>
      </c>
      <c r="J937" s="37" t="s">
        <v>102</v>
      </c>
      <c r="K937" s="37" t="s">
        <v>90</v>
      </c>
      <c r="L937" s="36">
        <v>5</v>
      </c>
      <c r="M937" s="36">
        <v>5</v>
      </c>
      <c r="N937" s="36">
        <v>5</v>
      </c>
      <c r="O937" s="36">
        <v>7</v>
      </c>
      <c r="P937" s="37" t="s">
        <v>265</v>
      </c>
      <c r="Q937" s="37"/>
      <c r="R937" s="37" t="s">
        <v>2740</v>
      </c>
    </row>
    <row r="938" spans="1:18" ht="27.7" thickBot="1" x14ac:dyDescent="0.55000000000000004">
      <c r="A938" s="36">
        <v>1116</v>
      </c>
      <c r="B938" s="37" t="s">
        <v>2741</v>
      </c>
      <c r="C938" s="37" t="s">
        <v>2728</v>
      </c>
      <c r="D938" s="37" t="s">
        <v>2729</v>
      </c>
      <c r="E938" s="37" t="s">
        <v>2730</v>
      </c>
      <c r="F938" s="37" t="s">
        <v>2731</v>
      </c>
      <c r="G938" s="37" t="s">
        <v>2731</v>
      </c>
      <c r="H938" s="37" t="s">
        <v>2731</v>
      </c>
      <c r="I938" s="37" t="s">
        <v>90</v>
      </c>
      <c r="J938" s="37" t="s">
        <v>90</v>
      </c>
      <c r="K938" s="37" t="s">
        <v>90</v>
      </c>
      <c r="L938" s="36">
        <v>2</v>
      </c>
      <c r="M938" s="36">
        <v>2</v>
      </c>
      <c r="N938" s="36">
        <v>2</v>
      </c>
      <c r="O938" s="36">
        <v>3</v>
      </c>
      <c r="P938" s="37" t="s">
        <v>292</v>
      </c>
      <c r="Q938" s="37"/>
      <c r="R938" s="37" t="s">
        <v>2742</v>
      </c>
    </row>
    <row r="939" spans="1:18" ht="27.7" thickBot="1" x14ac:dyDescent="0.55000000000000004">
      <c r="A939" s="36">
        <v>1117</v>
      </c>
      <c r="B939" s="37" t="s">
        <v>2743</v>
      </c>
      <c r="C939" s="37" t="s">
        <v>2736</v>
      </c>
      <c r="D939" s="37" t="s">
        <v>2729</v>
      </c>
      <c r="E939" s="37" t="s">
        <v>2730</v>
      </c>
      <c r="F939" s="37" t="s">
        <v>2731</v>
      </c>
      <c r="G939" s="37" t="s">
        <v>2731</v>
      </c>
      <c r="H939" s="37" t="s">
        <v>2731</v>
      </c>
      <c r="I939" s="37" t="s">
        <v>90</v>
      </c>
      <c r="J939" s="37" t="s">
        <v>90</v>
      </c>
      <c r="K939" s="37" t="s">
        <v>90</v>
      </c>
      <c r="L939" s="36">
        <v>3</v>
      </c>
      <c r="M939" s="36">
        <v>3</v>
      </c>
      <c r="N939" s="36">
        <v>3</v>
      </c>
      <c r="O939" s="36">
        <v>4</v>
      </c>
      <c r="P939" s="37" t="s">
        <v>265</v>
      </c>
      <c r="Q939" s="37" t="s">
        <v>2744</v>
      </c>
      <c r="R939" s="37" t="s">
        <v>2745</v>
      </c>
    </row>
    <row r="940" spans="1:18" ht="27.7" thickBot="1" x14ac:dyDescent="0.55000000000000004">
      <c r="A940" s="36">
        <v>1118</v>
      </c>
      <c r="B940" s="37" t="s">
        <v>2746</v>
      </c>
      <c r="C940" s="37" t="s">
        <v>2747</v>
      </c>
      <c r="D940" s="37" t="s">
        <v>2748</v>
      </c>
      <c r="E940" s="37" t="s">
        <v>2730</v>
      </c>
      <c r="F940" s="37" t="s">
        <v>2749</v>
      </c>
      <c r="G940" s="37" t="s">
        <v>2749</v>
      </c>
      <c r="H940" s="37" t="s">
        <v>2749</v>
      </c>
      <c r="I940" s="37" t="s">
        <v>102</v>
      </c>
      <c r="J940" s="37" t="s">
        <v>102</v>
      </c>
      <c r="K940" s="37" t="s">
        <v>102</v>
      </c>
      <c r="L940" s="36">
        <v>3</v>
      </c>
      <c r="M940" s="36">
        <v>3</v>
      </c>
      <c r="N940" s="36">
        <v>3</v>
      </c>
      <c r="O940" s="36">
        <v>5</v>
      </c>
      <c r="P940" s="37" t="s">
        <v>292</v>
      </c>
      <c r="Q940" s="37"/>
      <c r="R940" s="37" t="s">
        <v>2750</v>
      </c>
    </row>
    <row r="941" spans="1:18" ht="27.7" thickBot="1" x14ac:dyDescent="0.55000000000000004">
      <c r="A941" s="36">
        <v>1119</v>
      </c>
      <c r="B941" s="37" t="s">
        <v>2751</v>
      </c>
      <c r="C941" s="37" t="s">
        <v>2752</v>
      </c>
      <c r="D941" s="37" t="s">
        <v>2729</v>
      </c>
      <c r="E941" s="37" t="s">
        <v>2730</v>
      </c>
      <c r="F941" s="37" t="s">
        <v>2731</v>
      </c>
      <c r="G941" s="37" t="s">
        <v>2731</v>
      </c>
      <c r="H941" s="37" t="s">
        <v>2731</v>
      </c>
      <c r="I941" s="37" t="s">
        <v>102</v>
      </c>
      <c r="J941" s="37" t="s">
        <v>102</v>
      </c>
      <c r="K941" s="37" t="s">
        <v>90</v>
      </c>
      <c r="L941" s="36">
        <v>3</v>
      </c>
      <c r="M941" s="36">
        <v>3</v>
      </c>
      <c r="N941" s="36">
        <v>3</v>
      </c>
      <c r="O941" s="36">
        <v>4</v>
      </c>
      <c r="P941" s="37" t="s">
        <v>265</v>
      </c>
      <c r="Q941" s="37"/>
      <c r="R941" s="37" t="s">
        <v>2753</v>
      </c>
    </row>
    <row r="942" spans="1:18" ht="27.7" thickBot="1" x14ac:dyDescent="0.55000000000000004">
      <c r="A942" s="36">
        <v>1120</v>
      </c>
      <c r="B942" s="37" t="s">
        <v>2754</v>
      </c>
      <c r="C942" s="37" t="s">
        <v>2739</v>
      </c>
      <c r="D942" s="37" t="s">
        <v>2729</v>
      </c>
      <c r="E942" s="37" t="s">
        <v>2730</v>
      </c>
      <c r="F942" s="37" t="s">
        <v>2731</v>
      </c>
      <c r="G942" s="37" t="s">
        <v>2731</v>
      </c>
      <c r="H942" s="37" t="s">
        <v>2731</v>
      </c>
      <c r="I942" s="37" t="s">
        <v>102</v>
      </c>
      <c r="J942" s="37" t="s">
        <v>102</v>
      </c>
      <c r="K942" s="37" t="s">
        <v>90</v>
      </c>
      <c r="L942" s="36">
        <v>3</v>
      </c>
      <c r="M942" s="36">
        <v>3</v>
      </c>
      <c r="N942" s="36">
        <v>3</v>
      </c>
      <c r="O942" s="36">
        <v>5</v>
      </c>
      <c r="P942" s="37" t="s">
        <v>292</v>
      </c>
      <c r="Q942" s="37"/>
      <c r="R942" s="37" t="s">
        <v>2755</v>
      </c>
    </row>
    <row r="943" spans="1:18" ht="27.7" thickBot="1" x14ac:dyDescent="0.55000000000000004">
      <c r="A943" s="36">
        <v>1121</v>
      </c>
      <c r="B943" s="37" t="s">
        <v>2756</v>
      </c>
      <c r="C943" s="37" t="s">
        <v>2757</v>
      </c>
      <c r="D943" s="37" t="s">
        <v>2748</v>
      </c>
      <c r="E943" s="37" t="s">
        <v>2730</v>
      </c>
      <c r="F943" s="37" t="s">
        <v>2749</v>
      </c>
      <c r="G943" s="37" t="s">
        <v>2749</v>
      </c>
      <c r="H943" s="37" t="s">
        <v>2749</v>
      </c>
      <c r="I943" s="37" t="s">
        <v>90</v>
      </c>
      <c r="J943" s="37" t="s">
        <v>90</v>
      </c>
      <c r="K943" s="37" t="s">
        <v>90</v>
      </c>
      <c r="L943" s="36">
        <v>3</v>
      </c>
      <c r="M943" s="36">
        <v>3</v>
      </c>
      <c r="N943" s="36">
        <v>3</v>
      </c>
      <c r="O943" s="36">
        <v>5</v>
      </c>
      <c r="P943" s="37" t="s">
        <v>292</v>
      </c>
      <c r="Q943" s="37"/>
      <c r="R943" s="37" t="s">
        <v>2758</v>
      </c>
    </row>
    <row r="944" spans="1:18" ht="27.7" thickBot="1" x14ac:dyDescent="0.55000000000000004">
      <c r="A944" s="36">
        <v>1122</v>
      </c>
      <c r="B944" s="37" t="s">
        <v>2759</v>
      </c>
      <c r="C944" s="37" t="s">
        <v>2759</v>
      </c>
      <c r="D944" s="37" t="s">
        <v>2760</v>
      </c>
      <c r="E944" s="37" t="s">
        <v>2730</v>
      </c>
      <c r="F944" s="37" t="s">
        <v>2761</v>
      </c>
      <c r="G944" s="37" t="s">
        <v>2761</v>
      </c>
      <c r="H944" s="37" t="s">
        <v>2761</v>
      </c>
      <c r="I944" s="37" t="s">
        <v>102</v>
      </c>
      <c r="J944" s="37" t="s">
        <v>102</v>
      </c>
      <c r="K944" s="37" t="s">
        <v>90</v>
      </c>
      <c r="L944" s="36">
        <v>3</v>
      </c>
      <c r="M944" s="36">
        <v>3</v>
      </c>
      <c r="N944" s="36">
        <v>3</v>
      </c>
      <c r="O944" s="36">
        <v>4</v>
      </c>
      <c r="P944" s="37" t="s">
        <v>292</v>
      </c>
      <c r="Q944" s="37"/>
      <c r="R944" s="37" t="s">
        <v>2762</v>
      </c>
    </row>
    <row r="945" spans="1:18" ht="27.7" thickBot="1" x14ac:dyDescent="0.55000000000000004">
      <c r="A945" s="36">
        <v>1123</v>
      </c>
      <c r="B945" s="37" t="s">
        <v>2763</v>
      </c>
      <c r="C945" s="37" t="s">
        <v>2764</v>
      </c>
      <c r="D945" s="37" t="s">
        <v>2760</v>
      </c>
      <c r="E945" s="37" t="s">
        <v>2730</v>
      </c>
      <c r="F945" s="37" t="s">
        <v>2761</v>
      </c>
      <c r="G945" s="37" t="s">
        <v>2761</v>
      </c>
      <c r="H945" s="37" t="s">
        <v>2761</v>
      </c>
      <c r="I945" s="37" t="s">
        <v>90</v>
      </c>
      <c r="J945" s="37" t="s">
        <v>90</v>
      </c>
      <c r="K945" s="37" t="s">
        <v>90</v>
      </c>
      <c r="L945" s="36">
        <v>5</v>
      </c>
      <c r="M945" s="36">
        <v>5</v>
      </c>
      <c r="N945" s="36">
        <v>5</v>
      </c>
      <c r="O945" s="36">
        <v>5</v>
      </c>
      <c r="P945" s="37" t="s">
        <v>265</v>
      </c>
      <c r="Q945" s="37"/>
      <c r="R945" s="37" t="s">
        <v>2765</v>
      </c>
    </row>
    <row r="946" spans="1:18" ht="27.7" thickBot="1" x14ac:dyDescent="0.55000000000000004">
      <c r="A946" s="36">
        <v>1124</v>
      </c>
      <c r="B946" s="37" t="s">
        <v>2766</v>
      </c>
      <c r="C946" s="37" t="s">
        <v>2767</v>
      </c>
      <c r="D946" s="37" t="s">
        <v>2768</v>
      </c>
      <c r="E946" s="37" t="s">
        <v>2730</v>
      </c>
      <c r="F946" s="37" t="s">
        <v>2749</v>
      </c>
      <c r="G946" s="37" t="s">
        <v>2749</v>
      </c>
      <c r="H946" s="37" t="s">
        <v>2749</v>
      </c>
      <c r="I946" s="37" t="s">
        <v>102</v>
      </c>
      <c r="J946" s="37" t="s">
        <v>102</v>
      </c>
      <c r="K946" s="37" t="s">
        <v>102</v>
      </c>
      <c r="L946" s="36">
        <v>3</v>
      </c>
      <c r="M946" s="36">
        <v>3</v>
      </c>
      <c r="N946" s="36">
        <v>3</v>
      </c>
      <c r="O946" s="36">
        <v>5</v>
      </c>
      <c r="P946" s="37" t="s">
        <v>265</v>
      </c>
      <c r="Q946" s="37"/>
      <c r="R946" s="37" t="s">
        <v>2769</v>
      </c>
    </row>
    <row r="947" spans="1:18" ht="27.7" thickBot="1" x14ac:dyDescent="0.55000000000000004">
      <c r="A947" s="36">
        <v>1125</v>
      </c>
      <c r="B947" s="37" t="s">
        <v>2770</v>
      </c>
      <c r="C947" s="37" t="s">
        <v>2767</v>
      </c>
      <c r="D947" s="37" t="s">
        <v>2768</v>
      </c>
      <c r="E947" s="37" t="s">
        <v>2730</v>
      </c>
      <c r="F947" s="37" t="s">
        <v>2771</v>
      </c>
      <c r="G947" s="37" t="s">
        <v>2771</v>
      </c>
      <c r="H947" s="37" t="s">
        <v>2771</v>
      </c>
      <c r="I947" s="37" t="s">
        <v>102</v>
      </c>
      <c r="J947" s="37" t="s">
        <v>102</v>
      </c>
      <c r="K947" s="37" t="s">
        <v>102</v>
      </c>
      <c r="L947" s="36">
        <v>4</v>
      </c>
      <c r="M947" s="36">
        <v>4</v>
      </c>
      <c r="N947" s="36">
        <v>4</v>
      </c>
      <c r="O947" s="36">
        <v>6</v>
      </c>
      <c r="P947" s="37" t="s">
        <v>265</v>
      </c>
      <c r="Q947" s="37"/>
      <c r="R947" s="37" t="s">
        <v>2772</v>
      </c>
    </row>
    <row r="948" spans="1:18" ht="27.7" thickBot="1" x14ac:dyDescent="0.55000000000000004">
      <c r="A948" s="36">
        <v>1126</v>
      </c>
      <c r="B948" s="37" t="s">
        <v>2773</v>
      </c>
      <c r="C948" s="37" t="s">
        <v>2774</v>
      </c>
      <c r="D948" s="37" t="s">
        <v>2775</v>
      </c>
      <c r="E948" s="37" t="s">
        <v>2776</v>
      </c>
      <c r="F948" s="37" t="s">
        <v>2777</v>
      </c>
      <c r="G948" s="37" t="s">
        <v>2777</v>
      </c>
      <c r="H948" s="37" t="s">
        <v>2777</v>
      </c>
      <c r="I948" s="37" t="s">
        <v>102</v>
      </c>
      <c r="J948" s="37" t="s">
        <v>102</v>
      </c>
      <c r="K948" s="37" t="s">
        <v>1964</v>
      </c>
      <c r="L948" s="36">
        <v>3</v>
      </c>
      <c r="M948" s="36">
        <v>3</v>
      </c>
      <c r="N948" s="36">
        <v>3</v>
      </c>
      <c r="O948" s="36">
        <v>5</v>
      </c>
      <c r="P948" s="37" t="s">
        <v>265</v>
      </c>
      <c r="Q948" s="37"/>
      <c r="R948" s="37" t="s">
        <v>2778</v>
      </c>
    </row>
    <row r="949" spans="1:18" ht="27.7" thickBot="1" x14ac:dyDescent="0.55000000000000004">
      <c r="A949" s="36">
        <v>1127</v>
      </c>
      <c r="B949" s="37" t="s">
        <v>2779</v>
      </c>
      <c r="C949" s="37" t="s">
        <v>2774</v>
      </c>
      <c r="D949" s="37" t="s">
        <v>2775</v>
      </c>
      <c r="E949" s="37" t="s">
        <v>2776</v>
      </c>
      <c r="F949" s="37" t="s">
        <v>2777</v>
      </c>
      <c r="G949" s="37" t="s">
        <v>2777</v>
      </c>
      <c r="H949" s="37" t="s">
        <v>2777</v>
      </c>
      <c r="I949" s="37" t="s">
        <v>102</v>
      </c>
      <c r="J949" s="37" t="s">
        <v>102</v>
      </c>
      <c r="K949" s="37" t="s">
        <v>102</v>
      </c>
      <c r="L949" s="36">
        <v>3</v>
      </c>
      <c r="M949" s="36">
        <v>4</v>
      </c>
      <c r="N949" s="36">
        <v>5</v>
      </c>
      <c r="O949" s="36">
        <v>6</v>
      </c>
      <c r="P949" s="37" t="s">
        <v>265</v>
      </c>
      <c r="Q949" s="37"/>
      <c r="R949" s="37" t="s">
        <v>2780</v>
      </c>
    </row>
    <row r="950" spans="1:18" ht="27.7" thickBot="1" x14ac:dyDescent="0.55000000000000004">
      <c r="A950" s="36">
        <v>1128</v>
      </c>
      <c r="B950" s="37" t="s">
        <v>2781</v>
      </c>
      <c r="C950" s="37" t="s">
        <v>2782</v>
      </c>
      <c r="D950" s="37" t="s">
        <v>2783</v>
      </c>
      <c r="E950" s="37" t="s">
        <v>2784</v>
      </c>
      <c r="F950" s="37" t="s">
        <v>2761</v>
      </c>
      <c r="G950" s="37" t="s">
        <v>2761</v>
      </c>
      <c r="H950" s="37" t="s">
        <v>2761</v>
      </c>
      <c r="I950" s="37" t="s">
        <v>90</v>
      </c>
      <c r="J950" s="37" t="s">
        <v>90</v>
      </c>
      <c r="K950" s="37" t="s">
        <v>90</v>
      </c>
      <c r="L950" s="36">
        <v>2</v>
      </c>
      <c r="M950" s="36">
        <v>2</v>
      </c>
      <c r="N950" s="36">
        <v>2</v>
      </c>
      <c r="O950" s="36">
        <v>4</v>
      </c>
      <c r="P950" s="37" t="s">
        <v>265</v>
      </c>
      <c r="Q950" s="37"/>
      <c r="R950" s="37" t="s">
        <v>2785</v>
      </c>
    </row>
    <row r="951" spans="1:18" ht="27.7" thickBot="1" x14ac:dyDescent="0.55000000000000004">
      <c r="A951" s="36">
        <v>1129</v>
      </c>
      <c r="B951" s="37" t="s">
        <v>2786</v>
      </c>
      <c r="C951" s="37" t="s">
        <v>2787</v>
      </c>
      <c r="D951" s="37" t="s">
        <v>2783</v>
      </c>
      <c r="E951" s="37" t="s">
        <v>2784</v>
      </c>
      <c r="F951" s="37" t="s">
        <v>2788</v>
      </c>
      <c r="G951" s="37" t="s">
        <v>2788</v>
      </c>
      <c r="H951" s="37" t="s">
        <v>2788</v>
      </c>
      <c r="I951" s="37" t="s">
        <v>92</v>
      </c>
      <c r="J951" s="37" t="s">
        <v>92</v>
      </c>
      <c r="K951" s="37" t="s">
        <v>92</v>
      </c>
      <c r="L951" s="36">
        <v>4</v>
      </c>
      <c r="M951" s="36">
        <v>4</v>
      </c>
      <c r="N951" s="36">
        <v>4</v>
      </c>
      <c r="O951" s="36">
        <v>6</v>
      </c>
      <c r="P951" s="37" t="s">
        <v>265</v>
      </c>
      <c r="Q951" s="37"/>
      <c r="R951" s="37" t="s">
        <v>2789</v>
      </c>
    </row>
    <row r="952" spans="1:18" ht="27.7" thickBot="1" x14ac:dyDescent="0.55000000000000004">
      <c r="A952" s="36">
        <v>1130</v>
      </c>
      <c r="B952" s="37" t="s">
        <v>2790</v>
      </c>
      <c r="C952" s="37" t="s">
        <v>2791</v>
      </c>
      <c r="D952" s="37" t="s">
        <v>2792</v>
      </c>
      <c r="E952" s="37" t="s">
        <v>2776</v>
      </c>
      <c r="F952" s="37" t="s">
        <v>2793</v>
      </c>
      <c r="G952" s="37" t="s">
        <v>2793</v>
      </c>
      <c r="H952" s="37" t="s">
        <v>2793</v>
      </c>
      <c r="I952" s="37" t="s">
        <v>102</v>
      </c>
      <c r="J952" s="37" t="s">
        <v>102</v>
      </c>
      <c r="K952" s="37" t="s">
        <v>102</v>
      </c>
      <c r="L952" s="36">
        <v>4</v>
      </c>
      <c r="M952" s="36">
        <v>4</v>
      </c>
      <c r="N952" s="36">
        <v>5</v>
      </c>
      <c r="O952" s="36">
        <v>5</v>
      </c>
      <c r="P952" s="37" t="s">
        <v>292</v>
      </c>
      <c r="Q952" s="37"/>
      <c r="R952" s="37" t="s">
        <v>2794</v>
      </c>
    </row>
    <row r="953" spans="1:18" ht="27.7" thickBot="1" x14ac:dyDescent="0.55000000000000004">
      <c r="A953" s="36">
        <v>1131</v>
      </c>
      <c r="B953" s="37" t="s">
        <v>2795</v>
      </c>
      <c r="C953" s="37" t="s">
        <v>2796</v>
      </c>
      <c r="D953" s="37" t="s">
        <v>2797</v>
      </c>
      <c r="E953" s="37" t="s">
        <v>2784</v>
      </c>
      <c r="F953" s="37" t="s">
        <v>2798</v>
      </c>
      <c r="G953" s="37" t="s">
        <v>2798</v>
      </c>
      <c r="H953" s="37" t="s">
        <v>2798</v>
      </c>
      <c r="I953" s="37" t="s">
        <v>92</v>
      </c>
      <c r="J953" s="37" t="s">
        <v>92</v>
      </c>
      <c r="K953" s="37" t="s">
        <v>92</v>
      </c>
      <c r="L953" s="36">
        <v>1</v>
      </c>
      <c r="M953" s="36">
        <v>1</v>
      </c>
      <c r="N953" s="36">
        <v>1</v>
      </c>
      <c r="O953" s="36">
        <v>2</v>
      </c>
      <c r="P953" s="37" t="s">
        <v>292</v>
      </c>
      <c r="Q953" s="37"/>
      <c r="R953" s="37" t="s">
        <v>2799</v>
      </c>
    </row>
    <row r="954" spans="1:18" ht="14.7" hidden="1" thickBot="1" x14ac:dyDescent="0.55000000000000004">
      <c r="A954" s="36">
        <v>1132</v>
      </c>
      <c r="B954" s="37" t="s">
        <v>2800</v>
      </c>
      <c r="C954" s="37" t="s">
        <v>2800</v>
      </c>
      <c r="D954" s="37" t="s">
        <v>2644</v>
      </c>
      <c r="E954" s="37" t="s">
        <v>1785</v>
      </c>
      <c r="F954" s="37" t="s">
        <v>2801</v>
      </c>
      <c r="G954" s="37" t="s">
        <v>2801</v>
      </c>
      <c r="H954" s="37" t="s">
        <v>2801</v>
      </c>
      <c r="I954" s="37" t="s">
        <v>1465</v>
      </c>
      <c r="J954" s="37" t="s">
        <v>1465</v>
      </c>
      <c r="K954" s="37" t="s">
        <v>1465</v>
      </c>
      <c r="L954" s="36">
        <v>1</v>
      </c>
      <c r="M954" s="36">
        <v>1</v>
      </c>
      <c r="N954" s="36">
        <v>1</v>
      </c>
      <c r="O954" s="36">
        <v>2</v>
      </c>
      <c r="P954" s="37" t="s">
        <v>292</v>
      </c>
      <c r="Q954" s="37" t="s">
        <v>2800</v>
      </c>
      <c r="R954" s="37" t="s">
        <v>2802</v>
      </c>
    </row>
    <row r="955" spans="1:18" ht="27.7" thickBot="1" x14ac:dyDescent="0.55000000000000004">
      <c r="A955" s="36">
        <v>1133</v>
      </c>
      <c r="B955" s="37" t="s">
        <v>2803</v>
      </c>
      <c r="C955" s="37" t="s">
        <v>2774</v>
      </c>
      <c r="D955" s="37" t="s">
        <v>2775</v>
      </c>
      <c r="E955" s="37" t="s">
        <v>2776</v>
      </c>
      <c r="F955" s="37" t="s">
        <v>2777</v>
      </c>
      <c r="G955" s="37" t="s">
        <v>2777</v>
      </c>
      <c r="H955" s="37" t="s">
        <v>2777</v>
      </c>
      <c r="I955" s="37" t="s">
        <v>102</v>
      </c>
      <c r="J955" s="37" t="s">
        <v>102</v>
      </c>
      <c r="K955" s="37" t="s">
        <v>102</v>
      </c>
      <c r="L955" s="36">
        <v>3</v>
      </c>
      <c r="M955" s="36">
        <v>3</v>
      </c>
      <c r="N955" s="36">
        <v>3</v>
      </c>
      <c r="O955" s="36">
        <v>5</v>
      </c>
      <c r="P955" s="37" t="s">
        <v>292</v>
      </c>
      <c r="Q955" s="37"/>
      <c r="R955" s="37" t="s">
        <v>2804</v>
      </c>
    </row>
    <row r="956" spans="1:18" ht="27.7" thickBot="1" x14ac:dyDescent="0.55000000000000004">
      <c r="A956" s="36">
        <v>1134</v>
      </c>
      <c r="B956" s="37" t="s">
        <v>2805</v>
      </c>
      <c r="C956" s="37" t="s">
        <v>2806</v>
      </c>
      <c r="D956" s="37" t="s">
        <v>2775</v>
      </c>
      <c r="E956" s="37" t="s">
        <v>2776</v>
      </c>
      <c r="F956" s="37" t="s">
        <v>2777</v>
      </c>
      <c r="G956" s="37" t="s">
        <v>2777</v>
      </c>
      <c r="H956" s="37" t="s">
        <v>2777</v>
      </c>
      <c r="I956" s="37" t="s">
        <v>102</v>
      </c>
      <c r="J956" s="37" t="s">
        <v>102</v>
      </c>
      <c r="K956" s="37" t="s">
        <v>102</v>
      </c>
      <c r="L956" s="36">
        <v>3</v>
      </c>
      <c r="M956" s="36">
        <v>3</v>
      </c>
      <c r="N956" s="36">
        <v>3</v>
      </c>
      <c r="O956" s="36">
        <v>5</v>
      </c>
      <c r="P956" s="37" t="s">
        <v>265</v>
      </c>
      <c r="Q956" s="37"/>
      <c r="R956" s="37" t="s">
        <v>2807</v>
      </c>
    </row>
    <row r="957" spans="1:18" ht="27.7" thickBot="1" x14ac:dyDescent="0.55000000000000004">
      <c r="A957" s="36">
        <v>1135</v>
      </c>
      <c r="B957" s="37" t="s">
        <v>2808</v>
      </c>
      <c r="C957" s="37" t="s">
        <v>2806</v>
      </c>
      <c r="D957" s="37" t="s">
        <v>2775</v>
      </c>
      <c r="E957" s="37" t="s">
        <v>2776</v>
      </c>
      <c r="F957" s="37" t="s">
        <v>2777</v>
      </c>
      <c r="G957" s="37" t="s">
        <v>2777</v>
      </c>
      <c r="H957" s="37" t="s">
        <v>2777</v>
      </c>
      <c r="I957" s="37" t="s">
        <v>102</v>
      </c>
      <c r="J957" s="37" t="s">
        <v>102</v>
      </c>
      <c r="K957" s="37" t="s">
        <v>102</v>
      </c>
      <c r="L957" s="36">
        <v>4</v>
      </c>
      <c r="M957" s="36">
        <v>4</v>
      </c>
      <c r="N957" s="36">
        <v>4</v>
      </c>
      <c r="O957" s="36">
        <v>5</v>
      </c>
      <c r="P957" s="37" t="s">
        <v>265</v>
      </c>
      <c r="Q957" s="37"/>
      <c r="R957" s="37" t="s">
        <v>2809</v>
      </c>
    </row>
    <row r="958" spans="1:18" ht="27.7" thickBot="1" x14ac:dyDescent="0.55000000000000004">
      <c r="A958" s="36">
        <v>1136</v>
      </c>
      <c r="B958" s="37" t="s">
        <v>2810</v>
      </c>
      <c r="C958" s="37" t="s">
        <v>2811</v>
      </c>
      <c r="D958" s="37" t="s">
        <v>2775</v>
      </c>
      <c r="E958" s="37" t="s">
        <v>2776</v>
      </c>
      <c r="F958" s="37" t="s">
        <v>2777</v>
      </c>
      <c r="G958" s="37" t="s">
        <v>2777</v>
      </c>
      <c r="H958" s="37" t="s">
        <v>2777</v>
      </c>
      <c r="I958" s="37" t="s">
        <v>102</v>
      </c>
      <c r="J958" s="37" t="s">
        <v>102</v>
      </c>
      <c r="K958" s="37" t="s">
        <v>102</v>
      </c>
      <c r="L958" s="36">
        <v>3</v>
      </c>
      <c r="M958" s="36">
        <v>3</v>
      </c>
      <c r="N958" s="36">
        <v>3</v>
      </c>
      <c r="O958" s="36">
        <v>4</v>
      </c>
      <c r="P958" s="37" t="s">
        <v>265</v>
      </c>
      <c r="Q958" s="37"/>
      <c r="R958" s="37" t="s">
        <v>2812</v>
      </c>
    </row>
    <row r="959" spans="1:18" ht="27.7" thickBot="1" x14ac:dyDescent="0.55000000000000004">
      <c r="A959" s="36">
        <v>1137</v>
      </c>
      <c r="B959" s="37" t="s">
        <v>2813</v>
      </c>
      <c r="C959" s="37" t="s">
        <v>2814</v>
      </c>
      <c r="D959" s="37" t="s">
        <v>2815</v>
      </c>
      <c r="E959" s="37" t="s">
        <v>2776</v>
      </c>
      <c r="F959" s="37" t="s">
        <v>2816</v>
      </c>
      <c r="G959" s="37" t="s">
        <v>2816</v>
      </c>
      <c r="H959" s="37" t="s">
        <v>2816</v>
      </c>
      <c r="I959" s="37" t="s">
        <v>88</v>
      </c>
      <c r="J959" s="37" t="s">
        <v>88</v>
      </c>
      <c r="K959" s="37" t="s">
        <v>88</v>
      </c>
      <c r="L959" s="36">
        <v>5</v>
      </c>
      <c r="M959" s="36">
        <v>5</v>
      </c>
      <c r="N959" s="36">
        <v>5</v>
      </c>
      <c r="O959" s="36">
        <v>5</v>
      </c>
      <c r="P959" s="37" t="s">
        <v>292</v>
      </c>
      <c r="Q959" s="37"/>
      <c r="R959" s="37" t="s">
        <v>2817</v>
      </c>
    </row>
    <row r="960" spans="1:18" ht="27.7" thickBot="1" x14ac:dyDescent="0.55000000000000004">
      <c r="A960" s="36">
        <v>1138</v>
      </c>
      <c r="B960" s="37" t="s">
        <v>2818</v>
      </c>
      <c r="C960" s="37" t="s">
        <v>2818</v>
      </c>
      <c r="D960" s="37" t="s">
        <v>2815</v>
      </c>
      <c r="E960" s="37" t="s">
        <v>2776</v>
      </c>
      <c r="F960" s="37" t="s">
        <v>2816</v>
      </c>
      <c r="G960" s="37" t="s">
        <v>2816</v>
      </c>
      <c r="H960" s="37" t="s">
        <v>2816</v>
      </c>
      <c r="I960" s="37" t="s">
        <v>90</v>
      </c>
      <c r="J960" s="37" t="s">
        <v>88</v>
      </c>
      <c r="K960" s="37" t="s">
        <v>88</v>
      </c>
      <c r="L960" s="36">
        <v>3</v>
      </c>
      <c r="M960" s="36">
        <v>3</v>
      </c>
      <c r="N960" s="36">
        <v>3</v>
      </c>
      <c r="O960" s="36">
        <v>5</v>
      </c>
      <c r="P960" s="37" t="s">
        <v>292</v>
      </c>
      <c r="Q960" s="37"/>
      <c r="R960" s="37" t="s">
        <v>2819</v>
      </c>
    </row>
    <row r="961" spans="1:18" ht="27.7" hidden="1" thickBot="1" x14ac:dyDescent="0.55000000000000004">
      <c r="A961" s="36">
        <v>1139</v>
      </c>
      <c r="B961" s="37" t="s">
        <v>2641</v>
      </c>
      <c r="C961" s="37" t="s">
        <v>2641</v>
      </c>
      <c r="D961" s="37" t="s">
        <v>1063</v>
      </c>
      <c r="E961" s="37" t="s">
        <v>1064</v>
      </c>
      <c r="F961" s="37" t="s">
        <v>2002</v>
      </c>
      <c r="G961" s="37" t="s">
        <v>2002</v>
      </c>
      <c r="H961" s="37" t="s">
        <v>2002</v>
      </c>
      <c r="I961" s="37" t="s">
        <v>1964</v>
      </c>
      <c r="J961" s="37" t="s">
        <v>88</v>
      </c>
      <c r="K961" s="37" t="s">
        <v>88</v>
      </c>
      <c r="L961" s="36">
        <v>2</v>
      </c>
      <c r="M961" s="36">
        <v>2</v>
      </c>
      <c r="N961" s="36">
        <v>2</v>
      </c>
      <c r="O961" s="36">
        <v>4</v>
      </c>
      <c r="P961" s="37" t="s">
        <v>265</v>
      </c>
      <c r="Q961" s="37"/>
      <c r="R961" s="37" t="s">
        <v>2820</v>
      </c>
    </row>
    <row r="962" spans="1:18" ht="27.7" thickBot="1" x14ac:dyDescent="0.55000000000000004">
      <c r="A962" s="36">
        <v>1140</v>
      </c>
      <c r="B962" s="37" t="s">
        <v>2821</v>
      </c>
      <c r="C962" s="37" t="s">
        <v>2822</v>
      </c>
      <c r="D962" s="37" t="s">
        <v>2748</v>
      </c>
      <c r="E962" s="37" t="s">
        <v>2730</v>
      </c>
      <c r="F962" s="37" t="s">
        <v>2749</v>
      </c>
      <c r="G962" s="37" t="s">
        <v>2749</v>
      </c>
      <c r="H962" s="37" t="s">
        <v>2749</v>
      </c>
      <c r="I962" s="37" t="s">
        <v>90</v>
      </c>
      <c r="J962" s="37" t="s">
        <v>90</v>
      </c>
      <c r="K962" s="37" t="s">
        <v>90</v>
      </c>
      <c r="L962" s="36">
        <v>3</v>
      </c>
      <c r="M962" s="36">
        <v>3</v>
      </c>
      <c r="N962" s="36">
        <v>3</v>
      </c>
      <c r="O962" s="36">
        <v>4</v>
      </c>
      <c r="P962" s="37" t="s">
        <v>292</v>
      </c>
      <c r="Q962" s="37"/>
      <c r="R962" s="37" t="s">
        <v>2823</v>
      </c>
    </row>
    <row r="963" spans="1:18" ht="27.7" thickBot="1" x14ac:dyDescent="0.55000000000000004">
      <c r="A963" s="36">
        <v>1141</v>
      </c>
      <c r="B963" s="37" t="s">
        <v>2824</v>
      </c>
      <c r="C963" s="37" t="s">
        <v>2825</v>
      </c>
      <c r="D963" s="37" t="s">
        <v>2826</v>
      </c>
      <c r="E963" s="37" t="s">
        <v>2776</v>
      </c>
      <c r="F963" s="37" t="s">
        <v>2827</v>
      </c>
      <c r="G963" s="37" t="s">
        <v>2827</v>
      </c>
      <c r="H963" s="37" t="s">
        <v>2827</v>
      </c>
      <c r="I963" s="37" t="s">
        <v>92</v>
      </c>
      <c r="J963" s="37" t="s">
        <v>92</v>
      </c>
      <c r="K963" s="37" t="s">
        <v>92</v>
      </c>
      <c r="L963" s="36">
        <v>5</v>
      </c>
      <c r="M963" s="36">
        <v>5</v>
      </c>
      <c r="N963" s="36">
        <v>5</v>
      </c>
      <c r="O963" s="36">
        <v>5</v>
      </c>
      <c r="P963" s="37" t="s">
        <v>292</v>
      </c>
      <c r="Q963" s="37"/>
      <c r="R963" s="37" t="s">
        <v>2828</v>
      </c>
    </row>
    <row r="964" spans="1:18" ht="27.7" thickBot="1" x14ac:dyDescent="0.55000000000000004">
      <c r="A964" s="36">
        <v>1142</v>
      </c>
      <c r="B964" s="37" t="s">
        <v>2829</v>
      </c>
      <c r="C964" s="37" t="s">
        <v>2830</v>
      </c>
      <c r="D964" s="37" t="s">
        <v>2768</v>
      </c>
      <c r="E964" s="37" t="s">
        <v>2730</v>
      </c>
      <c r="F964" s="37" t="s">
        <v>2771</v>
      </c>
      <c r="G964" s="37" t="s">
        <v>2771</v>
      </c>
      <c r="H964" s="37" t="s">
        <v>2771</v>
      </c>
      <c r="I964" s="37" t="s">
        <v>102</v>
      </c>
      <c r="J964" s="37" t="s">
        <v>102</v>
      </c>
      <c r="K964" s="37" t="s">
        <v>102</v>
      </c>
      <c r="L964" s="36">
        <v>3</v>
      </c>
      <c r="M964" s="36">
        <v>3</v>
      </c>
      <c r="N964" s="36">
        <v>3</v>
      </c>
      <c r="O964" s="36">
        <v>5</v>
      </c>
      <c r="P964" s="37" t="s">
        <v>292</v>
      </c>
      <c r="Q964" s="37"/>
      <c r="R964" s="37" t="s">
        <v>2831</v>
      </c>
    </row>
    <row r="965" spans="1:18" ht="27.7" thickBot="1" x14ac:dyDescent="0.55000000000000004">
      <c r="A965" s="36">
        <v>1143</v>
      </c>
      <c r="B965" s="37" t="s">
        <v>2832</v>
      </c>
      <c r="C965" s="37" t="s">
        <v>2832</v>
      </c>
      <c r="D965" s="37" t="s">
        <v>2748</v>
      </c>
      <c r="E965" s="37" t="s">
        <v>2730</v>
      </c>
      <c r="F965" s="37" t="s">
        <v>2749</v>
      </c>
      <c r="G965" s="37" t="s">
        <v>2749</v>
      </c>
      <c r="H965" s="37" t="s">
        <v>2749</v>
      </c>
      <c r="I965" s="37" t="s">
        <v>102</v>
      </c>
      <c r="J965" s="37" t="s">
        <v>102</v>
      </c>
      <c r="K965" s="37" t="s">
        <v>90</v>
      </c>
      <c r="L965" s="36">
        <v>4</v>
      </c>
      <c r="M965" s="36">
        <v>4</v>
      </c>
      <c r="N965" s="36">
        <v>4</v>
      </c>
      <c r="O965" s="36">
        <v>4</v>
      </c>
      <c r="P965" s="37" t="s">
        <v>292</v>
      </c>
      <c r="Q965" s="37"/>
      <c r="R965" s="37" t="s">
        <v>2833</v>
      </c>
    </row>
    <row r="966" spans="1:18" ht="27.7" thickBot="1" x14ac:dyDescent="0.55000000000000004">
      <c r="A966" s="36">
        <v>1144</v>
      </c>
      <c r="B966" s="37" t="s">
        <v>2834</v>
      </c>
      <c r="C966" s="37" t="s">
        <v>2835</v>
      </c>
      <c r="D966" s="37" t="s">
        <v>2836</v>
      </c>
      <c r="E966" s="37" t="s">
        <v>2730</v>
      </c>
      <c r="F966" s="37" t="s">
        <v>2761</v>
      </c>
      <c r="G966" s="37" t="s">
        <v>2761</v>
      </c>
      <c r="H966" s="37" t="s">
        <v>2761</v>
      </c>
      <c r="I966" s="37" t="s">
        <v>90</v>
      </c>
      <c r="J966" s="37" t="s">
        <v>90</v>
      </c>
      <c r="K966" s="37" t="s">
        <v>90</v>
      </c>
      <c r="L966" s="36">
        <v>2</v>
      </c>
      <c r="M966" s="36">
        <v>2</v>
      </c>
      <c r="N966" s="36">
        <v>2</v>
      </c>
      <c r="O966" s="36">
        <v>3</v>
      </c>
      <c r="P966" s="37" t="s">
        <v>292</v>
      </c>
      <c r="Q966" s="37"/>
      <c r="R966" s="37" t="s">
        <v>2837</v>
      </c>
    </row>
    <row r="967" spans="1:18" ht="27.7" thickBot="1" x14ac:dyDescent="0.55000000000000004">
      <c r="A967" s="36">
        <v>1145</v>
      </c>
      <c r="B967" s="37" t="s">
        <v>2830</v>
      </c>
      <c r="C967" s="37" t="s">
        <v>2830</v>
      </c>
      <c r="D967" s="37" t="s">
        <v>2768</v>
      </c>
      <c r="E967" s="37" t="s">
        <v>2730</v>
      </c>
      <c r="F967" s="37" t="s">
        <v>2771</v>
      </c>
      <c r="G967" s="37" t="s">
        <v>2771</v>
      </c>
      <c r="H967" s="37" t="s">
        <v>2771</v>
      </c>
      <c r="I967" s="37" t="s">
        <v>102</v>
      </c>
      <c r="J967" s="37" t="s">
        <v>102</v>
      </c>
      <c r="K967" s="37" t="s">
        <v>102</v>
      </c>
      <c r="L967" s="36">
        <v>4</v>
      </c>
      <c r="M967" s="36">
        <v>4</v>
      </c>
      <c r="N967" s="36">
        <v>4</v>
      </c>
      <c r="O967" s="36">
        <v>5</v>
      </c>
      <c r="P967" s="37" t="s">
        <v>292</v>
      </c>
      <c r="Q967" s="37"/>
      <c r="R967" s="37" t="s">
        <v>2838</v>
      </c>
    </row>
    <row r="968" spans="1:18" ht="27.7" thickBot="1" x14ac:dyDescent="0.55000000000000004">
      <c r="A968" s="36">
        <v>1146</v>
      </c>
      <c r="B968" s="37" t="s">
        <v>2839</v>
      </c>
      <c r="C968" s="37" t="s">
        <v>2840</v>
      </c>
      <c r="D968" s="37" t="s">
        <v>2768</v>
      </c>
      <c r="E968" s="37" t="s">
        <v>2730</v>
      </c>
      <c r="F968" s="37" t="s">
        <v>2771</v>
      </c>
      <c r="G968" s="37" t="s">
        <v>2771</v>
      </c>
      <c r="H968" s="37" t="s">
        <v>2771</v>
      </c>
      <c r="I968" s="37" t="s">
        <v>102</v>
      </c>
      <c r="J968" s="37" t="s">
        <v>102</v>
      </c>
      <c r="K968" s="37" t="s">
        <v>102</v>
      </c>
      <c r="L968" s="36">
        <v>2</v>
      </c>
      <c r="M968" s="36">
        <v>2</v>
      </c>
      <c r="N968" s="36">
        <v>2</v>
      </c>
      <c r="O968" s="36">
        <v>5</v>
      </c>
      <c r="P968" s="37" t="s">
        <v>292</v>
      </c>
      <c r="Q968" s="37"/>
      <c r="R968" s="37" t="s">
        <v>2841</v>
      </c>
    </row>
    <row r="969" spans="1:18" ht="27.7" thickBot="1" x14ac:dyDescent="0.55000000000000004">
      <c r="A969" s="36">
        <v>1147</v>
      </c>
      <c r="B969" s="37" t="s">
        <v>2842</v>
      </c>
      <c r="C969" s="37" t="s">
        <v>2843</v>
      </c>
      <c r="D969" s="37" t="s">
        <v>2844</v>
      </c>
      <c r="E969" s="37" t="s">
        <v>2776</v>
      </c>
      <c r="F969" s="37" t="s">
        <v>2827</v>
      </c>
      <c r="G969" s="37" t="s">
        <v>2827</v>
      </c>
      <c r="H969" s="37" t="s">
        <v>2827</v>
      </c>
      <c r="I969" s="37" t="s">
        <v>102</v>
      </c>
      <c r="J969" s="37" t="s">
        <v>102</v>
      </c>
      <c r="K969" s="37" t="s">
        <v>102</v>
      </c>
      <c r="L969" s="36">
        <v>3</v>
      </c>
      <c r="M969" s="36">
        <v>3</v>
      </c>
      <c r="N969" s="36">
        <v>3</v>
      </c>
      <c r="O969" s="36">
        <v>5</v>
      </c>
      <c r="P969" s="37" t="s">
        <v>292</v>
      </c>
      <c r="Q969" s="37"/>
      <c r="R969" s="37" t="s">
        <v>2845</v>
      </c>
    </row>
    <row r="970" spans="1:18" ht="27.7" thickBot="1" x14ac:dyDescent="0.55000000000000004">
      <c r="A970" s="36">
        <v>1148</v>
      </c>
      <c r="B970" s="37" t="s">
        <v>2846</v>
      </c>
      <c r="C970" s="37" t="s">
        <v>2847</v>
      </c>
      <c r="D970" s="37" t="s">
        <v>2844</v>
      </c>
      <c r="E970" s="37" t="s">
        <v>2776</v>
      </c>
      <c r="F970" s="37" t="s">
        <v>2793</v>
      </c>
      <c r="G970" s="37" t="s">
        <v>2793</v>
      </c>
      <c r="H970" s="37" t="s">
        <v>2793</v>
      </c>
      <c r="I970" s="37" t="s">
        <v>102</v>
      </c>
      <c r="J970" s="37" t="s">
        <v>102</v>
      </c>
      <c r="K970" s="37" t="s">
        <v>102</v>
      </c>
      <c r="L970" s="36">
        <v>3</v>
      </c>
      <c r="M970" s="36">
        <v>3</v>
      </c>
      <c r="N970" s="36">
        <v>3</v>
      </c>
      <c r="O970" s="36">
        <v>4</v>
      </c>
      <c r="P970" s="37" t="s">
        <v>292</v>
      </c>
      <c r="Q970" s="37"/>
      <c r="R970" s="37" t="s">
        <v>2848</v>
      </c>
    </row>
    <row r="971" spans="1:18" ht="27.7" thickBot="1" x14ac:dyDescent="0.55000000000000004">
      <c r="A971" s="36">
        <v>1149</v>
      </c>
      <c r="B971" s="37" t="s">
        <v>2849</v>
      </c>
      <c r="C971" s="37" t="s">
        <v>2847</v>
      </c>
      <c r="D971" s="37" t="s">
        <v>2844</v>
      </c>
      <c r="E971" s="37" t="s">
        <v>2776</v>
      </c>
      <c r="F971" s="37" t="s">
        <v>2827</v>
      </c>
      <c r="G971" s="37" t="s">
        <v>2827</v>
      </c>
      <c r="H971" s="37" t="s">
        <v>2827</v>
      </c>
      <c r="I971" s="37" t="s">
        <v>102</v>
      </c>
      <c r="J971" s="37" t="s">
        <v>102</v>
      </c>
      <c r="K971" s="37" t="s">
        <v>102</v>
      </c>
      <c r="L971" s="36">
        <v>3</v>
      </c>
      <c r="M971" s="36">
        <v>3</v>
      </c>
      <c r="N971" s="36">
        <v>3</v>
      </c>
      <c r="O971" s="36">
        <v>5</v>
      </c>
      <c r="P971" s="37" t="s">
        <v>292</v>
      </c>
      <c r="Q971" s="37"/>
      <c r="R971" s="37" t="s">
        <v>2850</v>
      </c>
    </row>
    <row r="972" spans="1:18" ht="27.7" thickBot="1" x14ac:dyDescent="0.55000000000000004">
      <c r="A972" s="36">
        <v>1150</v>
      </c>
      <c r="B972" s="37" t="s">
        <v>2851</v>
      </c>
      <c r="C972" s="37" t="s">
        <v>2852</v>
      </c>
      <c r="D972" s="37" t="s">
        <v>2844</v>
      </c>
      <c r="E972" s="37" t="s">
        <v>2776</v>
      </c>
      <c r="F972" s="37" t="s">
        <v>2827</v>
      </c>
      <c r="G972" s="37" t="s">
        <v>2827</v>
      </c>
      <c r="H972" s="37" t="s">
        <v>2827</v>
      </c>
      <c r="I972" s="37" t="s">
        <v>102</v>
      </c>
      <c r="J972" s="37" t="s">
        <v>102</v>
      </c>
      <c r="K972" s="37" t="s">
        <v>90</v>
      </c>
      <c r="L972" s="36">
        <v>3</v>
      </c>
      <c r="M972" s="36">
        <v>3</v>
      </c>
      <c r="N972" s="36">
        <v>3</v>
      </c>
      <c r="O972" s="36">
        <v>4</v>
      </c>
      <c r="P972" s="37" t="s">
        <v>292</v>
      </c>
      <c r="Q972" s="37"/>
      <c r="R972" s="37" t="s">
        <v>2853</v>
      </c>
    </row>
    <row r="973" spans="1:18" ht="27.7" thickBot="1" x14ac:dyDescent="0.55000000000000004">
      <c r="A973" s="36">
        <v>1151</v>
      </c>
      <c r="B973" s="37" t="s">
        <v>2854</v>
      </c>
      <c r="C973" s="37" t="s">
        <v>2855</v>
      </c>
      <c r="D973" s="37" t="s">
        <v>2797</v>
      </c>
      <c r="E973" s="37" t="s">
        <v>2784</v>
      </c>
      <c r="F973" s="37" t="s">
        <v>2798</v>
      </c>
      <c r="G973" s="37" t="s">
        <v>2798</v>
      </c>
      <c r="H973" s="37" t="s">
        <v>2798</v>
      </c>
      <c r="I973" s="37" t="s">
        <v>92</v>
      </c>
      <c r="J973" s="37" t="s">
        <v>92</v>
      </c>
      <c r="K973" s="37" t="s">
        <v>92</v>
      </c>
      <c r="L973" s="36">
        <v>6</v>
      </c>
      <c r="M973" s="36">
        <v>6</v>
      </c>
      <c r="N973" s="36">
        <v>6</v>
      </c>
      <c r="O973" s="36">
        <v>7</v>
      </c>
      <c r="P973" s="37" t="s">
        <v>292</v>
      </c>
      <c r="Q973" s="37"/>
      <c r="R973" s="37" t="s">
        <v>2856</v>
      </c>
    </row>
    <row r="974" spans="1:18" ht="27.7" thickBot="1" x14ac:dyDescent="0.55000000000000004">
      <c r="A974" s="36">
        <v>1152</v>
      </c>
      <c r="B974" s="37" t="s">
        <v>2857</v>
      </c>
      <c r="C974" s="37" t="s">
        <v>2858</v>
      </c>
      <c r="D974" s="37" t="s">
        <v>1717</v>
      </c>
      <c r="E974" s="37" t="s">
        <v>2784</v>
      </c>
      <c r="F974" s="37" t="s">
        <v>2798</v>
      </c>
      <c r="G974" s="37" t="s">
        <v>2798</v>
      </c>
      <c r="H974" s="37" t="s">
        <v>2798</v>
      </c>
      <c r="I974" s="37" t="s">
        <v>92</v>
      </c>
      <c r="J974" s="37" t="s">
        <v>92</v>
      </c>
      <c r="K974" s="37" t="s">
        <v>92</v>
      </c>
      <c r="L974" s="36">
        <v>3</v>
      </c>
      <c r="M974" s="36">
        <v>3</v>
      </c>
      <c r="N974" s="36">
        <v>3</v>
      </c>
      <c r="O974" s="36">
        <v>5</v>
      </c>
      <c r="P974" s="37" t="s">
        <v>292</v>
      </c>
      <c r="Q974" s="37"/>
      <c r="R974" s="37" t="s">
        <v>2859</v>
      </c>
    </row>
    <row r="975" spans="1:18" ht="27.7" thickBot="1" x14ac:dyDescent="0.55000000000000004">
      <c r="A975" s="36">
        <v>1153</v>
      </c>
      <c r="B975" s="37" t="s">
        <v>2860</v>
      </c>
      <c r="C975" s="37" t="s">
        <v>2855</v>
      </c>
      <c r="D975" s="37" t="s">
        <v>2797</v>
      </c>
      <c r="E975" s="37" t="s">
        <v>2784</v>
      </c>
      <c r="F975" s="37" t="s">
        <v>2798</v>
      </c>
      <c r="G975" s="37" t="s">
        <v>2798</v>
      </c>
      <c r="H975" s="37" t="s">
        <v>2798</v>
      </c>
      <c r="I975" s="37" t="s">
        <v>92</v>
      </c>
      <c r="J975" s="37" t="s">
        <v>92</v>
      </c>
      <c r="K975" s="37" t="s">
        <v>92</v>
      </c>
      <c r="L975" s="36">
        <v>4</v>
      </c>
      <c r="M975" s="36">
        <v>4</v>
      </c>
      <c r="N975" s="36">
        <v>4</v>
      </c>
      <c r="O975" s="36">
        <v>5</v>
      </c>
      <c r="P975" s="37" t="s">
        <v>292</v>
      </c>
      <c r="Q975" s="37"/>
      <c r="R975" s="37" t="s">
        <v>2861</v>
      </c>
    </row>
    <row r="976" spans="1:18" ht="27.7" thickBot="1" x14ac:dyDescent="0.55000000000000004">
      <c r="A976" s="36">
        <v>1154</v>
      </c>
      <c r="B976" s="37" t="s">
        <v>2858</v>
      </c>
      <c r="C976" s="37" t="s">
        <v>2858</v>
      </c>
      <c r="D976" s="37" t="s">
        <v>1717</v>
      </c>
      <c r="E976" s="37" t="s">
        <v>2784</v>
      </c>
      <c r="F976" s="37" t="s">
        <v>2798</v>
      </c>
      <c r="G976" s="37" t="s">
        <v>2798</v>
      </c>
      <c r="H976" s="37" t="s">
        <v>2798</v>
      </c>
      <c r="I976" s="37" t="s">
        <v>92</v>
      </c>
      <c r="J976" s="37" t="s">
        <v>92</v>
      </c>
      <c r="K976" s="37" t="s">
        <v>92</v>
      </c>
      <c r="L976" s="36">
        <v>5</v>
      </c>
      <c r="M976" s="36">
        <v>5</v>
      </c>
      <c r="N976" s="36">
        <v>5</v>
      </c>
      <c r="O976" s="36">
        <v>6</v>
      </c>
      <c r="P976" s="37" t="s">
        <v>292</v>
      </c>
      <c r="Q976" s="37"/>
      <c r="R976" s="37" t="s">
        <v>2862</v>
      </c>
    </row>
    <row r="977" spans="1:18" ht="27.7" thickBot="1" x14ac:dyDescent="0.55000000000000004">
      <c r="A977" s="36">
        <v>1155</v>
      </c>
      <c r="B977" s="37" t="s">
        <v>2863</v>
      </c>
      <c r="C977" s="37" t="s">
        <v>2864</v>
      </c>
      <c r="D977" s="37" t="s">
        <v>2783</v>
      </c>
      <c r="E977" s="37" t="s">
        <v>2784</v>
      </c>
      <c r="F977" s="37" t="s">
        <v>2788</v>
      </c>
      <c r="G977" s="37" t="s">
        <v>2788</v>
      </c>
      <c r="H977" s="37" t="s">
        <v>2788</v>
      </c>
      <c r="I977" s="37" t="s">
        <v>90</v>
      </c>
      <c r="J977" s="37" t="s">
        <v>90</v>
      </c>
      <c r="K977" s="37" t="s">
        <v>90</v>
      </c>
      <c r="L977" s="36">
        <v>4</v>
      </c>
      <c r="M977" s="36">
        <v>4</v>
      </c>
      <c r="N977" s="36">
        <v>4</v>
      </c>
      <c r="O977" s="36">
        <v>4</v>
      </c>
      <c r="P977" s="37" t="s">
        <v>292</v>
      </c>
      <c r="Q977" s="37"/>
      <c r="R977" s="37" t="s">
        <v>2865</v>
      </c>
    </row>
    <row r="978" spans="1:18" ht="41.35" thickBot="1" x14ac:dyDescent="0.55000000000000004">
      <c r="A978" s="36">
        <v>1156</v>
      </c>
      <c r="B978" s="37" t="s">
        <v>2866</v>
      </c>
      <c r="C978" s="37" t="s">
        <v>2787</v>
      </c>
      <c r="D978" s="37" t="s">
        <v>2783</v>
      </c>
      <c r="E978" s="37" t="s">
        <v>2784</v>
      </c>
      <c r="F978" s="37" t="s">
        <v>2788</v>
      </c>
      <c r="G978" s="37" t="s">
        <v>2788</v>
      </c>
      <c r="H978" s="37" t="s">
        <v>2788</v>
      </c>
      <c r="I978" s="37" t="s">
        <v>92</v>
      </c>
      <c r="J978" s="37" t="s">
        <v>92</v>
      </c>
      <c r="K978" s="37" t="s">
        <v>92</v>
      </c>
      <c r="L978" s="36">
        <v>3</v>
      </c>
      <c r="M978" s="36">
        <v>3</v>
      </c>
      <c r="N978" s="36">
        <v>3</v>
      </c>
      <c r="O978" s="36">
        <v>5</v>
      </c>
      <c r="P978" s="37" t="s">
        <v>292</v>
      </c>
      <c r="Q978" s="37"/>
      <c r="R978" s="37" t="s">
        <v>2867</v>
      </c>
    </row>
    <row r="979" spans="1:18" ht="27.7" thickBot="1" x14ac:dyDescent="0.55000000000000004">
      <c r="A979" s="36">
        <v>1157</v>
      </c>
      <c r="B979" s="37" t="s">
        <v>2868</v>
      </c>
      <c r="C979" s="37" t="s">
        <v>2869</v>
      </c>
      <c r="D979" s="37" t="s">
        <v>2836</v>
      </c>
      <c r="E979" s="37" t="s">
        <v>2730</v>
      </c>
      <c r="F979" s="37" t="s">
        <v>2761</v>
      </c>
      <c r="G979" s="37" t="s">
        <v>2761</v>
      </c>
      <c r="H979" s="37" t="s">
        <v>2761</v>
      </c>
      <c r="I979" s="37" t="s">
        <v>90</v>
      </c>
      <c r="J979" s="37" t="s">
        <v>90</v>
      </c>
      <c r="K979" s="37" t="s">
        <v>90</v>
      </c>
      <c r="L979" s="36">
        <v>2</v>
      </c>
      <c r="M979" s="36">
        <v>2</v>
      </c>
      <c r="N979" s="36">
        <v>2</v>
      </c>
      <c r="O979" s="36">
        <v>4</v>
      </c>
      <c r="P979" s="37" t="s">
        <v>292</v>
      </c>
      <c r="Q979" s="37"/>
      <c r="R979" s="37" t="s">
        <v>2870</v>
      </c>
    </row>
    <row r="980" spans="1:18" ht="27.7" thickBot="1" x14ac:dyDescent="0.55000000000000004">
      <c r="A980" s="36">
        <v>1158</v>
      </c>
      <c r="B980" s="37" t="s">
        <v>2871</v>
      </c>
      <c r="C980" s="37" t="s">
        <v>2832</v>
      </c>
      <c r="D980" s="37" t="s">
        <v>2748</v>
      </c>
      <c r="E980" s="37" t="s">
        <v>2730</v>
      </c>
      <c r="F980" s="37" t="s">
        <v>2749</v>
      </c>
      <c r="G980" s="37" t="s">
        <v>2749</v>
      </c>
      <c r="H980" s="37" t="s">
        <v>2749</v>
      </c>
      <c r="I980" s="37" t="s">
        <v>90</v>
      </c>
      <c r="J980" s="37" t="s">
        <v>90</v>
      </c>
      <c r="K980" s="37" t="s">
        <v>90</v>
      </c>
      <c r="L980" s="36">
        <v>3</v>
      </c>
      <c r="M980" s="36">
        <v>3</v>
      </c>
      <c r="N980" s="36">
        <v>3</v>
      </c>
      <c r="O980" s="36">
        <v>4</v>
      </c>
      <c r="P980" s="37" t="s">
        <v>292</v>
      </c>
      <c r="Q980" s="37"/>
      <c r="R980" s="37" t="s">
        <v>2872</v>
      </c>
    </row>
    <row r="981" spans="1:18" ht="27.7" thickBot="1" x14ac:dyDescent="0.55000000000000004">
      <c r="A981" s="36">
        <v>1159</v>
      </c>
      <c r="B981" s="37" t="s">
        <v>2873</v>
      </c>
      <c r="C981" s="37" t="s">
        <v>2874</v>
      </c>
      <c r="D981" s="37" t="s">
        <v>2768</v>
      </c>
      <c r="E981" s="37" t="s">
        <v>2730</v>
      </c>
      <c r="F981" s="37" t="s">
        <v>2771</v>
      </c>
      <c r="G981" s="37" t="s">
        <v>2771</v>
      </c>
      <c r="H981" s="37" t="s">
        <v>2771</v>
      </c>
      <c r="I981" s="37" t="s">
        <v>102</v>
      </c>
      <c r="J981" s="37" t="s">
        <v>102</v>
      </c>
      <c r="K981" s="37" t="s">
        <v>90</v>
      </c>
      <c r="L981" s="36">
        <v>2</v>
      </c>
      <c r="M981" s="36">
        <v>2</v>
      </c>
      <c r="N981" s="36">
        <v>2</v>
      </c>
      <c r="O981" s="36">
        <v>4</v>
      </c>
      <c r="P981" s="37" t="s">
        <v>292</v>
      </c>
      <c r="Q981" s="37"/>
      <c r="R981" s="37" t="s">
        <v>2875</v>
      </c>
    </row>
    <row r="982" spans="1:18" ht="27.7" thickBot="1" x14ac:dyDescent="0.55000000000000004">
      <c r="A982" s="36">
        <v>1160</v>
      </c>
      <c r="B982" s="37" t="s">
        <v>2876</v>
      </c>
      <c r="C982" s="37" t="s">
        <v>2864</v>
      </c>
      <c r="D982" s="37" t="s">
        <v>2783</v>
      </c>
      <c r="E982" s="37" t="s">
        <v>2784</v>
      </c>
      <c r="F982" s="37" t="s">
        <v>2788</v>
      </c>
      <c r="G982" s="37" t="s">
        <v>2788</v>
      </c>
      <c r="H982" s="37" t="s">
        <v>2788</v>
      </c>
      <c r="I982" s="37" t="s">
        <v>90</v>
      </c>
      <c r="J982" s="37" t="s">
        <v>90</v>
      </c>
      <c r="K982" s="37" t="s">
        <v>90</v>
      </c>
      <c r="L982" s="36">
        <v>2</v>
      </c>
      <c r="M982" s="36">
        <v>2</v>
      </c>
      <c r="N982" s="36">
        <v>2</v>
      </c>
      <c r="O982" s="36">
        <v>4</v>
      </c>
      <c r="P982" s="37" t="s">
        <v>292</v>
      </c>
      <c r="Q982" s="37"/>
      <c r="R982" s="37" t="s">
        <v>2877</v>
      </c>
    </row>
    <row r="983" spans="1:18" ht="27.7" hidden="1" thickBot="1" x14ac:dyDescent="0.55000000000000004">
      <c r="A983" s="36">
        <v>1161</v>
      </c>
      <c r="B983" s="37" t="s">
        <v>2878</v>
      </c>
      <c r="C983" s="37" t="s">
        <v>2879</v>
      </c>
      <c r="D983" s="37" t="s">
        <v>2879</v>
      </c>
      <c r="E983" s="37" t="s">
        <v>2880</v>
      </c>
      <c r="F983" s="37" t="s">
        <v>2881</v>
      </c>
      <c r="G983" s="37" t="s">
        <v>2881</v>
      </c>
      <c r="H983" s="37" t="s">
        <v>2881</v>
      </c>
      <c r="I983" s="37" t="s">
        <v>92</v>
      </c>
      <c r="J983" s="37" t="s">
        <v>92</v>
      </c>
      <c r="K983" s="37" t="s">
        <v>92</v>
      </c>
      <c r="L983" s="36">
        <v>3</v>
      </c>
      <c r="M983" s="36">
        <v>3</v>
      </c>
      <c r="N983" s="36">
        <v>3</v>
      </c>
      <c r="O983" s="36">
        <v>6</v>
      </c>
      <c r="P983" s="37" t="s">
        <v>292</v>
      </c>
      <c r="Q983" s="37"/>
      <c r="R983" s="37" t="s">
        <v>2882</v>
      </c>
    </row>
    <row r="984" spans="1:18" ht="27.7" thickBot="1" x14ac:dyDescent="0.55000000000000004">
      <c r="A984" s="36">
        <v>1162</v>
      </c>
      <c r="B984" s="37" t="s">
        <v>2883</v>
      </c>
      <c r="C984" s="37" t="s">
        <v>2884</v>
      </c>
      <c r="D984" s="37" t="s">
        <v>1717</v>
      </c>
      <c r="E984" s="37" t="s">
        <v>2784</v>
      </c>
      <c r="F984" s="37" t="s">
        <v>2798</v>
      </c>
      <c r="G984" s="37" t="s">
        <v>2798</v>
      </c>
      <c r="H984" s="37" t="s">
        <v>2798</v>
      </c>
      <c r="I984" s="37" t="s">
        <v>92</v>
      </c>
      <c r="J984" s="37" t="s">
        <v>92</v>
      </c>
      <c r="K984" s="37" t="s">
        <v>92</v>
      </c>
      <c r="L984" s="36">
        <v>2</v>
      </c>
      <c r="M984" s="36">
        <v>2</v>
      </c>
      <c r="N984" s="36">
        <v>2</v>
      </c>
      <c r="O984" s="36">
        <v>5</v>
      </c>
      <c r="P984" s="37" t="s">
        <v>292</v>
      </c>
      <c r="Q984" s="37"/>
      <c r="R984" s="37" t="s">
        <v>2885</v>
      </c>
    </row>
    <row r="985" spans="1:18" ht="27.7" thickBot="1" x14ac:dyDescent="0.55000000000000004">
      <c r="A985" s="36">
        <v>1163</v>
      </c>
      <c r="B985" s="37" t="s">
        <v>2886</v>
      </c>
      <c r="C985" s="37" t="s">
        <v>2887</v>
      </c>
      <c r="D985" s="37" t="s">
        <v>1717</v>
      </c>
      <c r="E985" s="37" t="s">
        <v>2784</v>
      </c>
      <c r="F985" s="37" t="s">
        <v>2827</v>
      </c>
      <c r="G985" s="37" t="s">
        <v>2827</v>
      </c>
      <c r="H985" s="37" t="s">
        <v>2827</v>
      </c>
      <c r="I985" s="37" t="s">
        <v>92</v>
      </c>
      <c r="J985" s="37" t="s">
        <v>92</v>
      </c>
      <c r="K985" s="37" t="s">
        <v>92</v>
      </c>
      <c r="L985" s="36">
        <v>3</v>
      </c>
      <c r="M985" s="36">
        <v>3</v>
      </c>
      <c r="N985" s="36">
        <v>3</v>
      </c>
      <c r="O985" s="36">
        <v>5</v>
      </c>
      <c r="P985" s="37" t="s">
        <v>292</v>
      </c>
      <c r="Q985" s="37"/>
      <c r="R985" s="37" t="s">
        <v>2888</v>
      </c>
    </row>
    <row r="986" spans="1:18" ht="27.7" thickBot="1" x14ac:dyDescent="0.55000000000000004">
      <c r="A986" s="36">
        <v>1164</v>
      </c>
      <c r="B986" s="37" t="s">
        <v>2889</v>
      </c>
      <c r="C986" s="37" t="s">
        <v>2890</v>
      </c>
      <c r="D986" s="37" t="s">
        <v>2891</v>
      </c>
      <c r="E986" s="37" t="s">
        <v>2784</v>
      </c>
      <c r="F986" s="37" t="s">
        <v>2827</v>
      </c>
      <c r="G986" s="37" t="s">
        <v>2827</v>
      </c>
      <c r="H986" s="37" t="s">
        <v>2827</v>
      </c>
      <c r="I986" s="37" t="s">
        <v>102</v>
      </c>
      <c r="J986" s="37" t="s">
        <v>102</v>
      </c>
      <c r="K986" s="37" t="s">
        <v>90</v>
      </c>
      <c r="L986" s="36">
        <v>1</v>
      </c>
      <c r="M986" s="36">
        <v>1</v>
      </c>
      <c r="N986" s="36">
        <v>1</v>
      </c>
      <c r="O986" s="36">
        <v>2</v>
      </c>
      <c r="P986" s="37" t="s">
        <v>292</v>
      </c>
      <c r="Q986" s="37"/>
      <c r="R986" s="37" t="s">
        <v>2892</v>
      </c>
    </row>
    <row r="987" spans="1:18" ht="27.7" thickBot="1" x14ac:dyDescent="0.55000000000000004">
      <c r="A987" s="36">
        <v>1165</v>
      </c>
      <c r="B987" s="37" t="s">
        <v>2893</v>
      </c>
      <c r="C987" s="37" t="s">
        <v>2894</v>
      </c>
      <c r="D987" s="37" t="s">
        <v>2891</v>
      </c>
      <c r="E987" s="37" t="s">
        <v>2784</v>
      </c>
      <c r="F987" s="37" t="s">
        <v>2827</v>
      </c>
      <c r="G987" s="37" t="s">
        <v>2827</v>
      </c>
      <c r="H987" s="37" t="s">
        <v>2827</v>
      </c>
      <c r="I987" s="37" t="s">
        <v>92</v>
      </c>
      <c r="J987" s="37" t="s">
        <v>92</v>
      </c>
      <c r="K987" s="37" t="s">
        <v>92</v>
      </c>
      <c r="L987" s="36">
        <v>3</v>
      </c>
      <c r="M987" s="36">
        <v>3</v>
      </c>
      <c r="N987" s="36">
        <v>3</v>
      </c>
      <c r="O987" s="36">
        <v>3</v>
      </c>
      <c r="P987" s="37" t="s">
        <v>292</v>
      </c>
      <c r="Q987" s="37"/>
      <c r="R987" s="37" t="s">
        <v>2895</v>
      </c>
    </row>
    <row r="988" spans="1:18" ht="27.7" thickBot="1" x14ac:dyDescent="0.55000000000000004">
      <c r="A988" s="36">
        <v>1166</v>
      </c>
      <c r="B988" s="37" t="s">
        <v>2896</v>
      </c>
      <c r="C988" s="37" t="s">
        <v>2887</v>
      </c>
      <c r="D988" s="37" t="s">
        <v>1717</v>
      </c>
      <c r="E988" s="37" t="s">
        <v>2784</v>
      </c>
      <c r="F988" s="37" t="s">
        <v>2827</v>
      </c>
      <c r="G988" s="37" t="s">
        <v>2827</v>
      </c>
      <c r="H988" s="37" t="s">
        <v>2827</v>
      </c>
      <c r="I988" s="37" t="s">
        <v>92</v>
      </c>
      <c r="J988" s="37" t="s">
        <v>92</v>
      </c>
      <c r="K988" s="37" t="s">
        <v>92</v>
      </c>
      <c r="L988" s="36">
        <v>3</v>
      </c>
      <c r="M988" s="36">
        <v>3</v>
      </c>
      <c r="N988" s="36">
        <v>3</v>
      </c>
      <c r="O988" s="36">
        <v>6</v>
      </c>
      <c r="P988" s="37" t="s">
        <v>292</v>
      </c>
      <c r="Q988" s="37"/>
      <c r="R988" s="37" t="s">
        <v>2897</v>
      </c>
    </row>
    <row r="989" spans="1:18" ht="27.7" thickBot="1" x14ac:dyDescent="0.55000000000000004">
      <c r="A989" s="36">
        <v>1167</v>
      </c>
      <c r="B989" s="37" t="s">
        <v>2898</v>
      </c>
      <c r="C989" s="37" t="s">
        <v>2899</v>
      </c>
      <c r="D989" s="37" t="s">
        <v>2900</v>
      </c>
      <c r="E989" s="37" t="s">
        <v>2776</v>
      </c>
      <c r="F989" s="37" t="s">
        <v>2827</v>
      </c>
      <c r="G989" s="37" t="s">
        <v>2827</v>
      </c>
      <c r="H989" s="37" t="s">
        <v>2827</v>
      </c>
      <c r="I989" s="37" t="s">
        <v>92</v>
      </c>
      <c r="J989" s="37" t="s">
        <v>92</v>
      </c>
      <c r="K989" s="37" t="s">
        <v>92</v>
      </c>
      <c r="L989" s="36">
        <v>3</v>
      </c>
      <c r="M989" s="36">
        <v>3</v>
      </c>
      <c r="N989" s="36">
        <v>3</v>
      </c>
      <c r="O989" s="36">
        <v>5</v>
      </c>
      <c r="P989" s="37" t="s">
        <v>292</v>
      </c>
      <c r="Q989" s="37"/>
      <c r="R989" s="37" t="s">
        <v>2901</v>
      </c>
    </row>
    <row r="990" spans="1:18" ht="27.7" thickBot="1" x14ac:dyDescent="0.55000000000000004">
      <c r="A990" s="36">
        <v>1168</v>
      </c>
      <c r="B990" s="37" t="s">
        <v>2902</v>
      </c>
      <c r="C990" s="37" t="s">
        <v>2903</v>
      </c>
      <c r="D990" s="37" t="s">
        <v>2826</v>
      </c>
      <c r="E990" s="37" t="s">
        <v>2776</v>
      </c>
      <c r="F990" s="37" t="s">
        <v>2827</v>
      </c>
      <c r="G990" s="37" t="s">
        <v>2827</v>
      </c>
      <c r="H990" s="37" t="s">
        <v>2827</v>
      </c>
      <c r="I990" s="37" t="s">
        <v>92</v>
      </c>
      <c r="J990" s="37" t="s">
        <v>92</v>
      </c>
      <c r="K990" s="37" t="s">
        <v>92</v>
      </c>
      <c r="L990" s="36">
        <v>1</v>
      </c>
      <c r="M990" s="36">
        <v>1</v>
      </c>
      <c r="N990" s="36">
        <v>1</v>
      </c>
      <c r="O990" s="36">
        <v>3</v>
      </c>
      <c r="P990" s="37" t="s">
        <v>292</v>
      </c>
      <c r="Q990" s="37"/>
      <c r="R990" s="37" t="s">
        <v>2904</v>
      </c>
    </row>
    <row r="991" spans="1:18" ht="27.7" thickBot="1" x14ac:dyDescent="0.55000000000000004">
      <c r="A991" s="36">
        <v>1169</v>
      </c>
      <c r="B991" s="37" t="s">
        <v>2905</v>
      </c>
      <c r="C991" s="37" t="s">
        <v>2899</v>
      </c>
      <c r="D991" s="37" t="s">
        <v>2900</v>
      </c>
      <c r="E991" s="37" t="s">
        <v>2776</v>
      </c>
      <c r="F991" s="37" t="s">
        <v>2827</v>
      </c>
      <c r="G991" s="37" t="s">
        <v>2827</v>
      </c>
      <c r="H991" s="37" t="s">
        <v>2827</v>
      </c>
      <c r="I991" s="37" t="s">
        <v>102</v>
      </c>
      <c r="J991" s="37" t="s">
        <v>102</v>
      </c>
      <c r="K991" s="37" t="s">
        <v>92</v>
      </c>
      <c r="L991" s="36">
        <v>4</v>
      </c>
      <c r="M991" s="36">
        <v>4</v>
      </c>
      <c r="N991" s="36">
        <v>4</v>
      </c>
      <c r="O991" s="36">
        <v>5</v>
      </c>
      <c r="P991" s="37" t="s">
        <v>292</v>
      </c>
      <c r="Q991" s="37"/>
      <c r="R991" s="37" t="s">
        <v>2906</v>
      </c>
    </row>
    <row r="992" spans="1:18" ht="27.7" thickBot="1" x14ac:dyDescent="0.55000000000000004">
      <c r="A992" s="36">
        <v>1170</v>
      </c>
      <c r="B992" s="37" t="s">
        <v>2907</v>
      </c>
      <c r="C992" s="37" t="s">
        <v>2852</v>
      </c>
      <c r="D992" s="37" t="s">
        <v>2844</v>
      </c>
      <c r="E992" s="37" t="s">
        <v>2776</v>
      </c>
      <c r="F992" s="37" t="s">
        <v>2827</v>
      </c>
      <c r="G992" s="37" t="s">
        <v>2827</v>
      </c>
      <c r="H992" s="37" t="s">
        <v>2827</v>
      </c>
      <c r="I992" s="37" t="s">
        <v>102</v>
      </c>
      <c r="J992" s="37" t="s">
        <v>102</v>
      </c>
      <c r="K992" s="37" t="s">
        <v>90</v>
      </c>
      <c r="L992" s="36">
        <v>3</v>
      </c>
      <c r="M992" s="36">
        <v>3</v>
      </c>
      <c r="N992" s="36">
        <v>3</v>
      </c>
      <c r="O992" s="36">
        <v>5</v>
      </c>
      <c r="P992" s="37" t="s">
        <v>292</v>
      </c>
      <c r="Q992" s="37"/>
      <c r="R992" s="37" t="s">
        <v>2908</v>
      </c>
    </row>
    <row r="993" spans="1:18" ht="27.7" thickBot="1" x14ac:dyDescent="0.55000000000000004">
      <c r="A993" s="36">
        <v>1171</v>
      </c>
      <c r="B993" s="37" t="s">
        <v>2909</v>
      </c>
      <c r="C993" s="37" t="s">
        <v>2910</v>
      </c>
      <c r="D993" s="37" t="s">
        <v>2900</v>
      </c>
      <c r="E993" s="37" t="s">
        <v>2776</v>
      </c>
      <c r="F993" s="37" t="s">
        <v>2827</v>
      </c>
      <c r="G993" s="37" t="s">
        <v>2827</v>
      </c>
      <c r="H993" s="37" t="s">
        <v>2827</v>
      </c>
      <c r="I993" s="37" t="s">
        <v>92</v>
      </c>
      <c r="J993" s="37" t="s">
        <v>92</v>
      </c>
      <c r="K993" s="37" t="s">
        <v>92</v>
      </c>
      <c r="L993" s="36">
        <v>4</v>
      </c>
      <c r="M993" s="36">
        <v>4</v>
      </c>
      <c r="N993" s="36">
        <v>4</v>
      </c>
      <c r="O993" s="36">
        <v>5</v>
      </c>
      <c r="P993" s="37" t="s">
        <v>292</v>
      </c>
      <c r="Q993" s="37"/>
      <c r="R993" s="37" t="s">
        <v>2911</v>
      </c>
    </row>
    <row r="994" spans="1:18" ht="27.7" thickBot="1" x14ac:dyDescent="0.55000000000000004">
      <c r="A994" s="36">
        <v>1172</v>
      </c>
      <c r="B994" s="37" t="s">
        <v>2912</v>
      </c>
      <c r="C994" s="37" t="s">
        <v>2913</v>
      </c>
      <c r="D994" s="37" t="s">
        <v>2792</v>
      </c>
      <c r="E994" s="37" t="s">
        <v>2776</v>
      </c>
      <c r="F994" s="37" t="s">
        <v>2827</v>
      </c>
      <c r="G994" s="37" t="s">
        <v>2827</v>
      </c>
      <c r="H994" s="37" t="s">
        <v>2827</v>
      </c>
      <c r="I994" s="37" t="s">
        <v>102</v>
      </c>
      <c r="J994" s="37" t="s">
        <v>102</v>
      </c>
      <c r="K994" s="37" t="s">
        <v>102</v>
      </c>
      <c r="L994" s="36">
        <v>3</v>
      </c>
      <c r="M994" s="36">
        <v>3</v>
      </c>
      <c r="N994" s="36">
        <v>3</v>
      </c>
      <c r="O994" s="36">
        <v>5</v>
      </c>
      <c r="P994" s="37" t="s">
        <v>292</v>
      </c>
      <c r="Q994" s="37"/>
      <c r="R994" s="37" t="s">
        <v>2914</v>
      </c>
    </row>
    <row r="995" spans="1:18" ht="27.7" thickBot="1" x14ac:dyDescent="0.55000000000000004">
      <c r="A995" s="36">
        <v>1173</v>
      </c>
      <c r="B995" s="37" t="s">
        <v>2915</v>
      </c>
      <c r="C995" s="37" t="s">
        <v>2903</v>
      </c>
      <c r="D995" s="37" t="s">
        <v>2826</v>
      </c>
      <c r="E995" s="37" t="s">
        <v>2776</v>
      </c>
      <c r="F995" s="37" t="s">
        <v>2827</v>
      </c>
      <c r="G995" s="37" t="s">
        <v>2827</v>
      </c>
      <c r="H995" s="37" t="s">
        <v>2827</v>
      </c>
      <c r="I995" s="37" t="s">
        <v>92</v>
      </c>
      <c r="J995" s="37" t="s">
        <v>92</v>
      </c>
      <c r="K995" s="37" t="s">
        <v>92</v>
      </c>
      <c r="L995" s="36">
        <v>4</v>
      </c>
      <c r="M995" s="36">
        <v>4</v>
      </c>
      <c r="N995" s="36">
        <v>4</v>
      </c>
      <c r="O995" s="36">
        <v>5</v>
      </c>
      <c r="P995" s="37" t="s">
        <v>292</v>
      </c>
      <c r="Q995" s="37"/>
      <c r="R995" s="37" t="s">
        <v>2916</v>
      </c>
    </row>
    <row r="996" spans="1:18" ht="27.7" thickBot="1" x14ac:dyDescent="0.55000000000000004">
      <c r="A996" s="36">
        <v>1174</v>
      </c>
      <c r="B996" s="37" t="s">
        <v>2917</v>
      </c>
      <c r="C996" s="37" t="s">
        <v>2791</v>
      </c>
      <c r="D996" s="37" t="s">
        <v>2792</v>
      </c>
      <c r="E996" s="37" t="s">
        <v>2776</v>
      </c>
      <c r="F996" s="37" t="s">
        <v>2793</v>
      </c>
      <c r="G996" s="37" t="s">
        <v>2793</v>
      </c>
      <c r="H996" s="37" t="s">
        <v>2793</v>
      </c>
      <c r="I996" s="37" t="s">
        <v>102</v>
      </c>
      <c r="J996" s="37" t="s">
        <v>102</v>
      </c>
      <c r="K996" s="37" t="s">
        <v>102</v>
      </c>
      <c r="L996" s="36">
        <v>4</v>
      </c>
      <c r="M996" s="36">
        <v>4</v>
      </c>
      <c r="N996" s="36">
        <v>4</v>
      </c>
      <c r="O996" s="36">
        <v>5</v>
      </c>
      <c r="P996" s="37" t="s">
        <v>292</v>
      </c>
      <c r="Q996" s="37"/>
      <c r="R996" s="37" t="s">
        <v>2918</v>
      </c>
    </row>
    <row r="997" spans="1:18" ht="14.7" thickBot="1" x14ac:dyDescent="0.55000000000000004">
      <c r="A997" s="36">
        <v>1175</v>
      </c>
      <c r="B997" s="37" t="s">
        <v>2919</v>
      </c>
      <c r="C997" s="37" t="s">
        <v>2818</v>
      </c>
      <c r="D997" s="37" t="s">
        <v>2815</v>
      </c>
      <c r="E997" s="37" t="s">
        <v>2776</v>
      </c>
      <c r="F997" s="37" t="s">
        <v>2816</v>
      </c>
      <c r="G997" s="37" t="s">
        <v>2816</v>
      </c>
      <c r="H997" s="37" t="s">
        <v>2816</v>
      </c>
      <c r="I997" s="37" t="s">
        <v>90</v>
      </c>
      <c r="J997" s="37" t="s">
        <v>88</v>
      </c>
      <c r="K997" s="37" t="s">
        <v>88</v>
      </c>
      <c r="L997" s="36">
        <v>2</v>
      </c>
      <c r="M997" s="36">
        <v>2</v>
      </c>
      <c r="N997" s="36">
        <v>2</v>
      </c>
      <c r="O997" s="36">
        <v>4</v>
      </c>
      <c r="P997" s="37" t="s">
        <v>292</v>
      </c>
      <c r="Q997" s="37"/>
      <c r="R997" s="37" t="s">
        <v>2920</v>
      </c>
    </row>
    <row r="998" spans="1:18" ht="27.7" thickBot="1" x14ac:dyDescent="0.55000000000000004">
      <c r="A998" s="36">
        <v>1176</v>
      </c>
      <c r="B998" s="37" t="s">
        <v>2921</v>
      </c>
      <c r="C998" s="37" t="s">
        <v>2791</v>
      </c>
      <c r="D998" s="37" t="s">
        <v>2792</v>
      </c>
      <c r="E998" s="37" t="s">
        <v>2776</v>
      </c>
      <c r="F998" s="37" t="s">
        <v>2793</v>
      </c>
      <c r="G998" s="37" t="s">
        <v>2793</v>
      </c>
      <c r="H998" s="37" t="s">
        <v>2793</v>
      </c>
      <c r="I998" s="37" t="s">
        <v>102</v>
      </c>
      <c r="J998" s="37" t="s">
        <v>102</v>
      </c>
      <c r="K998" s="37" t="s">
        <v>102</v>
      </c>
      <c r="L998" s="36">
        <v>2</v>
      </c>
      <c r="M998" s="36">
        <v>2</v>
      </c>
      <c r="N998" s="36">
        <v>2</v>
      </c>
      <c r="O998" s="36">
        <v>3</v>
      </c>
      <c r="P998" s="37" t="s">
        <v>292</v>
      </c>
      <c r="Q998" s="37"/>
      <c r="R998" s="37" t="s">
        <v>2922</v>
      </c>
    </row>
    <row r="999" spans="1:18" ht="27.7" thickBot="1" x14ac:dyDescent="0.55000000000000004">
      <c r="A999" s="36">
        <v>1177</v>
      </c>
      <c r="B999" s="37" t="s">
        <v>2923</v>
      </c>
      <c r="C999" s="37" t="s">
        <v>2924</v>
      </c>
      <c r="D999" s="37" t="s">
        <v>2925</v>
      </c>
      <c r="E999" s="37" t="s">
        <v>2784</v>
      </c>
      <c r="F999" s="37" t="s">
        <v>2926</v>
      </c>
      <c r="G999" s="37" t="s">
        <v>2926</v>
      </c>
      <c r="H999" s="37" t="s">
        <v>2926</v>
      </c>
      <c r="I999" s="37" t="s">
        <v>92</v>
      </c>
      <c r="J999" s="37" t="s">
        <v>92</v>
      </c>
      <c r="K999" s="37" t="s">
        <v>92</v>
      </c>
      <c r="L999" s="36">
        <v>2</v>
      </c>
      <c r="M999" s="36">
        <v>2</v>
      </c>
      <c r="N999" s="36">
        <v>2</v>
      </c>
      <c r="O999" s="36">
        <v>3</v>
      </c>
      <c r="P999" s="37" t="s">
        <v>292</v>
      </c>
      <c r="Q999" s="37"/>
      <c r="R999" s="37" t="s">
        <v>2927</v>
      </c>
    </row>
    <row r="1000" spans="1:18" ht="14.7" thickBot="1" x14ac:dyDescent="0.55000000000000004">
      <c r="A1000" s="36">
        <v>1178</v>
      </c>
      <c r="B1000" s="37" t="s">
        <v>2928</v>
      </c>
      <c r="C1000" s="37" t="s">
        <v>2929</v>
      </c>
      <c r="D1000" s="37" t="s">
        <v>2930</v>
      </c>
      <c r="E1000" s="37" t="s">
        <v>2776</v>
      </c>
      <c r="F1000" s="37" t="s">
        <v>2881</v>
      </c>
      <c r="G1000" s="37" t="s">
        <v>2881</v>
      </c>
      <c r="H1000" s="37" t="s">
        <v>2881</v>
      </c>
      <c r="I1000" s="37" t="s">
        <v>90</v>
      </c>
      <c r="J1000" s="37" t="s">
        <v>88</v>
      </c>
      <c r="K1000" s="37" t="s">
        <v>2032</v>
      </c>
      <c r="L1000" s="36">
        <v>2</v>
      </c>
      <c r="M1000" s="36">
        <v>2</v>
      </c>
      <c r="N1000" s="36">
        <v>2</v>
      </c>
      <c r="O1000" s="36">
        <v>4</v>
      </c>
      <c r="P1000" s="37" t="s">
        <v>292</v>
      </c>
      <c r="Q1000" s="37"/>
      <c r="R1000" s="37" t="s">
        <v>2931</v>
      </c>
    </row>
    <row r="1001" spans="1:18" ht="14.7" thickBot="1" x14ac:dyDescent="0.55000000000000004">
      <c r="A1001" s="36">
        <v>1179</v>
      </c>
      <c r="B1001" s="37" t="s">
        <v>2932</v>
      </c>
      <c r="C1001" s="37" t="s">
        <v>2933</v>
      </c>
      <c r="D1001" s="37" t="s">
        <v>2930</v>
      </c>
      <c r="E1001" s="37" t="s">
        <v>2776</v>
      </c>
      <c r="F1001" s="37" t="s">
        <v>2881</v>
      </c>
      <c r="G1001" s="37" t="s">
        <v>2881</v>
      </c>
      <c r="H1001" s="37" t="s">
        <v>2881</v>
      </c>
      <c r="I1001" s="37" t="s">
        <v>92</v>
      </c>
      <c r="J1001" s="37" t="s">
        <v>92</v>
      </c>
      <c r="K1001" s="37" t="s">
        <v>92</v>
      </c>
      <c r="L1001" s="36">
        <v>3</v>
      </c>
      <c r="M1001" s="36">
        <v>3</v>
      </c>
      <c r="N1001" s="36">
        <v>3</v>
      </c>
      <c r="O1001" s="36">
        <v>4</v>
      </c>
      <c r="P1001" s="37" t="s">
        <v>292</v>
      </c>
      <c r="Q1001" s="37"/>
      <c r="R1001" s="37" t="s">
        <v>2934</v>
      </c>
    </row>
    <row r="1002" spans="1:18" ht="27.7" thickBot="1" x14ac:dyDescent="0.55000000000000004">
      <c r="A1002" s="36">
        <v>1180</v>
      </c>
      <c r="B1002" s="37" t="s">
        <v>2935</v>
      </c>
      <c r="C1002" s="37" t="s">
        <v>2936</v>
      </c>
      <c r="D1002" s="37" t="s">
        <v>2930</v>
      </c>
      <c r="E1002" s="37" t="s">
        <v>2776</v>
      </c>
      <c r="F1002" s="37" t="s">
        <v>2881</v>
      </c>
      <c r="G1002" s="37" t="s">
        <v>2881</v>
      </c>
      <c r="H1002" s="37" t="s">
        <v>2881</v>
      </c>
      <c r="I1002" s="37" t="s">
        <v>92</v>
      </c>
      <c r="J1002" s="37" t="s">
        <v>92</v>
      </c>
      <c r="K1002" s="37" t="s">
        <v>92</v>
      </c>
      <c r="L1002" s="36">
        <v>4</v>
      </c>
      <c r="M1002" s="36">
        <v>4</v>
      </c>
      <c r="N1002" s="36">
        <v>4</v>
      </c>
      <c r="O1002" s="36">
        <v>6</v>
      </c>
      <c r="P1002" s="37" t="s">
        <v>292</v>
      </c>
      <c r="Q1002" s="37"/>
      <c r="R1002" s="37" t="s">
        <v>2937</v>
      </c>
    </row>
    <row r="1003" spans="1:18" ht="27.7" hidden="1" thickBot="1" x14ac:dyDescent="0.55000000000000004">
      <c r="A1003" s="36">
        <v>1181</v>
      </c>
      <c r="B1003" s="37" t="s">
        <v>2938</v>
      </c>
      <c r="C1003" s="37" t="s">
        <v>1979</v>
      </c>
      <c r="D1003" s="37" t="s">
        <v>1971</v>
      </c>
      <c r="E1003" s="37" t="s">
        <v>1959</v>
      </c>
      <c r="F1003" s="37" t="s">
        <v>1980</v>
      </c>
      <c r="G1003" s="37" t="s">
        <v>1980</v>
      </c>
      <c r="H1003" s="37" t="s">
        <v>1840</v>
      </c>
      <c r="I1003" s="37" t="s">
        <v>2939</v>
      </c>
      <c r="J1003" s="37" t="s">
        <v>2939</v>
      </c>
      <c r="K1003" s="37" t="s">
        <v>2939</v>
      </c>
      <c r="L1003" s="36">
        <v>3</v>
      </c>
      <c r="M1003" s="36">
        <v>3</v>
      </c>
      <c r="N1003" s="36">
        <v>3</v>
      </c>
      <c r="O1003" s="36">
        <v>4</v>
      </c>
      <c r="P1003" s="37" t="s">
        <v>292</v>
      </c>
      <c r="Q1003" s="37"/>
      <c r="R1003" s="37" t="s">
        <v>2940</v>
      </c>
    </row>
    <row r="1004" spans="1:18" ht="27.7" hidden="1" thickBot="1" x14ac:dyDescent="0.55000000000000004">
      <c r="A1004" s="36">
        <v>1182</v>
      </c>
      <c r="B1004" s="37" t="s">
        <v>2941</v>
      </c>
      <c r="C1004" s="37" t="s">
        <v>2542</v>
      </c>
      <c r="D1004" s="37" t="s">
        <v>2543</v>
      </c>
      <c r="E1004" s="37" t="s">
        <v>1064</v>
      </c>
      <c r="F1004" s="37" t="s">
        <v>1065</v>
      </c>
      <c r="G1004" s="37" t="s">
        <v>1065</v>
      </c>
      <c r="H1004" s="37" t="s">
        <v>1065</v>
      </c>
      <c r="I1004" s="37" t="s">
        <v>92</v>
      </c>
      <c r="J1004" s="37" t="s">
        <v>92</v>
      </c>
      <c r="K1004" s="37" t="s">
        <v>92</v>
      </c>
      <c r="L1004" s="36">
        <v>3</v>
      </c>
      <c r="M1004" s="36">
        <v>3</v>
      </c>
      <c r="N1004" s="36">
        <v>3</v>
      </c>
      <c r="O1004" s="36">
        <v>4</v>
      </c>
      <c r="P1004" s="37" t="s">
        <v>292</v>
      </c>
      <c r="Q1004" s="37"/>
      <c r="R1004" s="37" t="s">
        <v>2942</v>
      </c>
    </row>
    <row r="1005" spans="1:18" ht="27.7" hidden="1" thickBot="1" x14ac:dyDescent="0.55000000000000004">
      <c r="A1005" s="36">
        <v>1183</v>
      </c>
      <c r="B1005" s="37" t="s">
        <v>2943</v>
      </c>
      <c r="C1005" s="37" t="s">
        <v>1063</v>
      </c>
      <c r="D1005" s="37" t="s">
        <v>1063</v>
      </c>
      <c r="E1005" s="37" t="s">
        <v>1064</v>
      </c>
      <c r="F1005" s="37" t="s">
        <v>1065</v>
      </c>
      <c r="G1005" s="37" t="s">
        <v>1065</v>
      </c>
      <c r="H1005" s="37" t="s">
        <v>1065</v>
      </c>
      <c r="I1005" s="37" t="s">
        <v>1066</v>
      </c>
      <c r="J1005" s="37" t="s">
        <v>88</v>
      </c>
      <c r="K1005" s="37" t="s">
        <v>88</v>
      </c>
      <c r="L1005" s="36">
        <v>3</v>
      </c>
      <c r="M1005" s="36">
        <v>3</v>
      </c>
      <c r="N1005" s="36">
        <v>3</v>
      </c>
      <c r="O1005" s="36">
        <v>4</v>
      </c>
      <c r="P1005" s="37" t="s">
        <v>292</v>
      </c>
      <c r="Q1005" s="37"/>
      <c r="R1005" s="37" t="s">
        <v>2944</v>
      </c>
    </row>
    <row r="1006" spans="1:18" ht="27.7" hidden="1" thickBot="1" x14ac:dyDescent="0.55000000000000004">
      <c r="A1006" s="36">
        <v>1184</v>
      </c>
      <c r="B1006" s="37" t="s">
        <v>2945</v>
      </c>
      <c r="C1006" s="37" t="s">
        <v>2542</v>
      </c>
      <c r="D1006" s="37" t="s">
        <v>2543</v>
      </c>
      <c r="E1006" s="37" t="s">
        <v>1064</v>
      </c>
      <c r="F1006" s="37" t="s">
        <v>1065</v>
      </c>
      <c r="G1006" s="37" t="s">
        <v>2002</v>
      </c>
      <c r="H1006" s="37" t="s">
        <v>2002</v>
      </c>
      <c r="I1006" s="37" t="s">
        <v>92</v>
      </c>
      <c r="J1006" s="37" t="s">
        <v>88</v>
      </c>
      <c r="K1006" s="37" t="s">
        <v>88</v>
      </c>
      <c r="L1006" s="36">
        <v>1</v>
      </c>
      <c r="M1006" s="36">
        <v>1</v>
      </c>
      <c r="N1006" s="36">
        <v>1</v>
      </c>
      <c r="O1006" s="36">
        <v>2</v>
      </c>
      <c r="P1006" s="37" t="s">
        <v>292</v>
      </c>
      <c r="Q1006" s="37"/>
      <c r="R1006" s="37" t="s">
        <v>2946</v>
      </c>
    </row>
    <row r="1007" spans="1:18" ht="27.7" hidden="1" thickBot="1" x14ac:dyDescent="0.55000000000000004">
      <c r="A1007" s="36">
        <v>1185</v>
      </c>
      <c r="B1007" s="37" t="s">
        <v>2947</v>
      </c>
      <c r="C1007" s="37" t="s">
        <v>2543</v>
      </c>
      <c r="D1007" s="37" t="s">
        <v>2543</v>
      </c>
      <c r="E1007" s="37" t="s">
        <v>1064</v>
      </c>
      <c r="F1007" s="37" t="s">
        <v>1065</v>
      </c>
      <c r="G1007" s="37" t="s">
        <v>1065</v>
      </c>
      <c r="H1007" s="37" t="s">
        <v>1065</v>
      </c>
      <c r="I1007" s="37" t="s">
        <v>92</v>
      </c>
      <c r="J1007" s="37" t="s">
        <v>92</v>
      </c>
      <c r="K1007" s="37" t="s">
        <v>92</v>
      </c>
      <c r="L1007" s="36">
        <v>3</v>
      </c>
      <c r="M1007" s="36">
        <v>3</v>
      </c>
      <c r="N1007" s="36">
        <v>3</v>
      </c>
      <c r="O1007" s="36">
        <v>5</v>
      </c>
      <c r="P1007" s="37" t="s">
        <v>292</v>
      </c>
      <c r="Q1007" s="37"/>
      <c r="R1007" s="37" t="s">
        <v>2948</v>
      </c>
    </row>
    <row r="1008" spans="1:18" ht="27.7" hidden="1" thickBot="1" x14ac:dyDescent="0.55000000000000004">
      <c r="A1008" s="36">
        <v>1186</v>
      </c>
      <c r="B1008" s="37" t="s">
        <v>2949</v>
      </c>
      <c r="C1008" s="37" t="s">
        <v>2654</v>
      </c>
      <c r="D1008" s="37" t="s">
        <v>1958</v>
      </c>
      <c r="E1008" s="37" t="s">
        <v>1959</v>
      </c>
      <c r="F1008" s="37" t="s">
        <v>1980</v>
      </c>
      <c r="G1008" s="37" t="s">
        <v>1980</v>
      </c>
      <c r="H1008" s="37" t="s">
        <v>1840</v>
      </c>
      <c r="I1008" s="37" t="s">
        <v>2939</v>
      </c>
      <c r="J1008" s="37" t="s">
        <v>2939</v>
      </c>
      <c r="K1008" s="37" t="s">
        <v>1465</v>
      </c>
      <c r="L1008" s="36">
        <v>1</v>
      </c>
      <c r="M1008" s="36">
        <v>1</v>
      </c>
      <c r="N1008" s="36">
        <v>1</v>
      </c>
      <c r="O1008" s="36">
        <v>4</v>
      </c>
      <c r="P1008" s="37" t="s">
        <v>292</v>
      </c>
      <c r="Q1008" s="37"/>
      <c r="R1008" s="37" t="s">
        <v>2950</v>
      </c>
    </row>
    <row r="1009" spans="1:18" ht="27.7" hidden="1" thickBot="1" x14ac:dyDescent="0.55000000000000004">
      <c r="A1009" s="36">
        <v>1187</v>
      </c>
      <c r="B1009" s="37" t="s">
        <v>2951</v>
      </c>
      <c r="C1009" s="37" t="s">
        <v>2543</v>
      </c>
      <c r="D1009" s="37" t="s">
        <v>2543</v>
      </c>
      <c r="E1009" s="37" t="s">
        <v>1064</v>
      </c>
      <c r="F1009" s="37" t="s">
        <v>1972</v>
      </c>
      <c r="G1009" s="37" t="s">
        <v>1972</v>
      </c>
      <c r="H1009" s="37" t="s">
        <v>1972</v>
      </c>
      <c r="I1009" s="37" t="s">
        <v>92</v>
      </c>
      <c r="J1009" s="37" t="s">
        <v>92</v>
      </c>
      <c r="K1009" s="37" t="s">
        <v>92</v>
      </c>
      <c r="L1009" s="36">
        <v>3</v>
      </c>
      <c r="M1009" s="36">
        <v>3</v>
      </c>
      <c r="N1009" s="36">
        <v>3</v>
      </c>
      <c r="O1009" s="36">
        <v>4</v>
      </c>
      <c r="P1009" s="37" t="s">
        <v>292</v>
      </c>
      <c r="Q1009" s="37"/>
      <c r="R1009" s="37" t="s">
        <v>2952</v>
      </c>
    </row>
    <row r="1010" spans="1:18" ht="27.7" hidden="1" thickBot="1" x14ac:dyDescent="0.55000000000000004">
      <c r="A1010" s="36">
        <v>1188</v>
      </c>
      <c r="B1010" s="37" t="s">
        <v>2953</v>
      </c>
      <c r="C1010" s="37" t="s">
        <v>2953</v>
      </c>
      <c r="D1010" s="37" t="s">
        <v>1971</v>
      </c>
      <c r="E1010" s="37" t="s">
        <v>1959</v>
      </c>
      <c r="F1010" s="37" t="s">
        <v>1980</v>
      </c>
      <c r="G1010" s="37" t="s">
        <v>1980</v>
      </c>
      <c r="H1010" s="37" t="s">
        <v>1972</v>
      </c>
      <c r="I1010" s="37" t="s">
        <v>92</v>
      </c>
      <c r="J1010" s="37" t="s">
        <v>92</v>
      </c>
      <c r="K1010" s="37" t="s">
        <v>92</v>
      </c>
      <c r="L1010" s="36">
        <v>3</v>
      </c>
      <c r="M1010" s="36">
        <v>3</v>
      </c>
      <c r="N1010" s="36">
        <v>3</v>
      </c>
      <c r="O1010" s="36">
        <v>5</v>
      </c>
      <c r="P1010" s="37" t="s">
        <v>292</v>
      </c>
      <c r="Q1010" s="37"/>
      <c r="R1010" s="37" t="s">
        <v>2954</v>
      </c>
    </row>
    <row r="1011" spans="1:18" ht="27.7" hidden="1" thickBot="1" x14ac:dyDescent="0.55000000000000004">
      <c r="A1011" s="36">
        <v>1189</v>
      </c>
      <c r="B1011" s="37" t="s">
        <v>2955</v>
      </c>
      <c r="C1011" s="37" t="s">
        <v>2543</v>
      </c>
      <c r="D1011" s="37" t="s">
        <v>2543</v>
      </c>
      <c r="E1011" s="37" t="s">
        <v>1064</v>
      </c>
      <c r="F1011" s="37" t="s">
        <v>1065</v>
      </c>
      <c r="G1011" s="37" t="s">
        <v>1065</v>
      </c>
      <c r="H1011" s="37" t="s">
        <v>1065</v>
      </c>
      <c r="I1011" s="37" t="s">
        <v>92</v>
      </c>
      <c r="J1011" s="37" t="s">
        <v>92</v>
      </c>
      <c r="K1011" s="37" t="s">
        <v>92</v>
      </c>
      <c r="L1011" s="36">
        <v>3</v>
      </c>
      <c r="M1011" s="36">
        <v>3</v>
      </c>
      <c r="N1011" s="36">
        <v>3</v>
      </c>
      <c r="O1011" s="36">
        <v>4</v>
      </c>
      <c r="P1011" s="37" t="s">
        <v>292</v>
      </c>
      <c r="Q1011" s="37"/>
      <c r="R1011" s="37" t="s">
        <v>2956</v>
      </c>
    </row>
    <row r="1012" spans="1:18" ht="27.7" thickBot="1" x14ac:dyDescent="0.55000000000000004">
      <c r="A1012" s="36">
        <v>1190</v>
      </c>
      <c r="B1012" s="37" t="s">
        <v>2957</v>
      </c>
      <c r="C1012" s="37" t="s">
        <v>2933</v>
      </c>
      <c r="D1012" s="37" t="s">
        <v>2930</v>
      </c>
      <c r="E1012" s="37" t="s">
        <v>2776</v>
      </c>
      <c r="F1012" s="37" t="s">
        <v>2881</v>
      </c>
      <c r="G1012" s="37" t="s">
        <v>2881</v>
      </c>
      <c r="H1012" s="37" t="s">
        <v>2881</v>
      </c>
      <c r="I1012" s="37" t="s">
        <v>92</v>
      </c>
      <c r="J1012" s="37" t="s">
        <v>92</v>
      </c>
      <c r="K1012" s="37" t="s">
        <v>92</v>
      </c>
      <c r="L1012" s="36">
        <v>3</v>
      </c>
      <c r="M1012" s="36">
        <v>3</v>
      </c>
      <c r="N1012" s="36">
        <v>3</v>
      </c>
      <c r="O1012" s="36">
        <v>5</v>
      </c>
      <c r="P1012" s="37" t="s">
        <v>292</v>
      </c>
      <c r="Q1012" s="37"/>
      <c r="R1012" s="37" t="s">
        <v>2958</v>
      </c>
    </row>
    <row r="1013" spans="1:18" ht="27.7" thickBot="1" x14ac:dyDescent="0.55000000000000004">
      <c r="A1013" s="36">
        <v>1191</v>
      </c>
      <c r="B1013" s="37" t="s">
        <v>2959</v>
      </c>
      <c r="C1013" s="37" t="s">
        <v>2936</v>
      </c>
      <c r="D1013" s="37" t="s">
        <v>2930</v>
      </c>
      <c r="E1013" s="37" t="s">
        <v>2776</v>
      </c>
      <c r="F1013" s="37" t="s">
        <v>2881</v>
      </c>
      <c r="G1013" s="37" t="s">
        <v>2881</v>
      </c>
      <c r="H1013" s="37" t="s">
        <v>2881</v>
      </c>
      <c r="I1013" s="37" t="s">
        <v>92</v>
      </c>
      <c r="J1013" s="37" t="s">
        <v>92</v>
      </c>
      <c r="K1013" s="37" t="s">
        <v>92</v>
      </c>
      <c r="L1013" s="36">
        <v>2</v>
      </c>
      <c r="M1013" s="36">
        <v>2</v>
      </c>
      <c r="N1013" s="36">
        <v>2</v>
      </c>
      <c r="O1013" s="36">
        <v>4</v>
      </c>
      <c r="P1013" s="37" t="s">
        <v>292</v>
      </c>
      <c r="Q1013" s="37"/>
      <c r="R1013" s="37" t="s">
        <v>2960</v>
      </c>
    </row>
    <row r="1014" spans="1:18" ht="14.7" thickBot="1" x14ac:dyDescent="0.55000000000000004">
      <c r="A1014" s="36">
        <v>1192</v>
      </c>
      <c r="B1014" s="37" t="s">
        <v>2961</v>
      </c>
      <c r="C1014" s="37" t="s">
        <v>2962</v>
      </c>
      <c r="D1014" s="37" t="s">
        <v>2930</v>
      </c>
      <c r="E1014" s="37" t="s">
        <v>2776</v>
      </c>
      <c r="F1014" s="37" t="s">
        <v>2881</v>
      </c>
      <c r="G1014" s="37" t="s">
        <v>2881</v>
      </c>
      <c r="H1014" s="37" t="s">
        <v>2881</v>
      </c>
      <c r="I1014" s="37" t="s">
        <v>90</v>
      </c>
      <c r="J1014" s="37" t="s">
        <v>90</v>
      </c>
      <c r="K1014" s="37" t="s">
        <v>90</v>
      </c>
      <c r="L1014" s="36">
        <v>4</v>
      </c>
      <c r="M1014" s="36">
        <v>4</v>
      </c>
      <c r="N1014" s="36">
        <v>4</v>
      </c>
      <c r="O1014" s="36">
        <v>5</v>
      </c>
      <c r="P1014" s="37" t="s">
        <v>292</v>
      </c>
      <c r="Q1014" s="37"/>
      <c r="R1014" s="37" t="s">
        <v>2963</v>
      </c>
    </row>
    <row r="1015" spans="1:18" ht="14.7" thickBot="1" x14ac:dyDescent="0.55000000000000004">
      <c r="A1015" s="36">
        <v>1193</v>
      </c>
      <c r="B1015" s="37" t="s">
        <v>2933</v>
      </c>
      <c r="C1015" s="37" t="s">
        <v>2933</v>
      </c>
      <c r="D1015" s="37" t="s">
        <v>2930</v>
      </c>
      <c r="E1015" s="37" t="s">
        <v>2776</v>
      </c>
      <c r="F1015" s="37" t="s">
        <v>2881</v>
      </c>
      <c r="G1015" s="37" t="s">
        <v>2881</v>
      </c>
      <c r="H1015" s="37" t="s">
        <v>2881</v>
      </c>
      <c r="I1015" s="37" t="s">
        <v>92</v>
      </c>
      <c r="J1015" s="37" t="s">
        <v>92</v>
      </c>
      <c r="K1015" s="37" t="s">
        <v>92</v>
      </c>
      <c r="L1015" s="36">
        <v>4</v>
      </c>
      <c r="M1015" s="36">
        <v>4</v>
      </c>
      <c r="N1015" s="36">
        <v>4</v>
      </c>
      <c r="O1015" s="36">
        <v>6</v>
      </c>
      <c r="P1015" s="37" t="s">
        <v>292</v>
      </c>
      <c r="Q1015" s="37"/>
      <c r="R1015" s="37" t="s">
        <v>2964</v>
      </c>
    </row>
    <row r="1016" spans="1:18" ht="27.7" thickBot="1" x14ac:dyDescent="0.55000000000000004">
      <c r="A1016" s="36">
        <v>1194</v>
      </c>
      <c r="B1016" s="37" t="s">
        <v>2965</v>
      </c>
      <c r="C1016" s="37" t="s">
        <v>2966</v>
      </c>
      <c r="D1016" s="37" t="s">
        <v>2967</v>
      </c>
      <c r="E1016" s="37" t="s">
        <v>2730</v>
      </c>
      <c r="F1016" s="37" t="s">
        <v>2731</v>
      </c>
      <c r="G1016" s="37" t="s">
        <v>2731</v>
      </c>
      <c r="H1016" s="37" t="s">
        <v>2731</v>
      </c>
      <c r="I1016" s="37" t="s">
        <v>92</v>
      </c>
      <c r="J1016" s="37" t="s">
        <v>92</v>
      </c>
      <c r="K1016" s="37" t="s">
        <v>92</v>
      </c>
      <c r="L1016" s="36">
        <v>2</v>
      </c>
      <c r="M1016" s="36">
        <v>2</v>
      </c>
      <c r="N1016" s="36">
        <v>2</v>
      </c>
      <c r="O1016" s="36">
        <v>4</v>
      </c>
      <c r="P1016" s="37" t="s">
        <v>265</v>
      </c>
      <c r="Q1016" s="37"/>
      <c r="R1016" s="37" t="s">
        <v>2968</v>
      </c>
    </row>
    <row r="1017" spans="1:18" ht="27.7" thickBot="1" x14ac:dyDescent="0.55000000000000004">
      <c r="A1017" s="36">
        <v>1195</v>
      </c>
      <c r="B1017" s="37" t="s">
        <v>2969</v>
      </c>
      <c r="C1017" s="37" t="s">
        <v>2966</v>
      </c>
      <c r="D1017" s="37" t="s">
        <v>2967</v>
      </c>
      <c r="E1017" s="37" t="s">
        <v>2730</v>
      </c>
      <c r="F1017" s="37" t="s">
        <v>2966</v>
      </c>
      <c r="G1017" s="37" t="s">
        <v>2966</v>
      </c>
      <c r="H1017" s="37" t="s">
        <v>2966</v>
      </c>
      <c r="I1017" s="37" t="s">
        <v>92</v>
      </c>
      <c r="J1017" s="37" t="s">
        <v>92</v>
      </c>
      <c r="K1017" s="37" t="s">
        <v>92</v>
      </c>
      <c r="L1017" s="36">
        <v>3</v>
      </c>
      <c r="M1017" s="36">
        <v>3</v>
      </c>
      <c r="N1017" s="36">
        <v>3</v>
      </c>
      <c r="O1017" s="36">
        <v>5</v>
      </c>
      <c r="P1017" s="37" t="s">
        <v>265</v>
      </c>
      <c r="Q1017" s="37"/>
      <c r="R1017" s="37" t="s">
        <v>2970</v>
      </c>
    </row>
    <row r="1018" spans="1:18" ht="27.7" thickBot="1" x14ac:dyDescent="0.55000000000000004">
      <c r="A1018" s="36">
        <v>1196</v>
      </c>
      <c r="B1018" s="37" t="s">
        <v>2971</v>
      </c>
      <c r="C1018" s="37" t="s">
        <v>2747</v>
      </c>
      <c r="D1018" s="37" t="s">
        <v>2748</v>
      </c>
      <c r="E1018" s="37" t="s">
        <v>2730</v>
      </c>
      <c r="F1018" s="37" t="s">
        <v>2749</v>
      </c>
      <c r="G1018" s="37" t="s">
        <v>2749</v>
      </c>
      <c r="H1018" s="37" t="s">
        <v>2749</v>
      </c>
      <c r="I1018" s="37" t="s">
        <v>102</v>
      </c>
      <c r="J1018" s="37" t="s">
        <v>102</v>
      </c>
      <c r="K1018" s="37" t="s">
        <v>102</v>
      </c>
      <c r="L1018" s="36">
        <v>3</v>
      </c>
      <c r="M1018" s="36">
        <v>3</v>
      </c>
      <c r="N1018" s="36">
        <v>3</v>
      </c>
      <c r="O1018" s="36">
        <v>6</v>
      </c>
      <c r="P1018" s="37" t="s">
        <v>292</v>
      </c>
      <c r="Q1018" s="37"/>
      <c r="R1018" s="37" t="s">
        <v>2972</v>
      </c>
    </row>
    <row r="1019" spans="1:18" ht="27.7" thickBot="1" x14ac:dyDescent="0.55000000000000004">
      <c r="A1019" s="36">
        <v>1197</v>
      </c>
      <c r="B1019" s="37" t="s">
        <v>2973</v>
      </c>
      <c r="C1019" s="37" t="s">
        <v>2757</v>
      </c>
      <c r="D1019" s="37" t="s">
        <v>2748</v>
      </c>
      <c r="E1019" s="37" t="s">
        <v>2730</v>
      </c>
      <c r="F1019" s="37" t="s">
        <v>2749</v>
      </c>
      <c r="G1019" s="37" t="s">
        <v>2749</v>
      </c>
      <c r="H1019" s="37" t="s">
        <v>2749</v>
      </c>
      <c r="I1019" s="37" t="s">
        <v>102</v>
      </c>
      <c r="J1019" s="37" t="s">
        <v>102</v>
      </c>
      <c r="K1019" s="37" t="s">
        <v>102</v>
      </c>
      <c r="L1019" s="36">
        <v>3</v>
      </c>
      <c r="M1019" s="36">
        <v>3</v>
      </c>
      <c r="N1019" s="36">
        <v>3</v>
      </c>
      <c r="O1019" s="36">
        <v>5</v>
      </c>
      <c r="P1019" s="37" t="s">
        <v>292</v>
      </c>
      <c r="Q1019" s="37"/>
      <c r="R1019" s="37" t="s">
        <v>2974</v>
      </c>
    </row>
    <row r="1020" spans="1:18" ht="27.7" thickBot="1" x14ac:dyDescent="0.55000000000000004">
      <c r="A1020" s="36">
        <v>1198</v>
      </c>
      <c r="B1020" s="37" t="s">
        <v>2975</v>
      </c>
      <c r="C1020" s="37" t="s">
        <v>2822</v>
      </c>
      <c r="D1020" s="37" t="s">
        <v>2748</v>
      </c>
      <c r="E1020" s="37" t="s">
        <v>2730</v>
      </c>
      <c r="F1020" s="37" t="s">
        <v>2749</v>
      </c>
      <c r="G1020" s="37" t="s">
        <v>2749</v>
      </c>
      <c r="H1020" s="37" t="s">
        <v>2749</v>
      </c>
      <c r="I1020" s="37" t="s">
        <v>90</v>
      </c>
      <c r="J1020" s="37" t="s">
        <v>90</v>
      </c>
      <c r="K1020" s="37" t="s">
        <v>90</v>
      </c>
      <c r="L1020" s="36">
        <v>3</v>
      </c>
      <c r="M1020" s="36">
        <v>3</v>
      </c>
      <c r="N1020" s="36">
        <v>3</v>
      </c>
      <c r="O1020" s="36">
        <v>5</v>
      </c>
      <c r="P1020" s="37" t="s">
        <v>292</v>
      </c>
      <c r="Q1020" s="37"/>
      <c r="R1020" s="37" t="s">
        <v>2976</v>
      </c>
    </row>
    <row r="1021" spans="1:18" ht="27.7" thickBot="1" x14ac:dyDescent="0.55000000000000004">
      <c r="A1021" s="36">
        <v>1199</v>
      </c>
      <c r="B1021" s="37" t="s">
        <v>2977</v>
      </c>
      <c r="C1021" s="37" t="s">
        <v>2759</v>
      </c>
      <c r="D1021" s="37" t="s">
        <v>2760</v>
      </c>
      <c r="E1021" s="37" t="s">
        <v>2730</v>
      </c>
      <c r="F1021" s="37" t="s">
        <v>2749</v>
      </c>
      <c r="G1021" s="37" t="s">
        <v>2749</v>
      </c>
      <c r="H1021" s="37" t="s">
        <v>2749</v>
      </c>
      <c r="I1021" s="37" t="s">
        <v>90</v>
      </c>
      <c r="J1021" s="37" t="s">
        <v>90</v>
      </c>
      <c r="K1021" s="37" t="s">
        <v>90</v>
      </c>
      <c r="L1021" s="36">
        <v>2</v>
      </c>
      <c r="M1021" s="36">
        <v>2</v>
      </c>
      <c r="N1021" s="36">
        <v>2</v>
      </c>
      <c r="O1021" s="36">
        <v>4</v>
      </c>
      <c r="P1021" s="37" t="s">
        <v>292</v>
      </c>
      <c r="Q1021" s="37"/>
      <c r="R1021" s="37" t="s">
        <v>2978</v>
      </c>
    </row>
    <row r="1022" spans="1:18" ht="27.7" thickBot="1" x14ac:dyDescent="0.55000000000000004">
      <c r="A1022" s="36">
        <v>1200</v>
      </c>
      <c r="B1022" s="37" t="s">
        <v>2979</v>
      </c>
      <c r="C1022" s="37" t="s">
        <v>2736</v>
      </c>
      <c r="D1022" s="37" t="s">
        <v>2729</v>
      </c>
      <c r="E1022" s="37" t="s">
        <v>2730</v>
      </c>
      <c r="F1022" s="37" t="s">
        <v>2749</v>
      </c>
      <c r="G1022" s="37" t="s">
        <v>2749</v>
      </c>
      <c r="H1022" s="37" t="s">
        <v>2749</v>
      </c>
      <c r="I1022" s="37" t="s">
        <v>102</v>
      </c>
      <c r="J1022" s="37" t="s">
        <v>102</v>
      </c>
      <c r="K1022" s="37" t="s">
        <v>102</v>
      </c>
      <c r="L1022" s="36">
        <v>3</v>
      </c>
      <c r="M1022" s="36">
        <v>3</v>
      </c>
      <c r="N1022" s="36">
        <v>3</v>
      </c>
      <c r="O1022" s="36">
        <v>5</v>
      </c>
      <c r="P1022" s="37" t="s">
        <v>265</v>
      </c>
      <c r="Q1022" s="37"/>
      <c r="R1022" s="37" t="s">
        <v>2980</v>
      </c>
    </row>
    <row r="1023" spans="1:18" ht="27.7" thickBot="1" x14ac:dyDescent="0.55000000000000004">
      <c r="A1023" s="36">
        <v>1201</v>
      </c>
      <c r="B1023" s="37" t="s">
        <v>2981</v>
      </c>
      <c r="C1023" s="37" t="s">
        <v>2728</v>
      </c>
      <c r="D1023" s="37" t="s">
        <v>2729</v>
      </c>
      <c r="E1023" s="37" t="s">
        <v>2730</v>
      </c>
      <c r="F1023" s="37" t="s">
        <v>2731</v>
      </c>
      <c r="G1023" s="37" t="s">
        <v>2731</v>
      </c>
      <c r="H1023" s="37" t="s">
        <v>2731</v>
      </c>
      <c r="I1023" s="37" t="s">
        <v>102</v>
      </c>
      <c r="J1023" s="37" t="s">
        <v>102</v>
      </c>
      <c r="K1023" s="37" t="s">
        <v>90</v>
      </c>
      <c r="L1023" s="36">
        <v>4</v>
      </c>
      <c r="M1023" s="36">
        <v>4</v>
      </c>
      <c r="N1023" s="36">
        <v>4</v>
      </c>
      <c r="O1023" s="36">
        <v>5</v>
      </c>
      <c r="P1023" s="37" t="s">
        <v>292</v>
      </c>
      <c r="Q1023" s="37"/>
      <c r="R1023" s="37" t="s">
        <v>2982</v>
      </c>
    </row>
    <row r="1024" spans="1:18" ht="27.7" thickBot="1" x14ac:dyDescent="0.55000000000000004">
      <c r="A1024" s="36">
        <v>1202</v>
      </c>
      <c r="B1024" s="37" t="s">
        <v>2983</v>
      </c>
      <c r="C1024" s="37" t="s">
        <v>2822</v>
      </c>
      <c r="D1024" s="37" t="s">
        <v>2748</v>
      </c>
      <c r="E1024" s="37" t="s">
        <v>2730</v>
      </c>
      <c r="F1024" s="37" t="s">
        <v>2749</v>
      </c>
      <c r="G1024" s="37" t="s">
        <v>2749</v>
      </c>
      <c r="H1024" s="37" t="s">
        <v>2749</v>
      </c>
      <c r="I1024" s="37" t="s">
        <v>90</v>
      </c>
      <c r="J1024" s="37" t="s">
        <v>90</v>
      </c>
      <c r="K1024" s="37" t="s">
        <v>90</v>
      </c>
      <c r="L1024" s="36">
        <v>3</v>
      </c>
      <c r="M1024" s="36">
        <v>3</v>
      </c>
      <c r="N1024" s="36">
        <v>3</v>
      </c>
      <c r="O1024" s="36">
        <v>5</v>
      </c>
      <c r="P1024" s="37" t="s">
        <v>292</v>
      </c>
      <c r="Q1024" s="37"/>
      <c r="R1024" s="37" t="s">
        <v>2984</v>
      </c>
    </row>
    <row r="1025" spans="1:18" ht="27.7" thickBot="1" x14ac:dyDescent="0.55000000000000004">
      <c r="A1025" s="36">
        <v>1203</v>
      </c>
      <c r="B1025" s="37" t="s">
        <v>2985</v>
      </c>
      <c r="C1025" s="37" t="s">
        <v>2822</v>
      </c>
      <c r="D1025" s="37" t="s">
        <v>2748</v>
      </c>
      <c r="E1025" s="37" t="s">
        <v>2730</v>
      </c>
      <c r="F1025" s="37" t="s">
        <v>2749</v>
      </c>
      <c r="G1025" s="37" t="s">
        <v>2749</v>
      </c>
      <c r="H1025" s="37" t="s">
        <v>2749</v>
      </c>
      <c r="I1025" s="37" t="s">
        <v>90</v>
      </c>
      <c r="J1025" s="37" t="s">
        <v>90</v>
      </c>
      <c r="K1025" s="37" t="s">
        <v>90</v>
      </c>
      <c r="L1025" s="36">
        <v>4</v>
      </c>
      <c r="M1025" s="36">
        <v>4</v>
      </c>
      <c r="N1025" s="36">
        <v>4</v>
      </c>
      <c r="O1025" s="36">
        <v>6</v>
      </c>
      <c r="P1025" s="37" t="s">
        <v>292</v>
      </c>
      <c r="Q1025" s="37"/>
      <c r="R1025" s="37" t="s">
        <v>2986</v>
      </c>
    </row>
    <row r="1026" spans="1:18" ht="27.7" thickBot="1" x14ac:dyDescent="0.55000000000000004">
      <c r="A1026" s="36">
        <v>1204</v>
      </c>
      <c r="B1026" s="37" t="s">
        <v>2987</v>
      </c>
      <c r="C1026" s="37" t="s">
        <v>2759</v>
      </c>
      <c r="D1026" s="37" t="s">
        <v>2760</v>
      </c>
      <c r="E1026" s="37" t="s">
        <v>2730</v>
      </c>
      <c r="F1026" s="37" t="s">
        <v>2761</v>
      </c>
      <c r="G1026" s="37" t="s">
        <v>2761</v>
      </c>
      <c r="H1026" s="37" t="s">
        <v>2761</v>
      </c>
      <c r="I1026" s="37" t="s">
        <v>102</v>
      </c>
      <c r="J1026" s="37" t="s">
        <v>102</v>
      </c>
      <c r="K1026" s="37" t="s">
        <v>90</v>
      </c>
      <c r="L1026" s="36">
        <v>2</v>
      </c>
      <c r="M1026" s="36">
        <v>2</v>
      </c>
      <c r="N1026" s="36">
        <v>2</v>
      </c>
      <c r="O1026" s="36">
        <v>5</v>
      </c>
      <c r="P1026" s="37" t="s">
        <v>265</v>
      </c>
      <c r="Q1026" s="37"/>
      <c r="R1026" s="37" t="s">
        <v>2988</v>
      </c>
    </row>
    <row r="1027" spans="1:18" ht="27.7" hidden="1" thickBot="1" x14ac:dyDescent="0.55000000000000004">
      <c r="A1027" s="36">
        <v>1205</v>
      </c>
      <c r="B1027" s="37" t="s">
        <v>2989</v>
      </c>
      <c r="C1027" s="37" t="s">
        <v>2990</v>
      </c>
      <c r="D1027" s="37" t="s">
        <v>2624</v>
      </c>
      <c r="E1027" s="37" t="s">
        <v>1785</v>
      </c>
      <c r="F1027" s="37" t="s">
        <v>2625</v>
      </c>
      <c r="G1027" s="37" t="s">
        <v>2625</v>
      </c>
      <c r="H1027" s="37" t="s">
        <v>2625</v>
      </c>
      <c r="I1027" s="37" t="s">
        <v>1003</v>
      </c>
      <c r="J1027" s="37" t="s">
        <v>1003</v>
      </c>
      <c r="K1027" s="37" t="s">
        <v>1003</v>
      </c>
      <c r="L1027" s="36">
        <v>1</v>
      </c>
      <c r="M1027" s="36">
        <v>1</v>
      </c>
      <c r="N1027" s="36">
        <v>1</v>
      </c>
      <c r="O1027" s="36">
        <v>2</v>
      </c>
      <c r="P1027" s="37" t="s">
        <v>292</v>
      </c>
      <c r="Q1027" s="37"/>
      <c r="R1027" s="37" t="s">
        <v>2991</v>
      </c>
    </row>
    <row r="1028" spans="1:18" ht="27.7" thickBot="1" x14ac:dyDescent="0.55000000000000004">
      <c r="A1028" s="36">
        <v>1206</v>
      </c>
      <c r="B1028" s="37" t="s">
        <v>2992</v>
      </c>
      <c r="C1028" s="37" t="s">
        <v>2840</v>
      </c>
      <c r="D1028" s="37" t="s">
        <v>2768</v>
      </c>
      <c r="E1028" s="37" t="s">
        <v>2730</v>
      </c>
      <c r="F1028" s="37" t="s">
        <v>2749</v>
      </c>
      <c r="G1028" s="37" t="s">
        <v>2749</v>
      </c>
      <c r="H1028" s="37" t="s">
        <v>2749</v>
      </c>
      <c r="I1028" s="37" t="s">
        <v>102</v>
      </c>
      <c r="J1028" s="37" t="s">
        <v>102</v>
      </c>
      <c r="K1028" s="37" t="s">
        <v>102</v>
      </c>
      <c r="L1028" s="36">
        <v>3</v>
      </c>
      <c r="M1028" s="36">
        <v>3</v>
      </c>
      <c r="N1028" s="36">
        <v>3</v>
      </c>
      <c r="O1028" s="36">
        <v>4</v>
      </c>
      <c r="P1028" s="37" t="s">
        <v>292</v>
      </c>
      <c r="Q1028" s="37"/>
      <c r="R1028" s="37" t="s">
        <v>2993</v>
      </c>
    </row>
    <row r="1029" spans="1:18" ht="27.7" thickBot="1" x14ac:dyDescent="0.55000000000000004">
      <c r="A1029" s="36">
        <v>1207</v>
      </c>
      <c r="B1029" s="37" t="s">
        <v>2994</v>
      </c>
      <c r="C1029" s="37" t="s">
        <v>2759</v>
      </c>
      <c r="D1029" s="37" t="s">
        <v>2760</v>
      </c>
      <c r="E1029" s="37" t="s">
        <v>2730</v>
      </c>
      <c r="F1029" s="37" t="s">
        <v>2761</v>
      </c>
      <c r="G1029" s="37" t="s">
        <v>2761</v>
      </c>
      <c r="H1029" s="37" t="s">
        <v>2761</v>
      </c>
      <c r="I1029" s="37" t="s">
        <v>102</v>
      </c>
      <c r="J1029" s="37" t="s">
        <v>102</v>
      </c>
      <c r="K1029" s="37" t="s">
        <v>90</v>
      </c>
      <c r="L1029" s="36">
        <v>2</v>
      </c>
      <c r="M1029" s="36">
        <v>2</v>
      </c>
      <c r="N1029" s="36">
        <v>2</v>
      </c>
      <c r="O1029" s="36">
        <v>4</v>
      </c>
      <c r="P1029" s="37" t="s">
        <v>292</v>
      </c>
      <c r="Q1029" s="37"/>
      <c r="R1029" s="37" t="s">
        <v>2995</v>
      </c>
    </row>
    <row r="1030" spans="1:18" ht="27.7" thickBot="1" x14ac:dyDescent="0.55000000000000004">
      <c r="A1030" s="36">
        <v>1208</v>
      </c>
      <c r="B1030" s="37" t="s">
        <v>2996</v>
      </c>
      <c r="C1030" s="37" t="s">
        <v>2869</v>
      </c>
      <c r="D1030" s="37" t="s">
        <v>2836</v>
      </c>
      <c r="E1030" s="37" t="s">
        <v>2730</v>
      </c>
      <c r="F1030" s="37" t="s">
        <v>2761</v>
      </c>
      <c r="G1030" s="37" t="s">
        <v>2761</v>
      </c>
      <c r="H1030" s="37" t="s">
        <v>2761</v>
      </c>
      <c r="I1030" s="37" t="s">
        <v>90</v>
      </c>
      <c r="J1030" s="37" t="s">
        <v>90</v>
      </c>
      <c r="K1030" s="37" t="s">
        <v>90</v>
      </c>
      <c r="L1030" s="36">
        <v>2</v>
      </c>
      <c r="M1030" s="36">
        <v>2</v>
      </c>
      <c r="N1030" s="36">
        <v>2</v>
      </c>
      <c r="O1030" s="36">
        <v>4</v>
      </c>
      <c r="P1030" s="37" t="s">
        <v>292</v>
      </c>
      <c r="Q1030" s="37"/>
      <c r="R1030" s="37" t="s">
        <v>2997</v>
      </c>
    </row>
    <row r="1031" spans="1:18" ht="27.7" thickBot="1" x14ac:dyDescent="0.55000000000000004">
      <c r="A1031" s="36">
        <v>1209</v>
      </c>
      <c r="B1031" s="37" t="s">
        <v>2835</v>
      </c>
      <c r="C1031" s="37" t="s">
        <v>2835</v>
      </c>
      <c r="D1031" s="37" t="s">
        <v>2836</v>
      </c>
      <c r="E1031" s="37" t="s">
        <v>2730</v>
      </c>
      <c r="F1031" s="37" t="s">
        <v>2761</v>
      </c>
      <c r="G1031" s="37" t="s">
        <v>2761</v>
      </c>
      <c r="H1031" s="37" t="s">
        <v>2761</v>
      </c>
      <c r="I1031" s="37" t="s">
        <v>90</v>
      </c>
      <c r="J1031" s="37" t="s">
        <v>90</v>
      </c>
      <c r="K1031" s="37" t="s">
        <v>90</v>
      </c>
      <c r="L1031" s="36">
        <v>2</v>
      </c>
      <c r="M1031" s="36">
        <v>2</v>
      </c>
      <c r="N1031" s="36">
        <v>2</v>
      </c>
      <c r="O1031" s="36">
        <v>3</v>
      </c>
      <c r="P1031" s="37" t="s">
        <v>292</v>
      </c>
      <c r="Q1031" s="37"/>
      <c r="R1031" s="37" t="s">
        <v>2998</v>
      </c>
    </row>
    <row r="1032" spans="1:18" ht="27.7" thickBot="1" x14ac:dyDescent="0.55000000000000004">
      <c r="A1032" s="36">
        <v>1210</v>
      </c>
      <c r="B1032" s="37" t="s">
        <v>2999</v>
      </c>
      <c r="C1032" s="37" t="s">
        <v>2832</v>
      </c>
      <c r="D1032" s="37" t="s">
        <v>2748</v>
      </c>
      <c r="E1032" s="37" t="s">
        <v>2730</v>
      </c>
      <c r="F1032" s="37" t="s">
        <v>2749</v>
      </c>
      <c r="G1032" s="37" t="s">
        <v>2749</v>
      </c>
      <c r="H1032" s="37" t="s">
        <v>2749</v>
      </c>
      <c r="I1032" s="37" t="s">
        <v>102</v>
      </c>
      <c r="J1032" s="37" t="s">
        <v>102</v>
      </c>
      <c r="K1032" s="37" t="s">
        <v>90</v>
      </c>
      <c r="L1032" s="36">
        <v>4</v>
      </c>
      <c r="M1032" s="36">
        <v>4</v>
      </c>
      <c r="N1032" s="36">
        <v>4</v>
      </c>
      <c r="O1032" s="36">
        <v>5</v>
      </c>
      <c r="P1032" s="37" t="s">
        <v>292</v>
      </c>
      <c r="Q1032" s="37"/>
      <c r="R1032" s="37" t="s">
        <v>3000</v>
      </c>
    </row>
    <row r="1033" spans="1:18" ht="27.7" thickBot="1" x14ac:dyDescent="0.55000000000000004">
      <c r="A1033" s="36">
        <v>1211</v>
      </c>
      <c r="B1033" s="37" t="s">
        <v>3001</v>
      </c>
      <c r="C1033" s="37" t="s">
        <v>2835</v>
      </c>
      <c r="D1033" s="37" t="s">
        <v>2836</v>
      </c>
      <c r="E1033" s="37" t="s">
        <v>2730</v>
      </c>
      <c r="F1033" s="37" t="s">
        <v>2761</v>
      </c>
      <c r="G1033" s="37" t="s">
        <v>2761</v>
      </c>
      <c r="H1033" s="37" t="s">
        <v>2761</v>
      </c>
      <c r="I1033" s="37" t="s">
        <v>102</v>
      </c>
      <c r="J1033" s="37" t="s">
        <v>102</v>
      </c>
      <c r="K1033" s="37" t="s">
        <v>90</v>
      </c>
      <c r="L1033" s="36">
        <v>2</v>
      </c>
      <c r="M1033" s="36">
        <v>2</v>
      </c>
      <c r="N1033" s="36">
        <v>2</v>
      </c>
      <c r="O1033" s="36">
        <v>3</v>
      </c>
      <c r="P1033" s="37" t="s">
        <v>292</v>
      </c>
      <c r="Q1033" s="37"/>
      <c r="R1033" s="37" t="s">
        <v>3002</v>
      </c>
    </row>
    <row r="1034" spans="1:18" ht="27.7" thickBot="1" x14ac:dyDescent="0.55000000000000004">
      <c r="A1034" s="36">
        <v>1212</v>
      </c>
      <c r="B1034" s="37" t="s">
        <v>3003</v>
      </c>
      <c r="C1034" s="37" t="s">
        <v>2840</v>
      </c>
      <c r="D1034" s="37" t="s">
        <v>2768</v>
      </c>
      <c r="E1034" s="37" t="s">
        <v>2730</v>
      </c>
      <c r="F1034" s="37" t="s">
        <v>2771</v>
      </c>
      <c r="G1034" s="37" t="s">
        <v>2771</v>
      </c>
      <c r="H1034" s="37" t="s">
        <v>2771</v>
      </c>
      <c r="I1034" s="37" t="s">
        <v>90</v>
      </c>
      <c r="J1034" s="37" t="s">
        <v>90</v>
      </c>
      <c r="K1034" s="37" t="s">
        <v>90</v>
      </c>
      <c r="L1034" s="36">
        <v>2</v>
      </c>
      <c r="M1034" s="36">
        <v>2</v>
      </c>
      <c r="N1034" s="36">
        <v>2</v>
      </c>
      <c r="O1034" s="36">
        <v>4</v>
      </c>
      <c r="P1034" s="37" t="s">
        <v>292</v>
      </c>
      <c r="Q1034" s="37"/>
      <c r="R1034" s="37" t="s">
        <v>3004</v>
      </c>
    </row>
    <row r="1035" spans="1:18" ht="27.7" thickBot="1" x14ac:dyDescent="0.55000000000000004">
      <c r="A1035" s="36">
        <v>1213</v>
      </c>
      <c r="B1035" s="37" t="s">
        <v>3005</v>
      </c>
      <c r="C1035" s="37" t="s">
        <v>3006</v>
      </c>
      <c r="D1035" s="37" t="s">
        <v>2768</v>
      </c>
      <c r="E1035" s="37" t="s">
        <v>2730</v>
      </c>
      <c r="F1035" s="37" t="s">
        <v>2771</v>
      </c>
      <c r="G1035" s="37" t="s">
        <v>2771</v>
      </c>
      <c r="H1035" s="37" t="s">
        <v>2771</v>
      </c>
      <c r="I1035" s="37" t="s">
        <v>102</v>
      </c>
      <c r="J1035" s="37" t="s">
        <v>102</v>
      </c>
      <c r="K1035" s="37" t="s">
        <v>102</v>
      </c>
      <c r="L1035" s="36">
        <v>4</v>
      </c>
      <c r="M1035" s="36">
        <v>4</v>
      </c>
      <c r="N1035" s="36">
        <v>4</v>
      </c>
      <c r="O1035" s="36">
        <v>5</v>
      </c>
      <c r="P1035" s="37" t="s">
        <v>292</v>
      </c>
      <c r="Q1035" s="37"/>
      <c r="R1035" s="37" t="s">
        <v>3007</v>
      </c>
    </row>
    <row r="1036" spans="1:18" ht="27.7" thickBot="1" x14ac:dyDescent="0.55000000000000004">
      <c r="A1036" s="36">
        <v>1214</v>
      </c>
      <c r="B1036" s="37" t="s">
        <v>3008</v>
      </c>
      <c r="C1036" s="37" t="s">
        <v>2728</v>
      </c>
      <c r="D1036" s="37" t="s">
        <v>2729</v>
      </c>
      <c r="E1036" s="37" t="s">
        <v>2730</v>
      </c>
      <c r="F1036" s="37" t="s">
        <v>2731</v>
      </c>
      <c r="G1036" s="37" t="s">
        <v>2731</v>
      </c>
      <c r="H1036" s="37" t="s">
        <v>2731</v>
      </c>
      <c r="I1036" s="37" t="s">
        <v>90</v>
      </c>
      <c r="J1036" s="37" t="s">
        <v>90</v>
      </c>
      <c r="K1036" s="37" t="s">
        <v>90</v>
      </c>
      <c r="L1036" s="36">
        <v>3</v>
      </c>
      <c r="M1036" s="36">
        <v>3</v>
      </c>
      <c r="N1036" s="36">
        <v>3</v>
      </c>
      <c r="O1036" s="36">
        <v>4</v>
      </c>
      <c r="P1036" s="37" t="s">
        <v>265</v>
      </c>
      <c r="Q1036" s="37"/>
      <c r="R1036" s="37" t="s">
        <v>3009</v>
      </c>
    </row>
    <row r="1037" spans="1:18" ht="27.7" thickBot="1" x14ac:dyDescent="0.55000000000000004">
      <c r="A1037" s="36">
        <v>1215</v>
      </c>
      <c r="B1037" s="37" t="s">
        <v>3010</v>
      </c>
      <c r="C1037" s="37" t="s">
        <v>2967</v>
      </c>
      <c r="D1037" s="37" t="s">
        <v>2967</v>
      </c>
      <c r="E1037" s="37" t="s">
        <v>2730</v>
      </c>
      <c r="F1037" s="37" t="s">
        <v>2966</v>
      </c>
      <c r="G1037" s="37" t="s">
        <v>2966</v>
      </c>
      <c r="H1037" s="37" t="s">
        <v>2966</v>
      </c>
      <c r="I1037" s="37" t="s">
        <v>92</v>
      </c>
      <c r="J1037" s="37" t="s">
        <v>92</v>
      </c>
      <c r="K1037" s="37" t="s">
        <v>92</v>
      </c>
      <c r="L1037" s="36">
        <v>3</v>
      </c>
      <c r="M1037" s="36">
        <v>3</v>
      </c>
      <c r="N1037" s="36">
        <v>3</v>
      </c>
      <c r="O1037" s="36">
        <v>5</v>
      </c>
      <c r="P1037" s="37" t="s">
        <v>265</v>
      </c>
      <c r="Q1037" s="37"/>
      <c r="R1037" s="37" t="s">
        <v>3011</v>
      </c>
    </row>
    <row r="1038" spans="1:18" ht="27.7" thickBot="1" x14ac:dyDescent="0.55000000000000004">
      <c r="A1038" s="36">
        <v>1216</v>
      </c>
      <c r="B1038" s="37" t="s">
        <v>3012</v>
      </c>
      <c r="C1038" s="37" t="s">
        <v>2747</v>
      </c>
      <c r="D1038" s="37" t="s">
        <v>2748</v>
      </c>
      <c r="E1038" s="37" t="s">
        <v>2730</v>
      </c>
      <c r="F1038" s="37" t="s">
        <v>2749</v>
      </c>
      <c r="G1038" s="37" t="s">
        <v>2749</v>
      </c>
      <c r="H1038" s="37" t="s">
        <v>2749</v>
      </c>
      <c r="I1038" s="37" t="s">
        <v>102</v>
      </c>
      <c r="J1038" s="37" t="s">
        <v>102</v>
      </c>
      <c r="K1038" s="37" t="s">
        <v>102</v>
      </c>
      <c r="L1038" s="36">
        <v>3</v>
      </c>
      <c r="M1038" s="36">
        <v>3</v>
      </c>
      <c r="N1038" s="36">
        <v>3</v>
      </c>
      <c r="O1038" s="36">
        <v>4</v>
      </c>
      <c r="P1038" s="37" t="s">
        <v>292</v>
      </c>
      <c r="Q1038" s="37"/>
      <c r="R1038" s="37" t="s">
        <v>3013</v>
      </c>
    </row>
    <row r="1039" spans="1:18" ht="27.7" thickBot="1" x14ac:dyDescent="0.55000000000000004">
      <c r="A1039" s="36">
        <v>1217</v>
      </c>
      <c r="B1039" s="37" t="s">
        <v>3014</v>
      </c>
      <c r="C1039" s="37" t="s">
        <v>2747</v>
      </c>
      <c r="D1039" s="37" t="s">
        <v>2748</v>
      </c>
      <c r="E1039" s="37" t="s">
        <v>2730</v>
      </c>
      <c r="F1039" s="37" t="s">
        <v>2749</v>
      </c>
      <c r="G1039" s="37" t="s">
        <v>2749</v>
      </c>
      <c r="H1039" s="37" t="s">
        <v>2749</v>
      </c>
      <c r="I1039" s="37" t="s">
        <v>102</v>
      </c>
      <c r="J1039" s="37" t="s">
        <v>102</v>
      </c>
      <c r="K1039" s="37" t="s">
        <v>102</v>
      </c>
      <c r="L1039" s="36">
        <v>2</v>
      </c>
      <c r="M1039" s="36">
        <v>2</v>
      </c>
      <c r="N1039" s="36">
        <v>2</v>
      </c>
      <c r="O1039" s="36">
        <v>3</v>
      </c>
      <c r="P1039" s="37" t="s">
        <v>292</v>
      </c>
      <c r="Q1039" s="37"/>
      <c r="R1039" s="37" t="s">
        <v>3015</v>
      </c>
    </row>
    <row r="1040" spans="1:18" ht="27.7" thickBot="1" x14ac:dyDescent="0.55000000000000004">
      <c r="A1040" s="36">
        <v>1218</v>
      </c>
      <c r="B1040" s="37" t="s">
        <v>3016</v>
      </c>
      <c r="C1040" s="37" t="s">
        <v>2757</v>
      </c>
      <c r="D1040" s="37" t="s">
        <v>2748</v>
      </c>
      <c r="E1040" s="37" t="s">
        <v>2730</v>
      </c>
      <c r="F1040" s="37" t="s">
        <v>2749</v>
      </c>
      <c r="G1040" s="37" t="s">
        <v>2749</v>
      </c>
      <c r="H1040" s="37" t="s">
        <v>2749</v>
      </c>
      <c r="I1040" s="37" t="s">
        <v>90</v>
      </c>
      <c r="J1040" s="37" t="s">
        <v>90</v>
      </c>
      <c r="K1040" s="37" t="s">
        <v>90</v>
      </c>
      <c r="L1040" s="36">
        <v>4</v>
      </c>
      <c r="M1040" s="36">
        <v>4</v>
      </c>
      <c r="N1040" s="36">
        <v>4</v>
      </c>
      <c r="O1040" s="36">
        <v>6</v>
      </c>
      <c r="P1040" s="37" t="s">
        <v>292</v>
      </c>
      <c r="Q1040" s="37"/>
      <c r="R1040" s="37" t="s">
        <v>3017</v>
      </c>
    </row>
    <row r="1041" spans="1:18" ht="27.7" thickBot="1" x14ac:dyDescent="0.55000000000000004">
      <c r="A1041" s="36">
        <v>1219</v>
      </c>
      <c r="B1041" s="37" t="s">
        <v>3018</v>
      </c>
      <c r="C1041" s="37" t="s">
        <v>2752</v>
      </c>
      <c r="D1041" s="37" t="s">
        <v>2729</v>
      </c>
      <c r="E1041" s="37" t="s">
        <v>2730</v>
      </c>
      <c r="F1041" s="37" t="s">
        <v>2761</v>
      </c>
      <c r="G1041" s="37" t="s">
        <v>2761</v>
      </c>
      <c r="H1041" s="37" t="s">
        <v>2761</v>
      </c>
      <c r="I1041" s="37" t="s">
        <v>102</v>
      </c>
      <c r="J1041" s="37" t="s">
        <v>102</v>
      </c>
      <c r="K1041" s="37" t="s">
        <v>90</v>
      </c>
      <c r="L1041" s="36">
        <v>3</v>
      </c>
      <c r="M1041" s="36">
        <v>3</v>
      </c>
      <c r="N1041" s="36">
        <v>3</v>
      </c>
      <c r="O1041" s="36">
        <v>4</v>
      </c>
      <c r="P1041" s="37" t="s">
        <v>292</v>
      </c>
      <c r="Q1041" s="37"/>
      <c r="R1041" s="37" t="s">
        <v>3019</v>
      </c>
    </row>
    <row r="1042" spans="1:18" ht="27.7" thickBot="1" x14ac:dyDescent="0.55000000000000004">
      <c r="A1042" s="36">
        <v>1220</v>
      </c>
      <c r="B1042" s="37" t="s">
        <v>3020</v>
      </c>
      <c r="C1042" s="37" t="s">
        <v>2767</v>
      </c>
      <c r="D1042" s="37" t="s">
        <v>2768</v>
      </c>
      <c r="E1042" s="37" t="s">
        <v>2730</v>
      </c>
      <c r="F1042" s="37" t="s">
        <v>2771</v>
      </c>
      <c r="G1042" s="37" t="s">
        <v>2771</v>
      </c>
      <c r="H1042" s="37" t="s">
        <v>2771</v>
      </c>
      <c r="I1042" s="37" t="s">
        <v>102</v>
      </c>
      <c r="J1042" s="37" t="s">
        <v>102</v>
      </c>
      <c r="K1042" s="37" t="s">
        <v>102</v>
      </c>
      <c r="L1042" s="36">
        <v>4</v>
      </c>
      <c r="M1042" s="36">
        <v>4</v>
      </c>
      <c r="N1042" s="36">
        <v>4</v>
      </c>
      <c r="O1042" s="36">
        <v>6</v>
      </c>
      <c r="P1042" s="37" t="s">
        <v>265</v>
      </c>
      <c r="Q1042" s="37"/>
      <c r="R1042" s="37" t="s">
        <v>3021</v>
      </c>
    </row>
    <row r="1043" spans="1:18" ht="27.7" thickBot="1" x14ac:dyDescent="0.55000000000000004">
      <c r="A1043" s="36">
        <v>1221</v>
      </c>
      <c r="B1043" s="37" t="s">
        <v>3022</v>
      </c>
      <c r="C1043" s="37" t="s">
        <v>2764</v>
      </c>
      <c r="D1043" s="37" t="s">
        <v>2760</v>
      </c>
      <c r="E1043" s="37" t="s">
        <v>2730</v>
      </c>
      <c r="F1043" s="37" t="s">
        <v>2761</v>
      </c>
      <c r="G1043" s="37" t="s">
        <v>2761</v>
      </c>
      <c r="H1043" s="37" t="s">
        <v>2761</v>
      </c>
      <c r="I1043" s="37" t="s">
        <v>102</v>
      </c>
      <c r="J1043" s="37" t="s">
        <v>102</v>
      </c>
      <c r="K1043" s="37" t="s">
        <v>90</v>
      </c>
      <c r="L1043" s="36">
        <v>2</v>
      </c>
      <c r="M1043" s="36">
        <v>2</v>
      </c>
      <c r="N1043" s="36">
        <v>2</v>
      </c>
      <c r="O1043" s="36">
        <v>4</v>
      </c>
      <c r="P1043" s="37" t="s">
        <v>265</v>
      </c>
      <c r="Q1043" s="37"/>
      <c r="R1043" s="37" t="s">
        <v>3023</v>
      </c>
    </row>
    <row r="1044" spans="1:18" ht="41.35" thickBot="1" x14ac:dyDescent="0.55000000000000004">
      <c r="A1044" s="36">
        <v>1222</v>
      </c>
      <c r="B1044" s="37" t="s">
        <v>3024</v>
      </c>
      <c r="C1044" s="37" t="s">
        <v>2764</v>
      </c>
      <c r="D1044" s="37" t="s">
        <v>2760</v>
      </c>
      <c r="E1044" s="37" t="s">
        <v>2730</v>
      </c>
      <c r="F1044" s="37" t="s">
        <v>2761</v>
      </c>
      <c r="G1044" s="37" t="s">
        <v>2761</v>
      </c>
      <c r="H1044" s="37" t="s">
        <v>2761</v>
      </c>
      <c r="I1044" s="37" t="s">
        <v>90</v>
      </c>
      <c r="J1044" s="37" t="s">
        <v>90</v>
      </c>
      <c r="K1044" s="37" t="s">
        <v>90</v>
      </c>
      <c r="L1044" s="36">
        <v>1</v>
      </c>
      <c r="M1044" s="36">
        <v>1</v>
      </c>
      <c r="N1044" s="36">
        <v>1</v>
      </c>
      <c r="O1044" s="36">
        <v>3</v>
      </c>
      <c r="P1044" s="37" t="s">
        <v>292</v>
      </c>
      <c r="Q1044" s="37"/>
      <c r="R1044" s="37" t="s">
        <v>3025</v>
      </c>
    </row>
    <row r="1045" spans="1:18" ht="14.7" hidden="1" thickBot="1" x14ac:dyDescent="0.55000000000000004">
      <c r="A1045" s="36">
        <v>1223</v>
      </c>
      <c r="B1045" s="37" t="s">
        <v>3026</v>
      </c>
      <c r="C1045" s="37" t="s">
        <v>3026</v>
      </c>
      <c r="D1045" s="37" t="s">
        <v>2644</v>
      </c>
      <c r="E1045" s="37" t="s">
        <v>1785</v>
      </c>
      <c r="F1045" s="37" t="s">
        <v>1821</v>
      </c>
      <c r="G1045" s="37" t="s">
        <v>1821</v>
      </c>
      <c r="H1045" s="37" t="s">
        <v>1840</v>
      </c>
      <c r="I1045" s="37" t="s">
        <v>1465</v>
      </c>
      <c r="J1045" s="37" t="s">
        <v>1465</v>
      </c>
      <c r="K1045" s="37" t="s">
        <v>1465</v>
      </c>
      <c r="L1045" s="36">
        <v>1</v>
      </c>
      <c r="M1045" s="36">
        <v>1</v>
      </c>
      <c r="N1045" s="36">
        <v>1</v>
      </c>
      <c r="O1045" s="36">
        <v>2</v>
      </c>
      <c r="P1045" s="37" t="s">
        <v>292</v>
      </c>
      <c r="Q1045" s="37"/>
      <c r="R1045" s="37" t="s">
        <v>3027</v>
      </c>
    </row>
    <row r="1046" spans="1:18" ht="27.7" thickBot="1" x14ac:dyDescent="0.55000000000000004">
      <c r="A1046" s="36">
        <v>1224</v>
      </c>
      <c r="B1046" s="37" t="s">
        <v>3028</v>
      </c>
      <c r="C1046" s="37" t="s">
        <v>2782</v>
      </c>
      <c r="D1046" s="37" t="s">
        <v>2783</v>
      </c>
      <c r="E1046" s="37" t="s">
        <v>2784</v>
      </c>
      <c r="F1046" s="37" t="s">
        <v>2788</v>
      </c>
      <c r="G1046" s="37" t="s">
        <v>2788</v>
      </c>
      <c r="H1046" s="37" t="s">
        <v>2788</v>
      </c>
      <c r="I1046" s="37" t="s">
        <v>90</v>
      </c>
      <c r="J1046" s="37" t="s">
        <v>90</v>
      </c>
      <c r="K1046" s="37" t="s">
        <v>90</v>
      </c>
      <c r="L1046" s="36">
        <v>2</v>
      </c>
      <c r="M1046" s="36">
        <v>2</v>
      </c>
      <c r="N1046" s="36">
        <v>2</v>
      </c>
      <c r="O1046" s="36">
        <v>4</v>
      </c>
      <c r="P1046" s="37" t="s">
        <v>265</v>
      </c>
      <c r="Q1046" s="37"/>
      <c r="R1046" s="37" t="s">
        <v>3029</v>
      </c>
    </row>
    <row r="1047" spans="1:18" ht="27.7" thickBot="1" x14ac:dyDescent="0.55000000000000004">
      <c r="A1047" s="36">
        <v>1225</v>
      </c>
      <c r="B1047" s="37" t="s">
        <v>3030</v>
      </c>
      <c r="C1047" s="37" t="s">
        <v>2782</v>
      </c>
      <c r="D1047" s="37" t="s">
        <v>2783</v>
      </c>
      <c r="E1047" s="37" t="s">
        <v>2784</v>
      </c>
      <c r="F1047" s="37" t="s">
        <v>2788</v>
      </c>
      <c r="G1047" s="37" t="s">
        <v>2788</v>
      </c>
      <c r="H1047" s="37" t="s">
        <v>2788</v>
      </c>
      <c r="I1047" s="37" t="s">
        <v>92</v>
      </c>
      <c r="J1047" s="37" t="s">
        <v>92</v>
      </c>
      <c r="K1047" s="37" t="s">
        <v>92</v>
      </c>
      <c r="L1047" s="36">
        <v>3</v>
      </c>
      <c r="M1047" s="36">
        <v>3</v>
      </c>
      <c r="N1047" s="36">
        <v>3</v>
      </c>
      <c r="O1047" s="36">
        <v>4</v>
      </c>
      <c r="P1047" s="37" t="s">
        <v>265</v>
      </c>
      <c r="Q1047" s="37"/>
      <c r="R1047" s="37" t="s">
        <v>3031</v>
      </c>
    </row>
    <row r="1048" spans="1:18" ht="27.7" thickBot="1" x14ac:dyDescent="0.55000000000000004">
      <c r="A1048" s="36">
        <v>1226</v>
      </c>
      <c r="B1048" s="37" t="s">
        <v>3032</v>
      </c>
      <c r="C1048" s="37" t="s">
        <v>3033</v>
      </c>
      <c r="D1048" s="37" t="s">
        <v>2783</v>
      </c>
      <c r="E1048" s="37" t="s">
        <v>2784</v>
      </c>
      <c r="F1048" s="37" t="s">
        <v>2788</v>
      </c>
      <c r="G1048" s="37" t="s">
        <v>2788</v>
      </c>
      <c r="H1048" s="37" t="s">
        <v>2788</v>
      </c>
      <c r="I1048" s="37" t="s">
        <v>90</v>
      </c>
      <c r="J1048" s="37" t="s">
        <v>90</v>
      </c>
      <c r="K1048" s="37" t="s">
        <v>90</v>
      </c>
      <c r="L1048" s="36">
        <v>2</v>
      </c>
      <c r="M1048" s="36">
        <v>2</v>
      </c>
      <c r="N1048" s="36">
        <v>2</v>
      </c>
      <c r="O1048" s="36">
        <v>4</v>
      </c>
      <c r="P1048" s="37" t="s">
        <v>292</v>
      </c>
      <c r="Q1048" s="37"/>
      <c r="R1048" s="37" t="s">
        <v>3034</v>
      </c>
    </row>
    <row r="1049" spans="1:18" ht="27.7" thickBot="1" x14ac:dyDescent="0.55000000000000004">
      <c r="A1049" s="36">
        <v>1227</v>
      </c>
      <c r="B1049" s="37" t="s">
        <v>3035</v>
      </c>
      <c r="C1049" s="37" t="s">
        <v>3033</v>
      </c>
      <c r="D1049" s="37" t="s">
        <v>2783</v>
      </c>
      <c r="E1049" s="37" t="s">
        <v>2784</v>
      </c>
      <c r="F1049" s="37" t="s">
        <v>2788</v>
      </c>
      <c r="G1049" s="37" t="s">
        <v>2788</v>
      </c>
      <c r="H1049" s="37" t="s">
        <v>2788</v>
      </c>
      <c r="I1049" s="37" t="s">
        <v>90</v>
      </c>
      <c r="J1049" s="37" t="s">
        <v>90</v>
      </c>
      <c r="K1049" s="37" t="s">
        <v>90</v>
      </c>
      <c r="L1049" s="36">
        <v>1</v>
      </c>
      <c r="M1049" s="36">
        <v>1</v>
      </c>
      <c r="N1049" s="36">
        <v>1</v>
      </c>
      <c r="O1049" s="36">
        <v>3</v>
      </c>
      <c r="P1049" s="37" t="s">
        <v>292</v>
      </c>
      <c r="Q1049" s="37"/>
      <c r="R1049" s="37" t="s">
        <v>3036</v>
      </c>
    </row>
    <row r="1050" spans="1:18" ht="41.35" thickBot="1" x14ac:dyDescent="0.55000000000000004">
      <c r="A1050" s="36">
        <v>1228</v>
      </c>
      <c r="B1050" s="37" t="s">
        <v>3037</v>
      </c>
      <c r="C1050" s="37" t="s">
        <v>2782</v>
      </c>
      <c r="D1050" s="37" t="s">
        <v>2783</v>
      </c>
      <c r="E1050" s="37" t="s">
        <v>2784</v>
      </c>
      <c r="F1050" s="37" t="s">
        <v>2788</v>
      </c>
      <c r="G1050" s="37" t="s">
        <v>2788</v>
      </c>
      <c r="H1050" s="37" t="s">
        <v>2788</v>
      </c>
      <c r="I1050" s="37" t="s">
        <v>90</v>
      </c>
      <c r="J1050" s="37" t="s">
        <v>90</v>
      </c>
      <c r="K1050" s="37" t="s">
        <v>90</v>
      </c>
      <c r="L1050" s="36">
        <v>2</v>
      </c>
      <c r="M1050" s="36">
        <v>2</v>
      </c>
      <c r="N1050" s="36">
        <v>2</v>
      </c>
      <c r="O1050" s="36">
        <v>3</v>
      </c>
      <c r="P1050" s="37" t="s">
        <v>292</v>
      </c>
      <c r="Q1050" s="37"/>
      <c r="R1050" s="37" t="s">
        <v>3038</v>
      </c>
    </row>
    <row r="1051" spans="1:18" ht="27.7" thickBot="1" x14ac:dyDescent="0.55000000000000004">
      <c r="A1051" s="36">
        <v>1229</v>
      </c>
      <c r="B1051" s="37" t="s">
        <v>3039</v>
      </c>
      <c r="C1051" s="37" t="s">
        <v>2787</v>
      </c>
      <c r="D1051" s="37" t="s">
        <v>2783</v>
      </c>
      <c r="E1051" s="37" t="s">
        <v>2784</v>
      </c>
      <c r="F1051" s="37" t="s">
        <v>2788</v>
      </c>
      <c r="G1051" s="37" t="s">
        <v>2788</v>
      </c>
      <c r="H1051" s="37" t="s">
        <v>2788</v>
      </c>
      <c r="I1051" s="37" t="s">
        <v>92</v>
      </c>
      <c r="J1051" s="37" t="s">
        <v>92</v>
      </c>
      <c r="K1051" s="37" t="s">
        <v>92</v>
      </c>
      <c r="L1051" s="36">
        <v>2</v>
      </c>
      <c r="M1051" s="36">
        <v>2</v>
      </c>
      <c r="N1051" s="36">
        <v>2</v>
      </c>
      <c r="O1051" s="36">
        <v>3</v>
      </c>
      <c r="P1051" s="37" t="s">
        <v>292</v>
      </c>
      <c r="Q1051" s="37"/>
      <c r="R1051" s="37" t="s">
        <v>3040</v>
      </c>
    </row>
    <row r="1052" spans="1:18" ht="27.7" thickBot="1" x14ac:dyDescent="0.55000000000000004">
      <c r="A1052" s="36">
        <v>1230</v>
      </c>
      <c r="B1052" s="37" t="s">
        <v>3041</v>
      </c>
      <c r="C1052" s="37" t="s">
        <v>2864</v>
      </c>
      <c r="D1052" s="37" t="s">
        <v>2783</v>
      </c>
      <c r="E1052" s="37" t="s">
        <v>2784</v>
      </c>
      <c r="F1052" s="37" t="s">
        <v>2788</v>
      </c>
      <c r="G1052" s="37" t="s">
        <v>2788</v>
      </c>
      <c r="H1052" s="37" t="s">
        <v>2788</v>
      </c>
      <c r="I1052" s="37" t="s">
        <v>90</v>
      </c>
      <c r="J1052" s="37" t="s">
        <v>90</v>
      </c>
      <c r="K1052" s="37" t="s">
        <v>90</v>
      </c>
      <c r="L1052" s="36">
        <v>3</v>
      </c>
      <c r="M1052" s="36">
        <v>3</v>
      </c>
      <c r="N1052" s="36">
        <v>3</v>
      </c>
      <c r="O1052" s="36">
        <v>5</v>
      </c>
      <c r="P1052" s="37" t="s">
        <v>292</v>
      </c>
      <c r="Q1052" s="37"/>
      <c r="R1052" s="37" t="s">
        <v>3042</v>
      </c>
    </row>
    <row r="1053" spans="1:18" ht="27.7" thickBot="1" x14ac:dyDescent="0.55000000000000004">
      <c r="A1053" s="36">
        <v>1231</v>
      </c>
      <c r="B1053" s="37" t="s">
        <v>3043</v>
      </c>
      <c r="C1053" s="37" t="s">
        <v>2787</v>
      </c>
      <c r="D1053" s="37" t="s">
        <v>2783</v>
      </c>
      <c r="E1053" s="37" t="s">
        <v>2784</v>
      </c>
      <c r="F1053" s="37" t="s">
        <v>2788</v>
      </c>
      <c r="G1053" s="37" t="s">
        <v>2788</v>
      </c>
      <c r="H1053" s="37" t="s">
        <v>2788</v>
      </c>
      <c r="I1053" s="37" t="s">
        <v>92</v>
      </c>
      <c r="J1053" s="37" t="s">
        <v>92</v>
      </c>
      <c r="K1053" s="37" t="s">
        <v>92</v>
      </c>
      <c r="L1053" s="36">
        <v>3</v>
      </c>
      <c r="M1053" s="36">
        <v>3</v>
      </c>
      <c r="N1053" s="36">
        <v>3</v>
      </c>
      <c r="O1053" s="36">
        <v>5</v>
      </c>
      <c r="P1053" s="37" t="s">
        <v>265</v>
      </c>
      <c r="Q1053" s="37"/>
      <c r="R1053" s="37" t="s">
        <v>3044</v>
      </c>
    </row>
    <row r="1054" spans="1:18" ht="27.7" thickBot="1" x14ac:dyDescent="0.55000000000000004">
      <c r="A1054" s="36">
        <v>1232</v>
      </c>
      <c r="B1054" s="37" t="s">
        <v>3045</v>
      </c>
      <c r="C1054" s="37" t="s">
        <v>3046</v>
      </c>
      <c r="D1054" s="37" t="s">
        <v>2797</v>
      </c>
      <c r="E1054" s="37" t="s">
        <v>2784</v>
      </c>
      <c r="F1054" s="37" t="s">
        <v>2788</v>
      </c>
      <c r="G1054" s="37" t="s">
        <v>2788</v>
      </c>
      <c r="H1054" s="37" t="s">
        <v>2788</v>
      </c>
      <c r="I1054" s="37" t="s">
        <v>92</v>
      </c>
      <c r="J1054" s="37" t="s">
        <v>92</v>
      </c>
      <c r="K1054" s="37" t="s">
        <v>92</v>
      </c>
      <c r="L1054" s="36">
        <v>3</v>
      </c>
      <c r="M1054" s="36">
        <v>3</v>
      </c>
      <c r="N1054" s="36">
        <v>3</v>
      </c>
      <c r="O1054" s="36">
        <v>4</v>
      </c>
      <c r="P1054" s="37" t="s">
        <v>265</v>
      </c>
      <c r="Q1054" s="37"/>
      <c r="R1054" s="37" t="s">
        <v>3047</v>
      </c>
    </row>
    <row r="1055" spans="1:18" ht="27.7" thickBot="1" x14ac:dyDescent="0.55000000000000004">
      <c r="A1055" s="36">
        <v>1233</v>
      </c>
      <c r="B1055" s="37" t="s">
        <v>3048</v>
      </c>
      <c r="C1055" s="37" t="s">
        <v>3049</v>
      </c>
      <c r="D1055" s="37" t="s">
        <v>2797</v>
      </c>
      <c r="E1055" s="37" t="s">
        <v>2784</v>
      </c>
      <c r="F1055" s="37" t="s">
        <v>2798</v>
      </c>
      <c r="G1055" s="37" t="s">
        <v>2798</v>
      </c>
      <c r="H1055" s="37" t="s">
        <v>2798</v>
      </c>
      <c r="I1055" s="37" t="s">
        <v>92</v>
      </c>
      <c r="J1055" s="37" t="s">
        <v>92</v>
      </c>
      <c r="K1055" s="37" t="s">
        <v>92</v>
      </c>
      <c r="L1055" s="36">
        <v>3</v>
      </c>
      <c r="M1055" s="36">
        <v>3</v>
      </c>
      <c r="N1055" s="36">
        <v>3</v>
      </c>
      <c r="O1055" s="36">
        <v>5</v>
      </c>
      <c r="P1055" s="37" t="s">
        <v>292</v>
      </c>
      <c r="Q1055" s="37"/>
      <c r="R1055" s="37" t="s">
        <v>3050</v>
      </c>
    </row>
    <row r="1056" spans="1:18" ht="27.7" thickBot="1" x14ac:dyDescent="0.55000000000000004">
      <c r="A1056" s="36">
        <v>1234</v>
      </c>
      <c r="B1056" s="37" t="s">
        <v>3051</v>
      </c>
      <c r="C1056" s="37" t="s">
        <v>3052</v>
      </c>
      <c r="D1056" s="37" t="s">
        <v>1717</v>
      </c>
      <c r="E1056" s="37" t="s">
        <v>2784</v>
      </c>
      <c r="F1056" s="37" t="s">
        <v>2798</v>
      </c>
      <c r="G1056" s="37" t="s">
        <v>2798</v>
      </c>
      <c r="H1056" s="37" t="s">
        <v>2798</v>
      </c>
      <c r="I1056" s="37" t="s">
        <v>92</v>
      </c>
      <c r="J1056" s="37" t="s">
        <v>92</v>
      </c>
      <c r="K1056" s="37" t="s">
        <v>92</v>
      </c>
      <c r="L1056" s="36">
        <v>1</v>
      </c>
      <c r="M1056" s="36">
        <v>1</v>
      </c>
      <c r="N1056" s="36">
        <v>1</v>
      </c>
      <c r="O1056" s="36">
        <v>2</v>
      </c>
      <c r="P1056" s="37" t="s">
        <v>292</v>
      </c>
      <c r="Q1056" s="37"/>
      <c r="R1056" s="37" t="s">
        <v>3053</v>
      </c>
    </row>
    <row r="1057" spans="1:18" ht="27.7" thickBot="1" x14ac:dyDescent="0.55000000000000004">
      <c r="A1057" s="36">
        <v>1235</v>
      </c>
      <c r="B1057" s="37" t="s">
        <v>3054</v>
      </c>
      <c r="C1057" s="37" t="s">
        <v>3046</v>
      </c>
      <c r="D1057" s="37" t="s">
        <v>2797</v>
      </c>
      <c r="E1057" s="37" t="s">
        <v>2784</v>
      </c>
      <c r="F1057" s="37" t="s">
        <v>2798</v>
      </c>
      <c r="G1057" s="37" t="s">
        <v>2798</v>
      </c>
      <c r="H1057" s="37" t="s">
        <v>2798</v>
      </c>
      <c r="I1057" s="37" t="s">
        <v>92</v>
      </c>
      <c r="J1057" s="37" t="s">
        <v>92</v>
      </c>
      <c r="K1057" s="37" t="s">
        <v>92</v>
      </c>
      <c r="L1057" s="36">
        <v>2</v>
      </c>
      <c r="M1057" s="36">
        <v>2</v>
      </c>
      <c r="N1057" s="36">
        <v>2</v>
      </c>
      <c r="O1057" s="36">
        <v>4</v>
      </c>
      <c r="P1057" s="37" t="s">
        <v>265</v>
      </c>
      <c r="Q1057" s="37"/>
      <c r="R1057" s="37" t="s">
        <v>3055</v>
      </c>
    </row>
    <row r="1058" spans="1:18" ht="27.7" thickBot="1" x14ac:dyDescent="0.55000000000000004">
      <c r="A1058" s="36">
        <v>1236</v>
      </c>
      <c r="B1058" s="37" t="s">
        <v>3056</v>
      </c>
      <c r="C1058" s="37" t="s">
        <v>2796</v>
      </c>
      <c r="D1058" s="37" t="s">
        <v>2797</v>
      </c>
      <c r="E1058" s="37" t="s">
        <v>2784</v>
      </c>
      <c r="F1058" s="37" t="s">
        <v>2798</v>
      </c>
      <c r="G1058" s="37" t="s">
        <v>2798</v>
      </c>
      <c r="H1058" s="37" t="s">
        <v>2798</v>
      </c>
      <c r="I1058" s="37" t="s">
        <v>92</v>
      </c>
      <c r="J1058" s="37" t="s">
        <v>92</v>
      </c>
      <c r="K1058" s="37" t="s">
        <v>92</v>
      </c>
      <c r="L1058" s="36">
        <v>2</v>
      </c>
      <c r="M1058" s="36">
        <v>2</v>
      </c>
      <c r="N1058" s="36">
        <v>2</v>
      </c>
      <c r="O1058" s="36">
        <v>3</v>
      </c>
      <c r="P1058" s="37" t="s">
        <v>265</v>
      </c>
      <c r="Q1058" s="37"/>
      <c r="R1058" s="37" t="s">
        <v>3057</v>
      </c>
    </row>
    <row r="1059" spans="1:18" ht="27.7" thickBot="1" x14ac:dyDescent="0.55000000000000004">
      <c r="A1059" s="36">
        <v>1237</v>
      </c>
      <c r="B1059" s="37" t="s">
        <v>3058</v>
      </c>
      <c r="C1059" s="37" t="s">
        <v>3052</v>
      </c>
      <c r="D1059" s="37" t="s">
        <v>1717</v>
      </c>
      <c r="E1059" s="37" t="s">
        <v>2784</v>
      </c>
      <c r="F1059" s="37" t="s">
        <v>2798</v>
      </c>
      <c r="G1059" s="37" t="s">
        <v>2798</v>
      </c>
      <c r="H1059" s="37" t="s">
        <v>2798</v>
      </c>
      <c r="I1059" s="37" t="s">
        <v>92</v>
      </c>
      <c r="J1059" s="37" t="s">
        <v>92</v>
      </c>
      <c r="K1059" s="37" t="s">
        <v>92</v>
      </c>
      <c r="L1059" s="36">
        <v>2</v>
      </c>
      <c r="M1059" s="36">
        <v>2</v>
      </c>
      <c r="N1059" s="36">
        <v>2</v>
      </c>
      <c r="O1059" s="36">
        <v>2</v>
      </c>
      <c r="P1059" s="37" t="s">
        <v>292</v>
      </c>
      <c r="Q1059" s="37"/>
      <c r="R1059" s="37" t="s">
        <v>3059</v>
      </c>
    </row>
    <row r="1060" spans="1:18" ht="27.7" thickBot="1" x14ac:dyDescent="0.55000000000000004">
      <c r="A1060" s="36">
        <v>1238</v>
      </c>
      <c r="B1060" s="37" t="s">
        <v>3060</v>
      </c>
      <c r="C1060" s="37" t="s">
        <v>3046</v>
      </c>
      <c r="D1060" s="37" t="s">
        <v>2797</v>
      </c>
      <c r="E1060" s="37" t="s">
        <v>2784</v>
      </c>
      <c r="F1060" s="37" t="s">
        <v>2798</v>
      </c>
      <c r="G1060" s="37" t="s">
        <v>2798</v>
      </c>
      <c r="H1060" s="37" t="s">
        <v>2798</v>
      </c>
      <c r="I1060" s="37" t="s">
        <v>92</v>
      </c>
      <c r="J1060" s="37" t="s">
        <v>92</v>
      </c>
      <c r="K1060" s="37" t="s">
        <v>92</v>
      </c>
      <c r="L1060" s="36">
        <v>3</v>
      </c>
      <c r="M1060" s="36">
        <v>3</v>
      </c>
      <c r="N1060" s="36">
        <v>3</v>
      </c>
      <c r="O1060" s="36">
        <v>5</v>
      </c>
      <c r="P1060" s="37" t="s">
        <v>292</v>
      </c>
      <c r="Q1060" s="37"/>
      <c r="R1060" s="37" t="s">
        <v>3061</v>
      </c>
    </row>
    <row r="1061" spans="1:18" ht="27.7" thickBot="1" x14ac:dyDescent="0.55000000000000004">
      <c r="A1061" s="36">
        <v>1239</v>
      </c>
      <c r="B1061" s="37" t="s">
        <v>3062</v>
      </c>
      <c r="C1061" s="37" t="s">
        <v>3049</v>
      </c>
      <c r="D1061" s="37" t="s">
        <v>2797</v>
      </c>
      <c r="E1061" s="37" t="s">
        <v>2784</v>
      </c>
      <c r="F1061" s="37" t="s">
        <v>2798</v>
      </c>
      <c r="G1061" s="37" t="s">
        <v>2798</v>
      </c>
      <c r="H1061" s="37" t="s">
        <v>2798</v>
      </c>
      <c r="I1061" s="37" t="s">
        <v>92</v>
      </c>
      <c r="J1061" s="37" t="s">
        <v>92</v>
      </c>
      <c r="K1061" s="37" t="s">
        <v>92</v>
      </c>
      <c r="L1061" s="36">
        <v>2</v>
      </c>
      <c r="M1061" s="36">
        <v>2</v>
      </c>
      <c r="N1061" s="36">
        <v>2</v>
      </c>
      <c r="O1061" s="36">
        <v>5</v>
      </c>
      <c r="P1061" s="37" t="s">
        <v>292</v>
      </c>
      <c r="Q1061" s="37"/>
      <c r="R1061" s="37" t="s">
        <v>3063</v>
      </c>
    </row>
    <row r="1062" spans="1:18" ht="41.35" thickBot="1" x14ac:dyDescent="0.55000000000000004">
      <c r="A1062" s="36">
        <v>1240</v>
      </c>
      <c r="B1062" s="37" t="s">
        <v>3064</v>
      </c>
      <c r="C1062" s="37" t="s">
        <v>2796</v>
      </c>
      <c r="D1062" s="37" t="s">
        <v>2797</v>
      </c>
      <c r="E1062" s="37" t="s">
        <v>2784</v>
      </c>
      <c r="F1062" s="37" t="s">
        <v>2798</v>
      </c>
      <c r="G1062" s="37" t="s">
        <v>2798</v>
      </c>
      <c r="H1062" s="37" t="s">
        <v>2798</v>
      </c>
      <c r="I1062" s="37" t="s">
        <v>92</v>
      </c>
      <c r="J1062" s="37" t="s">
        <v>92</v>
      </c>
      <c r="K1062" s="37" t="s">
        <v>92</v>
      </c>
      <c r="L1062" s="36">
        <v>2</v>
      </c>
      <c r="M1062" s="36">
        <v>2</v>
      </c>
      <c r="N1062" s="36">
        <v>2</v>
      </c>
      <c r="O1062" s="36">
        <v>3</v>
      </c>
      <c r="P1062" s="37" t="s">
        <v>292</v>
      </c>
      <c r="Q1062" s="37"/>
      <c r="R1062" s="37" t="s">
        <v>3065</v>
      </c>
    </row>
    <row r="1063" spans="1:18" ht="27.7" thickBot="1" x14ac:dyDescent="0.55000000000000004">
      <c r="A1063" s="36">
        <v>1241</v>
      </c>
      <c r="B1063" s="37" t="s">
        <v>3052</v>
      </c>
      <c r="C1063" s="37" t="s">
        <v>3052</v>
      </c>
      <c r="D1063" s="37" t="s">
        <v>1717</v>
      </c>
      <c r="E1063" s="37" t="s">
        <v>2784</v>
      </c>
      <c r="F1063" s="37" t="s">
        <v>2798</v>
      </c>
      <c r="G1063" s="37" t="s">
        <v>2798</v>
      </c>
      <c r="H1063" s="37" t="s">
        <v>2798</v>
      </c>
      <c r="I1063" s="37" t="s">
        <v>92</v>
      </c>
      <c r="J1063" s="37" t="s">
        <v>92</v>
      </c>
      <c r="K1063" s="37" t="s">
        <v>92</v>
      </c>
      <c r="L1063" s="36">
        <v>2</v>
      </c>
      <c r="M1063" s="36">
        <v>2</v>
      </c>
      <c r="N1063" s="36">
        <v>2</v>
      </c>
      <c r="O1063" s="36">
        <v>2</v>
      </c>
      <c r="P1063" s="37" t="s">
        <v>292</v>
      </c>
      <c r="Q1063" s="37"/>
      <c r="R1063" s="37" t="s">
        <v>3066</v>
      </c>
    </row>
    <row r="1064" spans="1:18" ht="27.7" thickBot="1" x14ac:dyDescent="0.55000000000000004">
      <c r="A1064" s="36">
        <v>1242</v>
      </c>
      <c r="B1064" s="37" t="s">
        <v>3067</v>
      </c>
      <c r="C1064" s="37" t="s">
        <v>2855</v>
      </c>
      <c r="D1064" s="37" t="s">
        <v>2797</v>
      </c>
      <c r="E1064" s="37" t="s">
        <v>2784</v>
      </c>
      <c r="F1064" s="37" t="s">
        <v>2798</v>
      </c>
      <c r="G1064" s="37" t="s">
        <v>2798</v>
      </c>
      <c r="H1064" s="37" t="s">
        <v>2798</v>
      </c>
      <c r="I1064" s="37" t="s">
        <v>92</v>
      </c>
      <c r="J1064" s="37" t="s">
        <v>92</v>
      </c>
      <c r="K1064" s="37" t="s">
        <v>92</v>
      </c>
      <c r="L1064" s="36">
        <v>3</v>
      </c>
      <c r="M1064" s="36">
        <v>3</v>
      </c>
      <c r="N1064" s="36">
        <v>3</v>
      </c>
      <c r="O1064" s="36">
        <v>4</v>
      </c>
      <c r="P1064" s="37" t="s">
        <v>292</v>
      </c>
      <c r="Q1064" s="37"/>
      <c r="R1064" s="37" t="s">
        <v>3068</v>
      </c>
    </row>
    <row r="1065" spans="1:18" ht="27.7" thickBot="1" x14ac:dyDescent="0.55000000000000004">
      <c r="A1065" s="36">
        <v>1243</v>
      </c>
      <c r="B1065" s="37" t="s">
        <v>2855</v>
      </c>
      <c r="C1065" s="37" t="s">
        <v>2855</v>
      </c>
      <c r="D1065" s="37" t="s">
        <v>2797</v>
      </c>
      <c r="E1065" s="37" t="s">
        <v>2784</v>
      </c>
      <c r="F1065" s="37" t="s">
        <v>2798</v>
      </c>
      <c r="G1065" s="37" t="s">
        <v>2798</v>
      </c>
      <c r="H1065" s="37" t="s">
        <v>2798</v>
      </c>
      <c r="I1065" s="37" t="s">
        <v>92</v>
      </c>
      <c r="J1065" s="37" t="s">
        <v>92</v>
      </c>
      <c r="K1065" s="37" t="s">
        <v>92</v>
      </c>
      <c r="L1065" s="36">
        <v>5</v>
      </c>
      <c r="M1065" s="36">
        <v>5</v>
      </c>
      <c r="N1065" s="36">
        <v>5</v>
      </c>
      <c r="O1065" s="36">
        <v>6</v>
      </c>
      <c r="P1065" s="37" t="s">
        <v>292</v>
      </c>
      <c r="Q1065" s="37"/>
      <c r="R1065" s="37" t="s">
        <v>3069</v>
      </c>
    </row>
    <row r="1066" spans="1:18" ht="27.7" thickBot="1" x14ac:dyDescent="0.55000000000000004">
      <c r="A1066" s="36">
        <v>1244</v>
      </c>
      <c r="B1066" s="37" t="s">
        <v>3070</v>
      </c>
      <c r="C1066" s="37" t="s">
        <v>3071</v>
      </c>
      <c r="D1066" s="37" t="s">
        <v>2925</v>
      </c>
      <c r="E1066" s="37" t="s">
        <v>2784</v>
      </c>
      <c r="F1066" s="37" t="s">
        <v>2926</v>
      </c>
      <c r="G1066" s="37" t="s">
        <v>2926</v>
      </c>
      <c r="H1066" s="37" t="s">
        <v>2926</v>
      </c>
      <c r="I1066" s="37" t="s">
        <v>92</v>
      </c>
      <c r="J1066" s="37" t="s">
        <v>92</v>
      </c>
      <c r="K1066" s="37" t="s">
        <v>92</v>
      </c>
      <c r="L1066" s="36">
        <v>2</v>
      </c>
      <c r="M1066" s="36">
        <v>2</v>
      </c>
      <c r="N1066" s="36">
        <v>2</v>
      </c>
      <c r="O1066" s="36">
        <v>4</v>
      </c>
      <c r="P1066" s="37" t="s">
        <v>292</v>
      </c>
      <c r="Q1066" s="37"/>
      <c r="R1066" s="37" t="s">
        <v>3072</v>
      </c>
    </row>
    <row r="1067" spans="1:18" ht="27.7" thickBot="1" x14ac:dyDescent="0.55000000000000004">
      <c r="A1067" s="36">
        <v>1245</v>
      </c>
      <c r="B1067" s="37" t="s">
        <v>3073</v>
      </c>
      <c r="C1067" s="37" t="s">
        <v>3074</v>
      </c>
      <c r="D1067" s="37" t="s">
        <v>2925</v>
      </c>
      <c r="E1067" s="37" t="s">
        <v>2784</v>
      </c>
      <c r="F1067" s="37" t="s">
        <v>2926</v>
      </c>
      <c r="G1067" s="37" t="s">
        <v>2926</v>
      </c>
      <c r="H1067" s="37" t="s">
        <v>2926</v>
      </c>
      <c r="I1067" s="37" t="s">
        <v>92</v>
      </c>
      <c r="J1067" s="37" t="s">
        <v>92</v>
      </c>
      <c r="K1067" s="37" t="s">
        <v>92</v>
      </c>
      <c r="L1067" s="36">
        <v>2</v>
      </c>
      <c r="M1067" s="36">
        <v>2</v>
      </c>
      <c r="N1067" s="36">
        <v>2</v>
      </c>
      <c r="O1067" s="36">
        <v>3</v>
      </c>
      <c r="P1067" s="37" t="s">
        <v>292</v>
      </c>
      <c r="Q1067" s="37"/>
      <c r="R1067" s="37" t="s">
        <v>3075</v>
      </c>
    </row>
    <row r="1068" spans="1:18" ht="27.7" thickBot="1" x14ac:dyDescent="0.55000000000000004">
      <c r="A1068" s="36">
        <v>1246</v>
      </c>
      <c r="B1068" s="37" t="s">
        <v>3076</v>
      </c>
      <c r="C1068" s="37" t="s">
        <v>3074</v>
      </c>
      <c r="D1068" s="37" t="s">
        <v>2925</v>
      </c>
      <c r="E1068" s="37" t="s">
        <v>2784</v>
      </c>
      <c r="F1068" s="37" t="s">
        <v>2926</v>
      </c>
      <c r="G1068" s="37" t="s">
        <v>2926</v>
      </c>
      <c r="H1068" s="37" t="s">
        <v>2926</v>
      </c>
      <c r="I1068" s="37" t="s">
        <v>92</v>
      </c>
      <c r="J1068" s="37" t="s">
        <v>92</v>
      </c>
      <c r="K1068" s="37" t="s">
        <v>92</v>
      </c>
      <c r="L1068" s="36">
        <v>1</v>
      </c>
      <c r="M1068" s="36">
        <v>1</v>
      </c>
      <c r="N1068" s="36">
        <v>1</v>
      </c>
      <c r="O1068" s="36">
        <v>3</v>
      </c>
      <c r="P1068" s="37" t="s">
        <v>292</v>
      </c>
      <c r="Q1068" s="37"/>
      <c r="R1068" s="37" t="s">
        <v>3077</v>
      </c>
    </row>
    <row r="1069" spans="1:18" ht="27.7" thickBot="1" x14ac:dyDescent="0.55000000000000004">
      <c r="A1069" s="36">
        <v>1247</v>
      </c>
      <c r="B1069" s="37" t="s">
        <v>3078</v>
      </c>
      <c r="C1069" s="37" t="s">
        <v>2787</v>
      </c>
      <c r="D1069" s="37" t="s">
        <v>2783</v>
      </c>
      <c r="E1069" s="37" t="s">
        <v>2784</v>
      </c>
      <c r="F1069" s="37" t="s">
        <v>2788</v>
      </c>
      <c r="G1069" s="37" t="s">
        <v>2788</v>
      </c>
      <c r="H1069" s="37" t="s">
        <v>2788</v>
      </c>
      <c r="I1069" s="37" t="s">
        <v>92</v>
      </c>
      <c r="J1069" s="37" t="s">
        <v>92</v>
      </c>
      <c r="K1069" s="37" t="s">
        <v>92</v>
      </c>
      <c r="L1069" s="36">
        <v>2</v>
      </c>
      <c r="M1069" s="36">
        <v>2</v>
      </c>
      <c r="N1069" s="36">
        <v>2</v>
      </c>
      <c r="O1069" s="36">
        <v>4</v>
      </c>
      <c r="P1069" s="37" t="s">
        <v>292</v>
      </c>
      <c r="Q1069" s="37"/>
      <c r="R1069" s="37" t="s">
        <v>3079</v>
      </c>
    </row>
    <row r="1070" spans="1:18" ht="27.7" thickBot="1" x14ac:dyDescent="0.55000000000000004">
      <c r="A1070" s="36">
        <v>1248</v>
      </c>
      <c r="B1070" s="37" t="s">
        <v>3080</v>
      </c>
      <c r="C1070" s="37" t="s">
        <v>3052</v>
      </c>
      <c r="D1070" s="37" t="s">
        <v>1717</v>
      </c>
      <c r="E1070" s="37" t="s">
        <v>2784</v>
      </c>
      <c r="F1070" s="37" t="s">
        <v>2788</v>
      </c>
      <c r="G1070" s="37" t="s">
        <v>2788</v>
      </c>
      <c r="H1070" s="37" t="s">
        <v>2788</v>
      </c>
      <c r="I1070" s="37" t="s">
        <v>92</v>
      </c>
      <c r="J1070" s="37" t="s">
        <v>92</v>
      </c>
      <c r="K1070" s="37" t="s">
        <v>92</v>
      </c>
      <c r="L1070" s="36">
        <v>1</v>
      </c>
      <c r="M1070" s="36">
        <v>1</v>
      </c>
      <c r="N1070" s="36">
        <v>1</v>
      </c>
      <c r="O1070" s="36">
        <v>3</v>
      </c>
      <c r="P1070" s="37" t="s">
        <v>292</v>
      </c>
      <c r="Q1070" s="37"/>
      <c r="R1070" s="37" t="s">
        <v>3081</v>
      </c>
    </row>
    <row r="1071" spans="1:18" ht="27.7" thickBot="1" x14ac:dyDescent="0.55000000000000004">
      <c r="A1071" s="36">
        <v>1249</v>
      </c>
      <c r="B1071" s="37" t="s">
        <v>3082</v>
      </c>
      <c r="C1071" s="37" t="s">
        <v>2864</v>
      </c>
      <c r="D1071" s="37" t="s">
        <v>2783</v>
      </c>
      <c r="E1071" s="37" t="s">
        <v>2784</v>
      </c>
      <c r="F1071" s="37" t="s">
        <v>2788</v>
      </c>
      <c r="G1071" s="37" t="s">
        <v>2788</v>
      </c>
      <c r="H1071" s="37" t="s">
        <v>2788</v>
      </c>
      <c r="I1071" s="37" t="s">
        <v>92</v>
      </c>
      <c r="J1071" s="37" t="s">
        <v>92</v>
      </c>
      <c r="K1071" s="37" t="s">
        <v>92</v>
      </c>
      <c r="L1071" s="36">
        <v>2</v>
      </c>
      <c r="M1071" s="36">
        <v>2</v>
      </c>
      <c r="N1071" s="36">
        <v>2</v>
      </c>
      <c r="O1071" s="36">
        <v>4</v>
      </c>
      <c r="P1071" s="37" t="s">
        <v>292</v>
      </c>
      <c r="Q1071" s="37"/>
      <c r="R1071" s="37" t="s">
        <v>3083</v>
      </c>
    </row>
    <row r="1072" spans="1:18" ht="27.7" thickBot="1" x14ac:dyDescent="0.55000000000000004">
      <c r="A1072" s="36">
        <v>1250</v>
      </c>
      <c r="B1072" s="37" t="s">
        <v>3084</v>
      </c>
      <c r="C1072" s="37" t="s">
        <v>3085</v>
      </c>
      <c r="D1072" s="37" t="s">
        <v>2900</v>
      </c>
      <c r="E1072" s="37" t="s">
        <v>2776</v>
      </c>
      <c r="F1072" s="37" t="s">
        <v>2827</v>
      </c>
      <c r="G1072" s="37" t="s">
        <v>2827</v>
      </c>
      <c r="H1072" s="37" t="s">
        <v>2827</v>
      </c>
      <c r="I1072" s="37" t="s">
        <v>92</v>
      </c>
      <c r="J1072" s="37" t="s">
        <v>92</v>
      </c>
      <c r="K1072" s="37" t="s">
        <v>92</v>
      </c>
      <c r="L1072" s="36">
        <v>5</v>
      </c>
      <c r="M1072" s="36">
        <v>5</v>
      </c>
      <c r="N1072" s="36">
        <v>5</v>
      </c>
      <c r="O1072" s="36">
        <v>5</v>
      </c>
      <c r="P1072" s="37" t="s">
        <v>292</v>
      </c>
      <c r="Q1072" s="37"/>
      <c r="R1072" s="37" t="s">
        <v>3086</v>
      </c>
    </row>
    <row r="1073" spans="1:18" ht="27.7" thickBot="1" x14ac:dyDescent="0.55000000000000004">
      <c r="A1073" s="36">
        <v>1251</v>
      </c>
      <c r="B1073" s="37" t="s">
        <v>3087</v>
      </c>
      <c r="C1073" s="37" t="s">
        <v>2858</v>
      </c>
      <c r="D1073" s="37" t="s">
        <v>1717</v>
      </c>
      <c r="E1073" s="37" t="s">
        <v>2784</v>
      </c>
      <c r="F1073" s="37" t="s">
        <v>2798</v>
      </c>
      <c r="G1073" s="37" t="s">
        <v>2798</v>
      </c>
      <c r="H1073" s="37" t="s">
        <v>2798</v>
      </c>
      <c r="I1073" s="37" t="s">
        <v>92</v>
      </c>
      <c r="J1073" s="37" t="s">
        <v>92</v>
      </c>
      <c r="K1073" s="37" t="s">
        <v>92</v>
      </c>
      <c r="L1073" s="36">
        <v>2</v>
      </c>
      <c r="M1073" s="36">
        <v>2</v>
      </c>
      <c r="N1073" s="36">
        <v>2</v>
      </c>
      <c r="O1073" s="36">
        <v>4</v>
      </c>
      <c r="P1073" s="37" t="s">
        <v>292</v>
      </c>
      <c r="Q1073" s="37"/>
      <c r="R1073" s="37" t="s">
        <v>3088</v>
      </c>
    </row>
    <row r="1074" spans="1:18" ht="27.7" thickBot="1" x14ac:dyDescent="0.55000000000000004">
      <c r="A1074" s="36">
        <v>1252</v>
      </c>
      <c r="B1074" s="37" t="s">
        <v>3089</v>
      </c>
      <c r="C1074" s="37" t="s">
        <v>3033</v>
      </c>
      <c r="D1074" s="37" t="s">
        <v>2783</v>
      </c>
      <c r="E1074" s="37" t="s">
        <v>2784</v>
      </c>
      <c r="F1074" s="37" t="s">
        <v>2788</v>
      </c>
      <c r="G1074" s="37" t="s">
        <v>2788</v>
      </c>
      <c r="H1074" s="37" t="s">
        <v>2788</v>
      </c>
      <c r="I1074" s="37" t="s">
        <v>90</v>
      </c>
      <c r="J1074" s="37" t="s">
        <v>90</v>
      </c>
      <c r="K1074" s="37" t="s">
        <v>90</v>
      </c>
      <c r="L1074" s="36">
        <v>1</v>
      </c>
      <c r="M1074" s="36">
        <v>1</v>
      </c>
      <c r="N1074" s="36">
        <v>1</v>
      </c>
      <c r="O1074" s="36">
        <v>2</v>
      </c>
      <c r="P1074" s="37" t="s">
        <v>292</v>
      </c>
      <c r="Q1074" s="37"/>
      <c r="R1074" s="37" t="s">
        <v>3090</v>
      </c>
    </row>
    <row r="1075" spans="1:18" ht="27.7" thickBot="1" x14ac:dyDescent="0.55000000000000004">
      <c r="A1075" s="36">
        <v>1253</v>
      </c>
      <c r="B1075" s="37" t="s">
        <v>3091</v>
      </c>
      <c r="C1075" s="37" t="s">
        <v>2835</v>
      </c>
      <c r="D1075" s="37" t="s">
        <v>2836</v>
      </c>
      <c r="E1075" s="37" t="s">
        <v>2730</v>
      </c>
      <c r="F1075" s="37" t="s">
        <v>2761</v>
      </c>
      <c r="G1075" s="37" t="s">
        <v>2761</v>
      </c>
      <c r="H1075" s="37" t="s">
        <v>2761</v>
      </c>
      <c r="I1075" s="37" t="s">
        <v>102</v>
      </c>
      <c r="J1075" s="37" t="s">
        <v>102</v>
      </c>
      <c r="K1075" s="37" t="s">
        <v>90</v>
      </c>
      <c r="L1075" s="36">
        <v>2</v>
      </c>
      <c r="M1075" s="36">
        <v>2</v>
      </c>
      <c r="N1075" s="36">
        <v>2</v>
      </c>
      <c r="O1075" s="36">
        <v>4</v>
      </c>
      <c r="P1075" s="37" t="s">
        <v>292</v>
      </c>
      <c r="Q1075" s="37"/>
      <c r="R1075" s="37" t="s">
        <v>3092</v>
      </c>
    </row>
    <row r="1076" spans="1:18" ht="27.7" thickBot="1" x14ac:dyDescent="0.55000000000000004">
      <c r="A1076" s="36">
        <v>1254</v>
      </c>
      <c r="B1076" s="37" t="s">
        <v>3093</v>
      </c>
      <c r="C1076" s="37" t="s">
        <v>2874</v>
      </c>
      <c r="D1076" s="37" t="s">
        <v>2768</v>
      </c>
      <c r="E1076" s="37" t="s">
        <v>2730</v>
      </c>
      <c r="F1076" s="37" t="s">
        <v>2771</v>
      </c>
      <c r="G1076" s="37" t="s">
        <v>2771</v>
      </c>
      <c r="H1076" s="37" t="s">
        <v>2771</v>
      </c>
      <c r="I1076" s="37" t="s">
        <v>102</v>
      </c>
      <c r="J1076" s="37" t="s">
        <v>102</v>
      </c>
      <c r="K1076" s="37" t="s">
        <v>90</v>
      </c>
      <c r="L1076" s="36">
        <v>2</v>
      </c>
      <c r="M1076" s="36">
        <v>2</v>
      </c>
      <c r="N1076" s="36">
        <v>2</v>
      </c>
      <c r="O1076" s="36">
        <v>3</v>
      </c>
      <c r="P1076" s="37" t="s">
        <v>292</v>
      </c>
      <c r="Q1076" s="37"/>
      <c r="R1076" s="37" t="s">
        <v>3094</v>
      </c>
    </row>
    <row r="1077" spans="1:18" ht="27.7" thickBot="1" x14ac:dyDescent="0.55000000000000004">
      <c r="A1077" s="36">
        <v>1255</v>
      </c>
      <c r="B1077" s="37" t="s">
        <v>3095</v>
      </c>
      <c r="C1077" s="37" t="s">
        <v>2869</v>
      </c>
      <c r="D1077" s="37" t="s">
        <v>2836</v>
      </c>
      <c r="E1077" s="37" t="s">
        <v>2730</v>
      </c>
      <c r="F1077" s="37" t="s">
        <v>2761</v>
      </c>
      <c r="G1077" s="37" t="s">
        <v>2761</v>
      </c>
      <c r="H1077" s="37" t="s">
        <v>2761</v>
      </c>
      <c r="I1077" s="37" t="s">
        <v>90</v>
      </c>
      <c r="J1077" s="37" t="s">
        <v>90</v>
      </c>
      <c r="K1077" s="37" t="s">
        <v>90</v>
      </c>
      <c r="L1077" s="36">
        <v>2</v>
      </c>
      <c r="M1077" s="36">
        <v>2</v>
      </c>
      <c r="N1077" s="36">
        <v>2</v>
      </c>
      <c r="O1077" s="36">
        <v>3</v>
      </c>
      <c r="P1077" s="37" t="s">
        <v>292</v>
      </c>
      <c r="Q1077" s="37"/>
      <c r="R1077" s="37" t="s">
        <v>3096</v>
      </c>
    </row>
    <row r="1078" spans="1:18" ht="27.7" thickBot="1" x14ac:dyDescent="0.55000000000000004">
      <c r="A1078" s="36">
        <v>1256</v>
      </c>
      <c r="B1078" s="37" t="s">
        <v>3097</v>
      </c>
      <c r="C1078" s="37" t="s">
        <v>2869</v>
      </c>
      <c r="D1078" s="37" t="s">
        <v>2836</v>
      </c>
      <c r="E1078" s="37" t="s">
        <v>2730</v>
      </c>
      <c r="F1078" s="37" t="s">
        <v>2761</v>
      </c>
      <c r="G1078" s="37" t="s">
        <v>2761</v>
      </c>
      <c r="H1078" s="37" t="s">
        <v>2761</v>
      </c>
      <c r="I1078" s="37" t="s">
        <v>90</v>
      </c>
      <c r="J1078" s="37" t="s">
        <v>90</v>
      </c>
      <c r="K1078" s="37" t="s">
        <v>90</v>
      </c>
      <c r="L1078" s="36">
        <v>3</v>
      </c>
      <c r="M1078" s="36">
        <v>3</v>
      </c>
      <c r="N1078" s="36">
        <v>5</v>
      </c>
      <c r="O1078" s="36">
        <v>5</v>
      </c>
      <c r="P1078" s="37" t="s">
        <v>292</v>
      </c>
      <c r="Q1078" s="37"/>
      <c r="R1078" s="37" t="s">
        <v>3098</v>
      </c>
    </row>
    <row r="1079" spans="1:18" ht="27.7" thickBot="1" x14ac:dyDescent="0.55000000000000004">
      <c r="A1079" s="36">
        <v>1257</v>
      </c>
      <c r="B1079" s="37" t="s">
        <v>3099</v>
      </c>
      <c r="C1079" s="37" t="s">
        <v>2835</v>
      </c>
      <c r="D1079" s="37" t="s">
        <v>2836</v>
      </c>
      <c r="E1079" s="37" t="s">
        <v>2730</v>
      </c>
      <c r="F1079" s="37" t="s">
        <v>2761</v>
      </c>
      <c r="G1079" s="37" t="s">
        <v>2761</v>
      </c>
      <c r="H1079" s="37" t="s">
        <v>2761</v>
      </c>
      <c r="I1079" s="37" t="s">
        <v>90</v>
      </c>
      <c r="J1079" s="37" t="s">
        <v>90</v>
      </c>
      <c r="K1079" s="37" t="s">
        <v>90</v>
      </c>
      <c r="L1079" s="36">
        <v>2</v>
      </c>
      <c r="M1079" s="36">
        <v>2</v>
      </c>
      <c r="N1079" s="36">
        <v>2</v>
      </c>
      <c r="O1079" s="36">
        <v>3</v>
      </c>
      <c r="P1079" s="37" t="s">
        <v>292</v>
      </c>
      <c r="Q1079" s="37"/>
      <c r="R1079" s="37" t="s">
        <v>3100</v>
      </c>
    </row>
    <row r="1080" spans="1:18" ht="27.7" thickBot="1" x14ac:dyDescent="0.55000000000000004">
      <c r="A1080" s="36">
        <v>1258</v>
      </c>
      <c r="B1080" s="37" t="s">
        <v>3101</v>
      </c>
      <c r="C1080" s="37" t="s">
        <v>2830</v>
      </c>
      <c r="D1080" s="37" t="s">
        <v>2768</v>
      </c>
      <c r="E1080" s="37" t="s">
        <v>2730</v>
      </c>
      <c r="F1080" s="37" t="s">
        <v>2771</v>
      </c>
      <c r="G1080" s="37" t="s">
        <v>2771</v>
      </c>
      <c r="H1080" s="37" t="s">
        <v>2771</v>
      </c>
      <c r="I1080" s="37" t="s">
        <v>90</v>
      </c>
      <c r="J1080" s="37" t="s">
        <v>90</v>
      </c>
      <c r="K1080" s="37" t="s">
        <v>90</v>
      </c>
      <c r="L1080" s="36">
        <v>2</v>
      </c>
      <c r="M1080" s="36">
        <v>2</v>
      </c>
      <c r="N1080" s="36">
        <v>2</v>
      </c>
      <c r="O1080" s="36">
        <v>4</v>
      </c>
      <c r="P1080" s="37" t="s">
        <v>292</v>
      </c>
      <c r="Q1080" s="37"/>
      <c r="R1080" s="37" t="s">
        <v>3102</v>
      </c>
    </row>
    <row r="1081" spans="1:18" ht="27.7" thickBot="1" x14ac:dyDescent="0.55000000000000004">
      <c r="A1081" s="36">
        <v>1259</v>
      </c>
      <c r="B1081" s="37" t="s">
        <v>3103</v>
      </c>
      <c r="C1081" s="37" t="s">
        <v>2830</v>
      </c>
      <c r="D1081" s="37" t="s">
        <v>2768</v>
      </c>
      <c r="E1081" s="37" t="s">
        <v>2730</v>
      </c>
      <c r="F1081" s="37" t="s">
        <v>2771</v>
      </c>
      <c r="G1081" s="37" t="s">
        <v>2771</v>
      </c>
      <c r="H1081" s="37" t="s">
        <v>2771</v>
      </c>
      <c r="I1081" s="37" t="s">
        <v>90</v>
      </c>
      <c r="J1081" s="37" t="s">
        <v>90</v>
      </c>
      <c r="K1081" s="37" t="s">
        <v>90</v>
      </c>
      <c r="L1081" s="36">
        <v>2</v>
      </c>
      <c r="M1081" s="36">
        <v>2</v>
      </c>
      <c r="N1081" s="36">
        <v>2</v>
      </c>
      <c r="O1081" s="36">
        <v>4</v>
      </c>
      <c r="P1081" s="37" t="s">
        <v>292</v>
      </c>
      <c r="Q1081" s="37"/>
      <c r="R1081" s="37" t="s">
        <v>3104</v>
      </c>
    </row>
    <row r="1082" spans="1:18" ht="27.7" thickBot="1" x14ac:dyDescent="0.55000000000000004">
      <c r="A1082" s="36">
        <v>1260</v>
      </c>
      <c r="B1082" s="37" t="s">
        <v>3006</v>
      </c>
      <c r="C1082" s="37" t="s">
        <v>3006</v>
      </c>
      <c r="D1082" s="37" t="s">
        <v>2768</v>
      </c>
      <c r="E1082" s="37" t="s">
        <v>2730</v>
      </c>
      <c r="F1082" s="37" t="s">
        <v>2771</v>
      </c>
      <c r="G1082" s="37" t="s">
        <v>2771</v>
      </c>
      <c r="H1082" s="37" t="s">
        <v>2771</v>
      </c>
      <c r="I1082" s="37" t="s">
        <v>102</v>
      </c>
      <c r="J1082" s="37" t="s">
        <v>102</v>
      </c>
      <c r="K1082" s="37" t="s">
        <v>102</v>
      </c>
      <c r="L1082" s="36">
        <v>3</v>
      </c>
      <c r="M1082" s="36">
        <v>3</v>
      </c>
      <c r="N1082" s="36">
        <v>3</v>
      </c>
      <c r="O1082" s="36">
        <v>5</v>
      </c>
      <c r="P1082" s="37" t="s">
        <v>292</v>
      </c>
      <c r="Q1082" s="37"/>
      <c r="R1082" s="37" t="s">
        <v>3105</v>
      </c>
    </row>
    <row r="1083" spans="1:18" ht="27.7" thickBot="1" x14ac:dyDescent="0.55000000000000004">
      <c r="A1083" s="36">
        <v>1261</v>
      </c>
      <c r="B1083" s="37" t="s">
        <v>3106</v>
      </c>
      <c r="C1083" s="37" t="s">
        <v>2830</v>
      </c>
      <c r="D1083" s="37" t="s">
        <v>2768</v>
      </c>
      <c r="E1083" s="37" t="s">
        <v>2730</v>
      </c>
      <c r="F1083" s="37" t="s">
        <v>2771</v>
      </c>
      <c r="G1083" s="37" t="s">
        <v>2771</v>
      </c>
      <c r="H1083" s="37" t="s">
        <v>2771</v>
      </c>
      <c r="I1083" s="37" t="s">
        <v>90</v>
      </c>
      <c r="J1083" s="37" t="s">
        <v>90</v>
      </c>
      <c r="K1083" s="37" t="s">
        <v>90</v>
      </c>
      <c r="L1083" s="36">
        <v>2</v>
      </c>
      <c r="M1083" s="36">
        <v>2</v>
      </c>
      <c r="N1083" s="36">
        <v>2</v>
      </c>
      <c r="O1083" s="36">
        <v>4</v>
      </c>
      <c r="P1083" s="37" t="s">
        <v>292</v>
      </c>
      <c r="Q1083" s="37"/>
      <c r="R1083" s="37" t="s">
        <v>3107</v>
      </c>
    </row>
    <row r="1084" spans="1:18" ht="14.7" thickBot="1" x14ac:dyDescent="0.55000000000000004">
      <c r="A1084" s="36">
        <v>1262</v>
      </c>
      <c r="B1084" s="37" t="s">
        <v>3108</v>
      </c>
      <c r="C1084" s="37" t="s">
        <v>2843</v>
      </c>
      <c r="D1084" s="37" t="s">
        <v>2844</v>
      </c>
      <c r="E1084" s="37" t="s">
        <v>2776</v>
      </c>
      <c r="F1084" s="37" t="s">
        <v>2771</v>
      </c>
      <c r="G1084" s="37" t="s">
        <v>2771</v>
      </c>
      <c r="H1084" s="37" t="s">
        <v>2771</v>
      </c>
      <c r="I1084" s="37" t="s">
        <v>102</v>
      </c>
      <c r="J1084" s="37" t="s">
        <v>102</v>
      </c>
      <c r="K1084" s="37" t="s">
        <v>102</v>
      </c>
      <c r="L1084" s="36">
        <v>3</v>
      </c>
      <c r="M1084" s="36">
        <v>3</v>
      </c>
      <c r="N1084" s="36">
        <v>3</v>
      </c>
      <c r="O1084" s="36">
        <v>5</v>
      </c>
      <c r="P1084" s="37" t="s">
        <v>292</v>
      </c>
      <c r="Q1084" s="37"/>
      <c r="R1084" s="37" t="s">
        <v>3109</v>
      </c>
    </row>
    <row r="1085" spans="1:18" ht="27.7" thickBot="1" x14ac:dyDescent="0.55000000000000004">
      <c r="A1085" s="36">
        <v>1263</v>
      </c>
      <c r="B1085" s="37" t="s">
        <v>3110</v>
      </c>
      <c r="C1085" s="37" t="s">
        <v>2843</v>
      </c>
      <c r="D1085" s="37" t="s">
        <v>2844</v>
      </c>
      <c r="E1085" s="37" t="s">
        <v>2776</v>
      </c>
      <c r="F1085" s="37" t="s">
        <v>2771</v>
      </c>
      <c r="G1085" s="37" t="s">
        <v>2771</v>
      </c>
      <c r="H1085" s="37" t="s">
        <v>2771</v>
      </c>
      <c r="I1085" s="37" t="s">
        <v>90</v>
      </c>
      <c r="J1085" s="37" t="s">
        <v>90</v>
      </c>
      <c r="K1085" s="37" t="s">
        <v>90</v>
      </c>
      <c r="L1085" s="36">
        <v>2</v>
      </c>
      <c r="M1085" s="36">
        <v>2</v>
      </c>
      <c r="N1085" s="36">
        <v>2</v>
      </c>
      <c r="O1085" s="36">
        <v>4</v>
      </c>
      <c r="P1085" s="37" t="s">
        <v>292</v>
      </c>
      <c r="Q1085" s="37"/>
      <c r="R1085" s="37" t="s">
        <v>3111</v>
      </c>
    </row>
    <row r="1086" spans="1:18" ht="27.7" thickBot="1" x14ac:dyDescent="0.55000000000000004">
      <c r="A1086" s="36">
        <v>1264</v>
      </c>
      <c r="B1086" s="37" t="s">
        <v>3112</v>
      </c>
      <c r="C1086" s="37" t="s">
        <v>3006</v>
      </c>
      <c r="D1086" s="37" t="s">
        <v>2768</v>
      </c>
      <c r="E1086" s="37" t="s">
        <v>2730</v>
      </c>
      <c r="F1086" s="37" t="s">
        <v>2771</v>
      </c>
      <c r="G1086" s="37" t="s">
        <v>2771</v>
      </c>
      <c r="H1086" s="37" t="s">
        <v>2771</v>
      </c>
      <c r="I1086" s="37" t="s">
        <v>102</v>
      </c>
      <c r="J1086" s="37" t="s">
        <v>102</v>
      </c>
      <c r="K1086" s="37" t="s">
        <v>102</v>
      </c>
      <c r="L1086" s="36">
        <v>3</v>
      </c>
      <c r="M1086" s="36">
        <v>3</v>
      </c>
      <c r="N1086" s="36">
        <v>3</v>
      </c>
      <c r="O1086" s="36">
        <v>5</v>
      </c>
      <c r="P1086" s="37" t="s">
        <v>292</v>
      </c>
      <c r="Q1086" s="37"/>
      <c r="R1086" s="37" t="s">
        <v>3113</v>
      </c>
    </row>
    <row r="1087" spans="1:18" ht="27.7" thickBot="1" x14ac:dyDescent="0.55000000000000004">
      <c r="A1087" s="36">
        <v>1265</v>
      </c>
      <c r="B1087" s="37" t="s">
        <v>3114</v>
      </c>
      <c r="C1087" s="37" t="s">
        <v>2832</v>
      </c>
      <c r="D1087" s="37" t="s">
        <v>2748</v>
      </c>
      <c r="E1087" s="37" t="s">
        <v>2730</v>
      </c>
      <c r="F1087" s="37" t="s">
        <v>2749</v>
      </c>
      <c r="G1087" s="37" t="s">
        <v>2749</v>
      </c>
      <c r="H1087" s="37" t="s">
        <v>2749</v>
      </c>
      <c r="I1087" s="37" t="s">
        <v>90</v>
      </c>
      <c r="J1087" s="37" t="s">
        <v>90</v>
      </c>
      <c r="K1087" s="37" t="s">
        <v>90</v>
      </c>
      <c r="L1087" s="36">
        <v>2</v>
      </c>
      <c r="M1087" s="36">
        <v>2</v>
      </c>
      <c r="N1087" s="36">
        <v>2</v>
      </c>
      <c r="O1087" s="36">
        <v>3</v>
      </c>
      <c r="P1087" s="37" t="s">
        <v>292</v>
      </c>
      <c r="Q1087" s="37"/>
      <c r="R1087" s="37" t="s">
        <v>3115</v>
      </c>
    </row>
    <row r="1088" spans="1:18" ht="27.7" thickBot="1" x14ac:dyDescent="0.55000000000000004">
      <c r="A1088" s="36">
        <v>1266</v>
      </c>
      <c r="B1088" s="37" t="s">
        <v>3116</v>
      </c>
      <c r="C1088" s="37" t="s">
        <v>2806</v>
      </c>
      <c r="D1088" s="37" t="s">
        <v>2775</v>
      </c>
      <c r="E1088" s="37" t="s">
        <v>2776</v>
      </c>
      <c r="F1088" s="37" t="s">
        <v>2777</v>
      </c>
      <c r="G1088" s="37" t="s">
        <v>2777</v>
      </c>
      <c r="H1088" s="37" t="s">
        <v>2777</v>
      </c>
      <c r="I1088" s="37" t="s">
        <v>102</v>
      </c>
      <c r="J1088" s="37" t="s">
        <v>102</v>
      </c>
      <c r="K1088" s="37" t="s">
        <v>102</v>
      </c>
      <c r="L1088" s="36">
        <v>3</v>
      </c>
      <c r="M1088" s="36">
        <v>3</v>
      </c>
      <c r="N1088" s="36">
        <v>3</v>
      </c>
      <c r="O1088" s="36">
        <v>5</v>
      </c>
      <c r="P1088" s="37" t="s">
        <v>265</v>
      </c>
      <c r="Q1088" s="37"/>
      <c r="R1088" s="37" t="s">
        <v>3117</v>
      </c>
    </row>
    <row r="1089" spans="1:18" ht="27.7" thickBot="1" x14ac:dyDescent="0.55000000000000004">
      <c r="A1089" s="36">
        <v>1267</v>
      </c>
      <c r="B1089" s="37" t="s">
        <v>3118</v>
      </c>
      <c r="C1089" s="37" t="s">
        <v>2806</v>
      </c>
      <c r="D1089" s="37" t="s">
        <v>2775</v>
      </c>
      <c r="E1089" s="37" t="s">
        <v>2776</v>
      </c>
      <c r="F1089" s="37" t="s">
        <v>2777</v>
      </c>
      <c r="G1089" s="37" t="s">
        <v>2777</v>
      </c>
      <c r="H1089" s="37" t="s">
        <v>2777</v>
      </c>
      <c r="I1089" s="37" t="s">
        <v>102</v>
      </c>
      <c r="J1089" s="37" t="s">
        <v>102</v>
      </c>
      <c r="K1089" s="37" t="s">
        <v>102</v>
      </c>
      <c r="L1089" s="36">
        <v>1</v>
      </c>
      <c r="M1089" s="36">
        <v>1</v>
      </c>
      <c r="N1089" s="36">
        <v>1</v>
      </c>
      <c r="O1089" s="36">
        <v>3</v>
      </c>
      <c r="P1089" s="37" t="s">
        <v>292</v>
      </c>
      <c r="Q1089" s="37"/>
      <c r="R1089" s="37" t="s">
        <v>3119</v>
      </c>
    </row>
    <row r="1090" spans="1:18" ht="27.7" thickBot="1" x14ac:dyDescent="0.55000000000000004">
      <c r="A1090" s="36">
        <v>1268</v>
      </c>
      <c r="B1090" s="37" t="s">
        <v>3120</v>
      </c>
      <c r="C1090" s="37" t="s">
        <v>2811</v>
      </c>
      <c r="D1090" s="37" t="s">
        <v>2775</v>
      </c>
      <c r="E1090" s="37" t="s">
        <v>2776</v>
      </c>
      <c r="F1090" s="37" t="s">
        <v>2777</v>
      </c>
      <c r="G1090" s="37" t="s">
        <v>2777</v>
      </c>
      <c r="H1090" s="37" t="s">
        <v>2777</v>
      </c>
      <c r="I1090" s="37" t="s">
        <v>102</v>
      </c>
      <c r="J1090" s="37" t="s">
        <v>102</v>
      </c>
      <c r="K1090" s="37" t="s">
        <v>102</v>
      </c>
      <c r="L1090" s="36">
        <v>3</v>
      </c>
      <c r="M1090" s="36">
        <v>3</v>
      </c>
      <c r="N1090" s="36">
        <v>3</v>
      </c>
      <c r="O1090" s="36">
        <v>5</v>
      </c>
      <c r="P1090" s="37" t="s">
        <v>265</v>
      </c>
      <c r="Q1090" s="37"/>
      <c r="R1090" s="37" t="s">
        <v>3121</v>
      </c>
    </row>
    <row r="1091" spans="1:18" ht="27.7" thickBot="1" x14ac:dyDescent="0.55000000000000004">
      <c r="A1091" s="36">
        <v>1269</v>
      </c>
      <c r="B1091" s="37" t="s">
        <v>3122</v>
      </c>
      <c r="C1091" s="37" t="s">
        <v>2874</v>
      </c>
      <c r="D1091" s="37" t="s">
        <v>2768</v>
      </c>
      <c r="E1091" s="37" t="s">
        <v>2730</v>
      </c>
      <c r="F1091" s="37" t="s">
        <v>2761</v>
      </c>
      <c r="G1091" s="37" t="s">
        <v>2761</v>
      </c>
      <c r="H1091" s="37" t="s">
        <v>2761</v>
      </c>
      <c r="I1091" s="37" t="s">
        <v>102</v>
      </c>
      <c r="J1091" s="37" t="s">
        <v>102</v>
      </c>
      <c r="K1091" s="37" t="s">
        <v>90</v>
      </c>
      <c r="L1091" s="36">
        <v>3</v>
      </c>
      <c r="M1091" s="36">
        <v>3</v>
      </c>
      <c r="N1091" s="36">
        <v>3</v>
      </c>
      <c r="O1091" s="36">
        <v>4</v>
      </c>
      <c r="P1091" s="37" t="s">
        <v>292</v>
      </c>
      <c r="Q1091" s="37"/>
      <c r="R1091" s="37" t="s">
        <v>3123</v>
      </c>
    </row>
    <row r="1092" spans="1:18" ht="27.7" thickBot="1" x14ac:dyDescent="0.55000000000000004">
      <c r="A1092" s="36">
        <v>1270</v>
      </c>
      <c r="B1092" s="37" t="s">
        <v>3124</v>
      </c>
      <c r="C1092" s="37" t="s">
        <v>2864</v>
      </c>
      <c r="D1092" s="37" t="s">
        <v>2783</v>
      </c>
      <c r="E1092" s="37" t="s">
        <v>2784</v>
      </c>
      <c r="F1092" s="37" t="s">
        <v>2771</v>
      </c>
      <c r="G1092" s="37" t="s">
        <v>2771</v>
      </c>
      <c r="H1092" s="37" t="s">
        <v>2771</v>
      </c>
      <c r="I1092" s="37" t="s">
        <v>90</v>
      </c>
      <c r="J1092" s="37" t="s">
        <v>90</v>
      </c>
      <c r="K1092" s="37" t="s">
        <v>90</v>
      </c>
      <c r="L1092" s="36">
        <v>1</v>
      </c>
      <c r="M1092" s="36">
        <v>1</v>
      </c>
      <c r="N1092" s="36">
        <v>1</v>
      </c>
      <c r="O1092" s="36">
        <v>2</v>
      </c>
      <c r="P1092" s="37" t="s">
        <v>292</v>
      </c>
      <c r="Q1092" s="37"/>
      <c r="R1092" s="37" t="s">
        <v>3125</v>
      </c>
    </row>
    <row r="1093" spans="1:18" ht="27.7" thickBot="1" x14ac:dyDescent="0.55000000000000004">
      <c r="A1093" s="36">
        <v>1271</v>
      </c>
      <c r="B1093" s="37" t="s">
        <v>3126</v>
      </c>
      <c r="C1093" s="37" t="s">
        <v>2890</v>
      </c>
      <c r="D1093" s="37" t="s">
        <v>2891</v>
      </c>
      <c r="E1093" s="37" t="s">
        <v>2784</v>
      </c>
      <c r="F1093" s="37" t="s">
        <v>2827</v>
      </c>
      <c r="G1093" s="37" t="s">
        <v>2827</v>
      </c>
      <c r="H1093" s="37" t="s">
        <v>2827</v>
      </c>
      <c r="I1093" s="37" t="s">
        <v>90</v>
      </c>
      <c r="J1093" s="37" t="s">
        <v>90</v>
      </c>
      <c r="K1093" s="37" t="s">
        <v>90</v>
      </c>
      <c r="L1093" s="36">
        <v>3</v>
      </c>
      <c r="M1093" s="36">
        <v>3</v>
      </c>
      <c r="N1093" s="36">
        <v>3</v>
      </c>
      <c r="O1093" s="36">
        <v>3</v>
      </c>
      <c r="P1093" s="37" t="s">
        <v>292</v>
      </c>
      <c r="Q1093" s="37"/>
      <c r="R1093" s="37" t="s">
        <v>3127</v>
      </c>
    </row>
    <row r="1094" spans="1:18" ht="27.7" thickBot="1" x14ac:dyDescent="0.55000000000000004">
      <c r="A1094" s="36">
        <v>1272</v>
      </c>
      <c r="B1094" s="37" t="s">
        <v>2894</v>
      </c>
      <c r="C1094" s="37" t="s">
        <v>2894</v>
      </c>
      <c r="D1094" s="37" t="s">
        <v>2891</v>
      </c>
      <c r="E1094" s="37" t="s">
        <v>2784</v>
      </c>
      <c r="F1094" s="37" t="s">
        <v>2827</v>
      </c>
      <c r="G1094" s="37" t="s">
        <v>2827</v>
      </c>
      <c r="H1094" s="37" t="s">
        <v>2827</v>
      </c>
      <c r="I1094" s="37" t="s">
        <v>90</v>
      </c>
      <c r="J1094" s="37" t="s">
        <v>90</v>
      </c>
      <c r="K1094" s="37" t="s">
        <v>90</v>
      </c>
      <c r="L1094" s="36">
        <v>4</v>
      </c>
      <c r="M1094" s="36">
        <v>4</v>
      </c>
      <c r="N1094" s="36">
        <v>4</v>
      </c>
      <c r="O1094" s="36">
        <v>4</v>
      </c>
      <c r="P1094" s="37" t="s">
        <v>292</v>
      </c>
      <c r="Q1094" s="37"/>
      <c r="R1094" s="37" t="s">
        <v>3128</v>
      </c>
    </row>
    <row r="1095" spans="1:18" ht="27.7" hidden="1" thickBot="1" x14ac:dyDescent="0.55000000000000004">
      <c r="A1095" s="36">
        <v>1273</v>
      </c>
      <c r="B1095" s="37" t="s">
        <v>3129</v>
      </c>
      <c r="C1095" s="37" t="s">
        <v>3129</v>
      </c>
      <c r="D1095" s="37" t="s">
        <v>2644</v>
      </c>
      <c r="E1095" s="37" t="s">
        <v>1785</v>
      </c>
      <c r="F1095" s="37" t="s">
        <v>1698</v>
      </c>
      <c r="G1095" s="37" t="s">
        <v>1821</v>
      </c>
      <c r="H1095" s="37" t="s">
        <v>1821</v>
      </c>
      <c r="I1095" s="37" t="s">
        <v>2655</v>
      </c>
      <c r="J1095" s="37" t="s">
        <v>1465</v>
      </c>
      <c r="K1095" s="37" t="s">
        <v>1465</v>
      </c>
      <c r="L1095" s="36">
        <v>1</v>
      </c>
      <c r="M1095" s="36">
        <v>1</v>
      </c>
      <c r="N1095" s="36">
        <v>1</v>
      </c>
      <c r="O1095" s="36">
        <v>3</v>
      </c>
      <c r="P1095" s="37" t="s">
        <v>292</v>
      </c>
      <c r="Q1095" s="37"/>
      <c r="R1095" s="37" t="s">
        <v>3130</v>
      </c>
    </row>
    <row r="1096" spans="1:18" ht="27.7" thickBot="1" x14ac:dyDescent="0.55000000000000004">
      <c r="A1096" s="36">
        <v>1274</v>
      </c>
      <c r="B1096" s="37" t="s">
        <v>3131</v>
      </c>
      <c r="C1096" s="37" t="s">
        <v>2910</v>
      </c>
      <c r="D1096" s="37" t="s">
        <v>2900</v>
      </c>
      <c r="E1096" s="37" t="s">
        <v>2776</v>
      </c>
      <c r="F1096" s="37" t="s">
        <v>2827</v>
      </c>
      <c r="G1096" s="37" t="s">
        <v>2827</v>
      </c>
      <c r="H1096" s="37" t="s">
        <v>2827</v>
      </c>
      <c r="I1096" s="37" t="s">
        <v>90</v>
      </c>
      <c r="J1096" s="37" t="s">
        <v>90</v>
      </c>
      <c r="K1096" s="37" t="s">
        <v>90</v>
      </c>
      <c r="L1096" s="36">
        <v>2</v>
      </c>
      <c r="M1096" s="36">
        <v>2</v>
      </c>
      <c r="N1096" s="36">
        <v>2</v>
      </c>
      <c r="O1096" s="36">
        <v>4</v>
      </c>
      <c r="P1096" s="37" t="s">
        <v>292</v>
      </c>
      <c r="Q1096" s="37"/>
      <c r="R1096" s="37" t="s">
        <v>3132</v>
      </c>
    </row>
    <row r="1097" spans="1:18" ht="27.7" hidden="1" thickBot="1" x14ac:dyDescent="0.55000000000000004">
      <c r="A1097" s="36">
        <v>1275</v>
      </c>
      <c r="B1097" s="37" t="s">
        <v>3133</v>
      </c>
      <c r="C1097" s="37" t="s">
        <v>1063</v>
      </c>
      <c r="D1097" s="37" t="s">
        <v>1063</v>
      </c>
      <c r="E1097" s="37" t="s">
        <v>1064</v>
      </c>
      <c r="F1097" s="37" t="s">
        <v>1065</v>
      </c>
      <c r="G1097" s="37" t="s">
        <v>1065</v>
      </c>
      <c r="H1097" s="37" t="s">
        <v>1065</v>
      </c>
      <c r="I1097" s="37" t="s">
        <v>1066</v>
      </c>
      <c r="J1097" s="37" t="s">
        <v>88</v>
      </c>
      <c r="K1097" s="37" t="s">
        <v>88</v>
      </c>
      <c r="L1097" s="36">
        <v>3</v>
      </c>
      <c r="M1097" s="36">
        <v>3</v>
      </c>
      <c r="N1097" s="36">
        <v>3</v>
      </c>
      <c r="O1097" s="36">
        <v>3</v>
      </c>
      <c r="P1097" s="37" t="s">
        <v>292</v>
      </c>
      <c r="Q1097" s="37"/>
      <c r="R1097" s="37" t="s">
        <v>3134</v>
      </c>
    </row>
    <row r="1098" spans="1:18" ht="27.7" thickBot="1" x14ac:dyDescent="0.55000000000000004">
      <c r="A1098" s="36">
        <v>1276</v>
      </c>
      <c r="B1098" s="37" t="s">
        <v>3135</v>
      </c>
      <c r="C1098" s="37" t="s">
        <v>2858</v>
      </c>
      <c r="D1098" s="37" t="s">
        <v>1717</v>
      </c>
      <c r="E1098" s="37" t="s">
        <v>2784</v>
      </c>
      <c r="F1098" s="37" t="s">
        <v>2798</v>
      </c>
      <c r="G1098" s="37" t="s">
        <v>2798</v>
      </c>
      <c r="H1098" s="37" t="s">
        <v>2798</v>
      </c>
      <c r="I1098" s="37" t="s">
        <v>92</v>
      </c>
      <c r="J1098" s="37" t="s">
        <v>92</v>
      </c>
      <c r="K1098" s="37" t="s">
        <v>92</v>
      </c>
      <c r="L1098" s="36">
        <v>5</v>
      </c>
      <c r="M1098" s="36">
        <v>5</v>
      </c>
      <c r="N1098" s="36">
        <v>5</v>
      </c>
      <c r="O1098" s="36">
        <v>5</v>
      </c>
      <c r="P1098" s="37" t="s">
        <v>292</v>
      </c>
      <c r="Q1098" s="37"/>
      <c r="R1098" s="37" t="s">
        <v>3136</v>
      </c>
    </row>
    <row r="1099" spans="1:18" ht="27.7" thickBot="1" x14ac:dyDescent="0.55000000000000004">
      <c r="A1099" s="36">
        <v>1277</v>
      </c>
      <c r="B1099" s="37" t="s">
        <v>3137</v>
      </c>
      <c r="C1099" s="37" t="s">
        <v>2894</v>
      </c>
      <c r="D1099" s="37" t="s">
        <v>2891</v>
      </c>
      <c r="E1099" s="37" t="s">
        <v>2784</v>
      </c>
      <c r="F1099" s="37" t="s">
        <v>2827</v>
      </c>
      <c r="G1099" s="37" t="s">
        <v>2827</v>
      </c>
      <c r="H1099" s="37" t="s">
        <v>2827</v>
      </c>
      <c r="I1099" s="37" t="s">
        <v>90</v>
      </c>
      <c r="J1099" s="37" t="s">
        <v>90</v>
      </c>
      <c r="K1099" s="37" t="s">
        <v>90</v>
      </c>
      <c r="L1099" s="36">
        <v>2</v>
      </c>
      <c r="M1099" s="36">
        <v>2</v>
      </c>
      <c r="N1099" s="36">
        <v>2</v>
      </c>
      <c r="O1099" s="36">
        <v>3</v>
      </c>
      <c r="P1099" s="37" t="s">
        <v>292</v>
      </c>
      <c r="Q1099" s="37"/>
      <c r="R1099" s="37" t="s">
        <v>3138</v>
      </c>
    </row>
    <row r="1100" spans="1:18" ht="27.7" thickBot="1" x14ac:dyDescent="0.55000000000000004">
      <c r="A1100" s="36">
        <v>1278</v>
      </c>
      <c r="B1100" s="37" t="s">
        <v>3139</v>
      </c>
      <c r="C1100" s="37" t="s">
        <v>2910</v>
      </c>
      <c r="D1100" s="37" t="s">
        <v>2900</v>
      </c>
      <c r="E1100" s="37" t="s">
        <v>2776</v>
      </c>
      <c r="F1100" s="37" t="s">
        <v>2827</v>
      </c>
      <c r="G1100" s="37" t="s">
        <v>2827</v>
      </c>
      <c r="H1100" s="37" t="s">
        <v>2827</v>
      </c>
      <c r="I1100" s="37" t="s">
        <v>92</v>
      </c>
      <c r="J1100" s="37" t="s">
        <v>92</v>
      </c>
      <c r="K1100" s="37" t="s">
        <v>92</v>
      </c>
      <c r="L1100" s="36">
        <v>1</v>
      </c>
      <c r="M1100" s="36">
        <v>1</v>
      </c>
      <c r="N1100" s="36">
        <v>1</v>
      </c>
      <c r="O1100" s="36">
        <v>3</v>
      </c>
      <c r="P1100" s="37" t="s">
        <v>292</v>
      </c>
      <c r="Q1100" s="37"/>
      <c r="R1100" s="37" t="s">
        <v>3140</v>
      </c>
    </row>
    <row r="1101" spans="1:18" ht="27.7" thickBot="1" x14ac:dyDescent="0.55000000000000004">
      <c r="A1101" s="36">
        <v>1279</v>
      </c>
      <c r="B1101" s="37" t="s">
        <v>3141</v>
      </c>
      <c r="C1101" s="37" t="s">
        <v>2967</v>
      </c>
      <c r="D1101" s="37" t="s">
        <v>2967</v>
      </c>
      <c r="E1101" s="37" t="s">
        <v>2730</v>
      </c>
      <c r="F1101" s="37" t="s">
        <v>2966</v>
      </c>
      <c r="G1101" s="37" t="s">
        <v>2966</v>
      </c>
      <c r="H1101" s="37" t="s">
        <v>2966</v>
      </c>
      <c r="I1101" s="37" t="s">
        <v>92</v>
      </c>
      <c r="J1101" s="37" t="s">
        <v>92</v>
      </c>
      <c r="K1101" s="37" t="s">
        <v>92</v>
      </c>
      <c r="L1101" s="36">
        <v>2</v>
      </c>
      <c r="M1101" s="36">
        <v>2</v>
      </c>
      <c r="N1101" s="36">
        <v>2</v>
      </c>
      <c r="O1101" s="36">
        <v>4</v>
      </c>
      <c r="P1101" s="37" t="s">
        <v>265</v>
      </c>
      <c r="Q1101" s="37"/>
      <c r="R1101" s="37" t="s">
        <v>3142</v>
      </c>
    </row>
    <row r="1102" spans="1:18" ht="27.7" hidden="1" thickBot="1" x14ac:dyDescent="0.55000000000000004">
      <c r="A1102" s="36">
        <v>1280</v>
      </c>
      <c r="B1102" s="37" t="s">
        <v>2619</v>
      </c>
      <c r="C1102" s="37" t="s">
        <v>2619</v>
      </c>
      <c r="D1102" s="37" t="s">
        <v>2404</v>
      </c>
      <c r="E1102" s="37" t="s">
        <v>2404</v>
      </c>
      <c r="F1102" s="37" t="s">
        <v>2589</v>
      </c>
      <c r="G1102" s="37" t="s">
        <v>2589</v>
      </c>
      <c r="H1102" s="37" t="s">
        <v>2589</v>
      </c>
      <c r="I1102" s="37" t="s">
        <v>2077</v>
      </c>
      <c r="J1102" s="37" t="s">
        <v>2077</v>
      </c>
      <c r="K1102" s="37" t="s">
        <v>2077</v>
      </c>
      <c r="L1102" s="36">
        <v>1</v>
      </c>
      <c r="M1102" s="36">
        <v>1</v>
      </c>
      <c r="N1102" s="36">
        <v>3</v>
      </c>
      <c r="O1102" s="36">
        <v>4</v>
      </c>
      <c r="P1102" s="37" t="s">
        <v>292</v>
      </c>
      <c r="Q1102" s="37"/>
      <c r="R1102" s="37" t="s">
        <v>3143</v>
      </c>
    </row>
    <row r="1103" spans="1:18" ht="27.7" thickBot="1" x14ac:dyDescent="0.55000000000000004">
      <c r="A1103" s="36">
        <v>1281</v>
      </c>
      <c r="B1103" s="37" t="s">
        <v>3144</v>
      </c>
      <c r="C1103" s="37" t="s">
        <v>2887</v>
      </c>
      <c r="D1103" s="37" t="s">
        <v>1717</v>
      </c>
      <c r="E1103" s="37" t="s">
        <v>2784</v>
      </c>
      <c r="F1103" s="37" t="s">
        <v>2827</v>
      </c>
      <c r="G1103" s="37" t="s">
        <v>2827</v>
      </c>
      <c r="H1103" s="37" t="s">
        <v>2827</v>
      </c>
      <c r="I1103" s="37" t="s">
        <v>92</v>
      </c>
      <c r="J1103" s="37" t="s">
        <v>92</v>
      </c>
      <c r="K1103" s="37" t="s">
        <v>92</v>
      </c>
      <c r="L1103" s="36">
        <v>2</v>
      </c>
      <c r="M1103" s="36">
        <v>2</v>
      </c>
      <c r="N1103" s="36">
        <v>2</v>
      </c>
      <c r="O1103" s="36">
        <v>3</v>
      </c>
      <c r="P1103" s="37" t="s">
        <v>292</v>
      </c>
      <c r="Q1103" s="37"/>
      <c r="R1103" s="37" t="s">
        <v>3145</v>
      </c>
    </row>
    <row r="1104" spans="1:18" ht="27.7" hidden="1" thickBot="1" x14ac:dyDescent="0.55000000000000004">
      <c r="A1104" s="36">
        <v>1282</v>
      </c>
      <c r="B1104" s="37" t="s">
        <v>3146</v>
      </c>
      <c r="C1104" s="37" t="s">
        <v>2403</v>
      </c>
      <c r="D1104" s="37" t="s">
        <v>2402</v>
      </c>
      <c r="E1104" s="37" t="s">
        <v>2404</v>
      </c>
      <c r="F1104" s="37" t="s">
        <v>2405</v>
      </c>
      <c r="G1104" s="37" t="s">
        <v>2405</v>
      </c>
      <c r="H1104" s="37" t="s">
        <v>2405</v>
      </c>
      <c r="I1104" s="37" t="s">
        <v>2077</v>
      </c>
      <c r="J1104" s="37" t="s">
        <v>2077</v>
      </c>
      <c r="K1104" s="37" t="s">
        <v>2077</v>
      </c>
      <c r="L1104" s="36">
        <v>4</v>
      </c>
      <c r="M1104" s="36">
        <v>4</v>
      </c>
      <c r="N1104" s="36">
        <v>4</v>
      </c>
      <c r="O1104" s="36">
        <v>6</v>
      </c>
      <c r="P1104" s="37" t="s">
        <v>292</v>
      </c>
      <c r="Q1104" s="37"/>
      <c r="R1104" s="37" t="s">
        <v>3147</v>
      </c>
    </row>
    <row r="1105" spans="1:18" ht="27.7" thickBot="1" x14ac:dyDescent="0.55000000000000004">
      <c r="A1105" s="36">
        <v>1283</v>
      </c>
      <c r="B1105" s="37" t="s">
        <v>3148</v>
      </c>
      <c r="C1105" s="37" t="s">
        <v>2899</v>
      </c>
      <c r="D1105" s="37" t="s">
        <v>2900</v>
      </c>
      <c r="E1105" s="37" t="s">
        <v>2776</v>
      </c>
      <c r="F1105" s="37" t="s">
        <v>2827</v>
      </c>
      <c r="G1105" s="37" t="s">
        <v>2827</v>
      </c>
      <c r="H1105" s="37" t="s">
        <v>2827</v>
      </c>
      <c r="I1105" s="37" t="s">
        <v>92</v>
      </c>
      <c r="J1105" s="37" t="s">
        <v>92</v>
      </c>
      <c r="K1105" s="37" t="s">
        <v>92</v>
      </c>
      <c r="L1105" s="36">
        <v>4</v>
      </c>
      <c r="M1105" s="36">
        <v>4</v>
      </c>
      <c r="N1105" s="36">
        <v>4</v>
      </c>
      <c r="O1105" s="36">
        <v>5</v>
      </c>
      <c r="P1105" s="37" t="s">
        <v>292</v>
      </c>
      <c r="Q1105" s="37"/>
      <c r="R1105" s="37" t="s">
        <v>3149</v>
      </c>
    </row>
    <row r="1106" spans="1:18" ht="27.7" thickBot="1" x14ac:dyDescent="0.55000000000000004">
      <c r="A1106" s="36">
        <v>1284</v>
      </c>
      <c r="B1106" s="37" t="s">
        <v>3150</v>
      </c>
      <c r="C1106" s="37" t="s">
        <v>2899</v>
      </c>
      <c r="D1106" s="37" t="s">
        <v>2900</v>
      </c>
      <c r="E1106" s="37" t="s">
        <v>2776</v>
      </c>
      <c r="F1106" s="37" t="s">
        <v>2827</v>
      </c>
      <c r="G1106" s="37" t="s">
        <v>2827</v>
      </c>
      <c r="H1106" s="37" t="s">
        <v>2827</v>
      </c>
      <c r="I1106" s="37" t="s">
        <v>92</v>
      </c>
      <c r="J1106" s="37" t="s">
        <v>92</v>
      </c>
      <c r="K1106" s="37" t="s">
        <v>92</v>
      </c>
      <c r="L1106" s="36">
        <v>4</v>
      </c>
      <c r="M1106" s="36">
        <v>4</v>
      </c>
      <c r="N1106" s="36">
        <v>4</v>
      </c>
      <c r="O1106" s="36">
        <v>4</v>
      </c>
      <c r="P1106" s="37" t="s">
        <v>292</v>
      </c>
      <c r="Q1106" s="37"/>
      <c r="R1106" s="37" t="s">
        <v>3151</v>
      </c>
    </row>
    <row r="1107" spans="1:18" ht="27.7" thickBot="1" x14ac:dyDescent="0.55000000000000004">
      <c r="A1107" s="36">
        <v>1285</v>
      </c>
      <c r="B1107" s="37" t="s">
        <v>3152</v>
      </c>
      <c r="C1107" s="37" t="s">
        <v>2874</v>
      </c>
      <c r="D1107" s="37" t="s">
        <v>2768</v>
      </c>
      <c r="E1107" s="37" t="s">
        <v>2730</v>
      </c>
      <c r="F1107" s="37" t="s">
        <v>2771</v>
      </c>
      <c r="G1107" s="37" t="s">
        <v>2771</v>
      </c>
      <c r="H1107" s="37" t="s">
        <v>2771</v>
      </c>
      <c r="I1107" s="37" t="s">
        <v>90</v>
      </c>
      <c r="J1107" s="37" t="s">
        <v>90</v>
      </c>
      <c r="K1107" s="37" t="s">
        <v>90</v>
      </c>
      <c r="L1107" s="36">
        <v>5</v>
      </c>
      <c r="M1107" s="36">
        <v>5</v>
      </c>
      <c r="N1107" s="36">
        <v>5</v>
      </c>
      <c r="O1107" s="36">
        <v>5</v>
      </c>
      <c r="P1107" s="37" t="s">
        <v>292</v>
      </c>
      <c r="Q1107" s="37"/>
      <c r="R1107" s="37" t="s">
        <v>3153</v>
      </c>
    </row>
    <row r="1108" spans="1:18" ht="27.7" thickBot="1" x14ac:dyDescent="0.55000000000000004">
      <c r="A1108" s="36">
        <v>1286</v>
      </c>
      <c r="B1108" s="37" t="s">
        <v>3154</v>
      </c>
      <c r="C1108" s="37" t="s">
        <v>2874</v>
      </c>
      <c r="D1108" s="37" t="s">
        <v>2768</v>
      </c>
      <c r="E1108" s="37" t="s">
        <v>2730</v>
      </c>
      <c r="F1108" s="37" t="s">
        <v>2771</v>
      </c>
      <c r="G1108" s="37" t="s">
        <v>2771</v>
      </c>
      <c r="H1108" s="37" t="s">
        <v>2771</v>
      </c>
      <c r="I1108" s="37" t="s">
        <v>102</v>
      </c>
      <c r="J1108" s="37" t="s">
        <v>102</v>
      </c>
      <c r="K1108" s="37" t="s">
        <v>90</v>
      </c>
      <c r="L1108" s="36">
        <v>2</v>
      </c>
      <c r="M1108" s="36">
        <v>2</v>
      </c>
      <c r="N1108" s="36">
        <v>2</v>
      </c>
      <c r="O1108" s="36">
        <v>3</v>
      </c>
      <c r="P1108" s="37" t="s">
        <v>292</v>
      </c>
      <c r="Q1108" s="37"/>
      <c r="R1108" s="37" t="s">
        <v>3155</v>
      </c>
    </row>
    <row r="1109" spans="1:18" ht="27.7" thickBot="1" x14ac:dyDescent="0.55000000000000004">
      <c r="A1109" s="36">
        <v>1287</v>
      </c>
      <c r="B1109" s="37" t="s">
        <v>3156</v>
      </c>
      <c r="C1109" s="37" t="s">
        <v>2843</v>
      </c>
      <c r="D1109" s="37" t="s">
        <v>2844</v>
      </c>
      <c r="E1109" s="37" t="s">
        <v>2776</v>
      </c>
      <c r="F1109" s="37" t="s">
        <v>2771</v>
      </c>
      <c r="G1109" s="37" t="s">
        <v>2771</v>
      </c>
      <c r="H1109" s="37" t="s">
        <v>2771</v>
      </c>
      <c r="I1109" s="37" t="s">
        <v>102</v>
      </c>
      <c r="J1109" s="37" t="s">
        <v>102</v>
      </c>
      <c r="K1109" s="37" t="s">
        <v>90</v>
      </c>
      <c r="L1109" s="36">
        <v>2</v>
      </c>
      <c r="M1109" s="36">
        <v>2</v>
      </c>
      <c r="N1109" s="36">
        <v>2</v>
      </c>
      <c r="O1109" s="36">
        <v>4</v>
      </c>
      <c r="P1109" s="37" t="s">
        <v>292</v>
      </c>
      <c r="Q1109" s="37"/>
      <c r="R1109" s="37" t="s">
        <v>3157</v>
      </c>
    </row>
    <row r="1110" spans="1:18" ht="27.7" thickBot="1" x14ac:dyDescent="0.55000000000000004">
      <c r="A1110" s="36">
        <v>1288</v>
      </c>
      <c r="B1110" s="37" t="s">
        <v>3158</v>
      </c>
      <c r="C1110" s="37" t="s">
        <v>2847</v>
      </c>
      <c r="D1110" s="37" t="s">
        <v>2844</v>
      </c>
      <c r="E1110" s="37" t="s">
        <v>2776</v>
      </c>
      <c r="F1110" s="37" t="s">
        <v>2827</v>
      </c>
      <c r="G1110" s="37" t="s">
        <v>2827</v>
      </c>
      <c r="H1110" s="37" t="s">
        <v>2827</v>
      </c>
      <c r="I1110" s="37" t="s">
        <v>102</v>
      </c>
      <c r="J1110" s="37" t="s">
        <v>102</v>
      </c>
      <c r="K1110" s="37" t="s">
        <v>102</v>
      </c>
      <c r="L1110" s="36">
        <v>4</v>
      </c>
      <c r="M1110" s="36">
        <v>5</v>
      </c>
      <c r="N1110" s="36">
        <v>5</v>
      </c>
      <c r="O1110" s="36">
        <v>6</v>
      </c>
      <c r="P1110" s="37" t="s">
        <v>292</v>
      </c>
      <c r="Q1110" s="37"/>
      <c r="R1110" s="37" t="s">
        <v>3159</v>
      </c>
    </row>
    <row r="1111" spans="1:18" ht="27.7" thickBot="1" x14ac:dyDescent="0.55000000000000004">
      <c r="A1111" s="36">
        <v>1289</v>
      </c>
      <c r="B1111" s="37" t="s">
        <v>3160</v>
      </c>
      <c r="C1111" s="37" t="s">
        <v>2847</v>
      </c>
      <c r="D1111" s="37" t="s">
        <v>2844</v>
      </c>
      <c r="E1111" s="37" t="s">
        <v>2776</v>
      </c>
      <c r="F1111" s="37" t="s">
        <v>2793</v>
      </c>
      <c r="G1111" s="37" t="s">
        <v>2793</v>
      </c>
      <c r="H1111" s="37" t="s">
        <v>2793</v>
      </c>
      <c r="I1111" s="37" t="s">
        <v>102</v>
      </c>
      <c r="J1111" s="37" t="s">
        <v>102</v>
      </c>
      <c r="K1111" s="37" t="s">
        <v>102</v>
      </c>
      <c r="L1111" s="36">
        <v>2</v>
      </c>
      <c r="M1111" s="36">
        <v>2</v>
      </c>
      <c r="N1111" s="36">
        <v>2</v>
      </c>
      <c r="O1111" s="36">
        <v>3</v>
      </c>
      <c r="P1111" s="37" t="s">
        <v>292</v>
      </c>
      <c r="Q1111" s="37"/>
      <c r="R1111" s="37" t="s">
        <v>3161</v>
      </c>
    </row>
    <row r="1112" spans="1:18" ht="27.7" thickBot="1" x14ac:dyDescent="0.55000000000000004">
      <c r="A1112" s="36">
        <v>1290</v>
      </c>
      <c r="B1112" s="37" t="s">
        <v>3162</v>
      </c>
      <c r="C1112" s="37" t="s">
        <v>3163</v>
      </c>
      <c r="D1112" s="37" t="s">
        <v>2775</v>
      </c>
      <c r="E1112" s="37" t="s">
        <v>2776</v>
      </c>
      <c r="F1112" s="37" t="s">
        <v>2777</v>
      </c>
      <c r="G1112" s="37" t="s">
        <v>2777</v>
      </c>
      <c r="H1112" s="37" t="s">
        <v>2777</v>
      </c>
      <c r="I1112" s="37" t="s">
        <v>102</v>
      </c>
      <c r="J1112" s="37" t="s">
        <v>102</v>
      </c>
      <c r="K1112" s="37" t="s">
        <v>102</v>
      </c>
      <c r="L1112" s="36">
        <v>3</v>
      </c>
      <c r="M1112" s="36">
        <v>3</v>
      </c>
      <c r="N1112" s="36">
        <v>3</v>
      </c>
      <c r="O1112" s="36">
        <v>5</v>
      </c>
      <c r="P1112" s="37" t="s">
        <v>265</v>
      </c>
      <c r="Q1112" s="37"/>
      <c r="R1112" s="37" t="s">
        <v>3164</v>
      </c>
    </row>
    <row r="1113" spans="1:18" ht="27.7" thickBot="1" x14ac:dyDescent="0.55000000000000004">
      <c r="A1113" s="36">
        <v>1291</v>
      </c>
      <c r="B1113" s="37" t="s">
        <v>3165</v>
      </c>
      <c r="C1113" s="37" t="s">
        <v>3163</v>
      </c>
      <c r="D1113" s="37" t="s">
        <v>2775</v>
      </c>
      <c r="E1113" s="37" t="s">
        <v>2776</v>
      </c>
      <c r="F1113" s="37" t="s">
        <v>2793</v>
      </c>
      <c r="G1113" s="37" t="s">
        <v>2793</v>
      </c>
      <c r="H1113" s="37" t="s">
        <v>2793</v>
      </c>
      <c r="I1113" s="37" t="s">
        <v>102</v>
      </c>
      <c r="J1113" s="37" t="s">
        <v>102</v>
      </c>
      <c r="K1113" s="37" t="s">
        <v>102</v>
      </c>
      <c r="L1113" s="36">
        <v>3</v>
      </c>
      <c r="M1113" s="36">
        <v>3</v>
      </c>
      <c r="N1113" s="36">
        <v>3</v>
      </c>
      <c r="O1113" s="36">
        <v>3</v>
      </c>
      <c r="P1113" s="37" t="s">
        <v>292</v>
      </c>
      <c r="Q1113" s="37"/>
      <c r="R1113" s="37" t="s">
        <v>3166</v>
      </c>
    </row>
    <row r="1114" spans="1:18" ht="41.35" thickBot="1" x14ac:dyDescent="0.55000000000000004">
      <c r="A1114" s="36">
        <v>1292</v>
      </c>
      <c r="B1114" s="37" t="s">
        <v>3167</v>
      </c>
      <c r="C1114" s="37" t="s">
        <v>3163</v>
      </c>
      <c r="D1114" s="37" t="s">
        <v>2775</v>
      </c>
      <c r="E1114" s="37" t="s">
        <v>2776</v>
      </c>
      <c r="F1114" s="37" t="s">
        <v>2777</v>
      </c>
      <c r="G1114" s="37" t="s">
        <v>2777</v>
      </c>
      <c r="H1114" s="37" t="s">
        <v>2777</v>
      </c>
      <c r="I1114" s="37" t="s">
        <v>102</v>
      </c>
      <c r="J1114" s="37" t="s">
        <v>102</v>
      </c>
      <c r="K1114" s="37" t="s">
        <v>102</v>
      </c>
      <c r="L1114" s="36">
        <v>4</v>
      </c>
      <c r="M1114" s="36">
        <v>4</v>
      </c>
      <c r="N1114" s="36">
        <v>4</v>
      </c>
      <c r="O1114" s="36">
        <v>6</v>
      </c>
      <c r="P1114" s="37" t="s">
        <v>265</v>
      </c>
      <c r="Q1114" s="37"/>
      <c r="R1114" s="37" t="s">
        <v>3168</v>
      </c>
    </row>
    <row r="1115" spans="1:18" ht="27.7" thickBot="1" x14ac:dyDescent="0.55000000000000004">
      <c r="A1115" s="36">
        <v>1294</v>
      </c>
      <c r="B1115" s="37" t="s">
        <v>3169</v>
      </c>
      <c r="C1115" s="37" t="s">
        <v>3170</v>
      </c>
      <c r="D1115" s="37" t="s">
        <v>2792</v>
      </c>
      <c r="E1115" s="37" t="s">
        <v>2776</v>
      </c>
      <c r="F1115" s="37" t="s">
        <v>2793</v>
      </c>
      <c r="G1115" s="37" t="s">
        <v>2793</v>
      </c>
      <c r="H1115" s="37" t="s">
        <v>2793</v>
      </c>
      <c r="I1115" s="37" t="s">
        <v>102</v>
      </c>
      <c r="J1115" s="37" t="s">
        <v>102</v>
      </c>
      <c r="K1115" s="37" t="s">
        <v>102</v>
      </c>
      <c r="L1115" s="36">
        <v>2</v>
      </c>
      <c r="M1115" s="36">
        <v>2</v>
      </c>
      <c r="N1115" s="36">
        <v>2</v>
      </c>
      <c r="O1115" s="36">
        <v>4</v>
      </c>
      <c r="P1115" s="37" t="s">
        <v>265</v>
      </c>
      <c r="Q1115" s="37"/>
      <c r="R1115" s="37" t="s">
        <v>3171</v>
      </c>
    </row>
    <row r="1116" spans="1:18" ht="14.7" thickBot="1" x14ac:dyDescent="0.55000000000000004">
      <c r="A1116" s="36">
        <v>1295</v>
      </c>
      <c r="B1116" s="37" t="s">
        <v>3172</v>
      </c>
      <c r="C1116" s="37" t="s">
        <v>2811</v>
      </c>
      <c r="D1116" s="37" t="s">
        <v>2775</v>
      </c>
      <c r="E1116" s="37" t="s">
        <v>2776</v>
      </c>
      <c r="F1116" s="37" t="s">
        <v>2777</v>
      </c>
      <c r="G1116" s="37" t="s">
        <v>2777</v>
      </c>
      <c r="H1116" s="37" t="s">
        <v>2777</v>
      </c>
      <c r="I1116" s="37" t="s">
        <v>102</v>
      </c>
      <c r="J1116" s="37" t="s">
        <v>102</v>
      </c>
      <c r="K1116" s="37" t="s">
        <v>102</v>
      </c>
      <c r="L1116" s="36">
        <v>2</v>
      </c>
      <c r="M1116" s="36">
        <v>2</v>
      </c>
      <c r="N1116" s="36">
        <v>2</v>
      </c>
      <c r="O1116" s="36">
        <v>3</v>
      </c>
      <c r="P1116" s="37" t="s">
        <v>265</v>
      </c>
      <c r="Q1116" s="37"/>
      <c r="R1116" s="37" t="s">
        <v>3173</v>
      </c>
    </row>
    <row r="1117" spans="1:18" ht="27.7" thickBot="1" x14ac:dyDescent="0.55000000000000004">
      <c r="A1117" s="36">
        <v>1296</v>
      </c>
      <c r="B1117" s="37" t="s">
        <v>3174</v>
      </c>
      <c r="C1117" s="37" t="s">
        <v>3074</v>
      </c>
      <c r="D1117" s="37" t="s">
        <v>2925</v>
      </c>
      <c r="E1117" s="37" t="s">
        <v>2784</v>
      </c>
      <c r="F1117" s="37" t="s">
        <v>2926</v>
      </c>
      <c r="G1117" s="37" t="s">
        <v>2926</v>
      </c>
      <c r="H1117" s="37" t="s">
        <v>2926</v>
      </c>
      <c r="I1117" s="37" t="s">
        <v>92</v>
      </c>
      <c r="J1117" s="37" t="s">
        <v>92</v>
      </c>
      <c r="K1117" s="37" t="s">
        <v>92</v>
      </c>
      <c r="L1117" s="36">
        <v>2</v>
      </c>
      <c r="M1117" s="36">
        <v>2</v>
      </c>
      <c r="N1117" s="36">
        <v>2</v>
      </c>
      <c r="O1117" s="36">
        <v>3</v>
      </c>
      <c r="P1117" s="37" t="s">
        <v>292</v>
      </c>
      <c r="Q1117" s="37"/>
      <c r="R1117" s="37" t="s">
        <v>3175</v>
      </c>
    </row>
    <row r="1118" spans="1:18" ht="14.7" thickBot="1" x14ac:dyDescent="0.55000000000000004">
      <c r="A1118" s="36">
        <v>1297</v>
      </c>
      <c r="B1118" s="37" t="s">
        <v>3176</v>
      </c>
      <c r="C1118" s="37" t="s">
        <v>2814</v>
      </c>
      <c r="D1118" s="37" t="s">
        <v>2815</v>
      </c>
      <c r="E1118" s="37" t="s">
        <v>2776</v>
      </c>
      <c r="F1118" s="37" t="s">
        <v>2816</v>
      </c>
      <c r="G1118" s="37" t="s">
        <v>2816</v>
      </c>
      <c r="H1118" s="37" t="s">
        <v>2816</v>
      </c>
      <c r="I1118" s="37" t="s">
        <v>90</v>
      </c>
      <c r="J1118" s="37" t="s">
        <v>90</v>
      </c>
      <c r="K1118" s="37" t="s">
        <v>90</v>
      </c>
      <c r="L1118" s="36">
        <v>4</v>
      </c>
      <c r="M1118" s="36">
        <v>4</v>
      </c>
      <c r="N1118" s="36">
        <v>4</v>
      </c>
      <c r="O1118" s="36">
        <v>6</v>
      </c>
      <c r="P1118" s="37" t="s">
        <v>265</v>
      </c>
      <c r="Q1118" s="37"/>
      <c r="R1118" s="37" t="s">
        <v>3177</v>
      </c>
    </row>
    <row r="1119" spans="1:18" ht="27.7" thickBot="1" x14ac:dyDescent="0.55000000000000004">
      <c r="A1119" s="36">
        <v>1298</v>
      </c>
      <c r="B1119" s="37" t="s">
        <v>3178</v>
      </c>
      <c r="C1119" s="37" t="s">
        <v>2852</v>
      </c>
      <c r="D1119" s="37" t="s">
        <v>2844</v>
      </c>
      <c r="E1119" s="37" t="s">
        <v>2776</v>
      </c>
      <c r="F1119" s="37" t="s">
        <v>2827</v>
      </c>
      <c r="G1119" s="37" t="s">
        <v>2827</v>
      </c>
      <c r="H1119" s="37" t="s">
        <v>2827</v>
      </c>
      <c r="I1119" s="37" t="s">
        <v>90</v>
      </c>
      <c r="J1119" s="37" t="s">
        <v>90</v>
      </c>
      <c r="K1119" s="37" t="s">
        <v>90</v>
      </c>
      <c r="L1119" s="36">
        <v>3</v>
      </c>
      <c r="M1119" s="36">
        <v>3</v>
      </c>
      <c r="N1119" s="36">
        <v>3</v>
      </c>
      <c r="O1119" s="36">
        <v>5</v>
      </c>
      <c r="P1119" s="37" t="s">
        <v>292</v>
      </c>
      <c r="Q1119" s="37"/>
      <c r="R1119" s="37" t="s">
        <v>3179</v>
      </c>
    </row>
    <row r="1120" spans="1:18" ht="27.7" thickBot="1" x14ac:dyDescent="0.55000000000000004">
      <c r="A1120" s="36">
        <v>1299</v>
      </c>
      <c r="B1120" s="37" t="s">
        <v>3180</v>
      </c>
      <c r="C1120" s="37" t="s">
        <v>2852</v>
      </c>
      <c r="D1120" s="37" t="s">
        <v>2844</v>
      </c>
      <c r="E1120" s="37" t="s">
        <v>2776</v>
      </c>
      <c r="F1120" s="37" t="s">
        <v>2827</v>
      </c>
      <c r="G1120" s="37" t="s">
        <v>2827</v>
      </c>
      <c r="H1120" s="37" t="s">
        <v>2827</v>
      </c>
      <c r="I1120" s="37" t="s">
        <v>102</v>
      </c>
      <c r="J1120" s="37" t="s">
        <v>102</v>
      </c>
      <c r="K1120" s="37" t="s">
        <v>90</v>
      </c>
      <c r="L1120" s="36">
        <v>1</v>
      </c>
      <c r="M1120" s="36">
        <v>1</v>
      </c>
      <c r="N1120" s="36">
        <v>1</v>
      </c>
      <c r="O1120" s="36">
        <v>3</v>
      </c>
      <c r="P1120" s="37" t="s">
        <v>292</v>
      </c>
      <c r="Q1120" s="37"/>
      <c r="R1120" s="37" t="s">
        <v>3181</v>
      </c>
    </row>
    <row r="1121" spans="1:18" ht="27.7" thickBot="1" x14ac:dyDescent="0.55000000000000004">
      <c r="A1121" s="36">
        <v>1300</v>
      </c>
      <c r="B1121" s="37" t="s">
        <v>3182</v>
      </c>
      <c r="C1121" s="37" t="s">
        <v>3183</v>
      </c>
      <c r="D1121" s="37" t="s">
        <v>2792</v>
      </c>
      <c r="E1121" s="37" t="s">
        <v>2776</v>
      </c>
      <c r="F1121" s="37" t="s">
        <v>2793</v>
      </c>
      <c r="G1121" s="37" t="s">
        <v>2793</v>
      </c>
      <c r="H1121" s="37" t="s">
        <v>2793</v>
      </c>
      <c r="I1121" s="37" t="s">
        <v>102</v>
      </c>
      <c r="J1121" s="37" t="s">
        <v>102</v>
      </c>
      <c r="K1121" s="37" t="s">
        <v>102</v>
      </c>
      <c r="L1121" s="36">
        <v>2</v>
      </c>
      <c r="M1121" s="36">
        <v>2</v>
      </c>
      <c r="N1121" s="36">
        <v>2</v>
      </c>
      <c r="O1121" s="36">
        <v>4</v>
      </c>
      <c r="P1121" s="37" t="s">
        <v>292</v>
      </c>
      <c r="Q1121" s="37"/>
      <c r="R1121" s="37" t="s">
        <v>3184</v>
      </c>
    </row>
    <row r="1122" spans="1:18" ht="27.7" thickBot="1" x14ac:dyDescent="0.55000000000000004">
      <c r="A1122" s="36">
        <v>1301</v>
      </c>
      <c r="B1122" s="37" t="s">
        <v>3185</v>
      </c>
      <c r="C1122" s="37" t="s">
        <v>2910</v>
      </c>
      <c r="D1122" s="37" t="s">
        <v>2900</v>
      </c>
      <c r="E1122" s="37" t="s">
        <v>2776</v>
      </c>
      <c r="F1122" s="37" t="s">
        <v>2827</v>
      </c>
      <c r="G1122" s="37" t="s">
        <v>2827</v>
      </c>
      <c r="H1122" s="37" t="s">
        <v>2827</v>
      </c>
      <c r="I1122" s="37" t="s">
        <v>102</v>
      </c>
      <c r="J1122" s="37" t="s">
        <v>102</v>
      </c>
      <c r="K1122" s="37" t="s">
        <v>92</v>
      </c>
      <c r="L1122" s="36">
        <v>4</v>
      </c>
      <c r="M1122" s="36">
        <v>4</v>
      </c>
      <c r="N1122" s="36">
        <v>4</v>
      </c>
      <c r="O1122" s="36">
        <v>4</v>
      </c>
      <c r="P1122" s="37" t="s">
        <v>292</v>
      </c>
      <c r="Q1122" s="37"/>
      <c r="R1122" s="37" t="s">
        <v>3186</v>
      </c>
    </row>
    <row r="1123" spans="1:18" ht="27.7" thickBot="1" x14ac:dyDescent="0.55000000000000004">
      <c r="A1123" s="36">
        <v>1302</v>
      </c>
      <c r="B1123" s="37" t="s">
        <v>3187</v>
      </c>
      <c r="C1123" s="37" t="s">
        <v>3183</v>
      </c>
      <c r="D1123" s="37" t="s">
        <v>2792</v>
      </c>
      <c r="E1123" s="37" t="s">
        <v>2776</v>
      </c>
      <c r="F1123" s="37" t="s">
        <v>2793</v>
      </c>
      <c r="G1123" s="37" t="s">
        <v>2793</v>
      </c>
      <c r="H1123" s="37" t="s">
        <v>2793</v>
      </c>
      <c r="I1123" s="37" t="s">
        <v>102</v>
      </c>
      <c r="J1123" s="37" t="s">
        <v>102</v>
      </c>
      <c r="K1123" s="37" t="s">
        <v>102</v>
      </c>
      <c r="L1123" s="36">
        <v>4</v>
      </c>
      <c r="M1123" s="36">
        <v>4</v>
      </c>
      <c r="N1123" s="36">
        <v>4</v>
      </c>
      <c r="O1123" s="36">
        <v>5</v>
      </c>
      <c r="P1123" s="37" t="s">
        <v>292</v>
      </c>
      <c r="Q1123" s="37"/>
      <c r="R1123" s="37" t="s">
        <v>3188</v>
      </c>
    </row>
    <row r="1124" spans="1:18" ht="14.7" thickBot="1" x14ac:dyDescent="0.55000000000000004">
      <c r="A1124" s="36">
        <v>1303</v>
      </c>
      <c r="B1124" s="37" t="s">
        <v>3189</v>
      </c>
      <c r="C1124" s="37" t="s">
        <v>2814</v>
      </c>
      <c r="D1124" s="37" t="s">
        <v>2815</v>
      </c>
      <c r="E1124" s="37" t="s">
        <v>2776</v>
      </c>
      <c r="F1124" s="37" t="s">
        <v>2816</v>
      </c>
      <c r="G1124" s="37" t="s">
        <v>2816</v>
      </c>
      <c r="H1124" s="37" t="s">
        <v>2816</v>
      </c>
      <c r="I1124" s="37" t="s">
        <v>90</v>
      </c>
      <c r="J1124" s="37" t="s">
        <v>88</v>
      </c>
      <c r="K1124" s="37" t="s">
        <v>88</v>
      </c>
      <c r="L1124" s="36">
        <v>2</v>
      </c>
      <c r="M1124" s="36">
        <v>2</v>
      </c>
      <c r="N1124" s="36">
        <v>2</v>
      </c>
      <c r="O1124" s="36">
        <v>4</v>
      </c>
      <c r="P1124" s="37" t="s">
        <v>292</v>
      </c>
      <c r="Q1124" s="37"/>
      <c r="R1124" s="37" t="s">
        <v>3190</v>
      </c>
    </row>
    <row r="1125" spans="1:18" ht="27.7" thickBot="1" x14ac:dyDescent="0.55000000000000004">
      <c r="A1125" s="36">
        <v>1304</v>
      </c>
      <c r="B1125" s="37" t="s">
        <v>3191</v>
      </c>
      <c r="C1125" s="37" t="s">
        <v>3170</v>
      </c>
      <c r="D1125" s="37" t="s">
        <v>2792</v>
      </c>
      <c r="E1125" s="37" t="s">
        <v>2776</v>
      </c>
      <c r="F1125" s="37" t="s">
        <v>2793</v>
      </c>
      <c r="G1125" s="37" t="s">
        <v>2793</v>
      </c>
      <c r="H1125" s="37" t="s">
        <v>2793</v>
      </c>
      <c r="I1125" s="37" t="s">
        <v>102</v>
      </c>
      <c r="J1125" s="37" t="s">
        <v>102</v>
      </c>
      <c r="K1125" s="37" t="s">
        <v>102</v>
      </c>
      <c r="L1125" s="36">
        <v>3</v>
      </c>
      <c r="M1125" s="36">
        <v>3</v>
      </c>
      <c r="N1125" s="36">
        <v>3</v>
      </c>
      <c r="O1125" s="36">
        <v>4</v>
      </c>
      <c r="P1125" s="37" t="s">
        <v>292</v>
      </c>
      <c r="Q1125" s="37"/>
      <c r="R1125" s="37" t="s">
        <v>3192</v>
      </c>
    </row>
    <row r="1126" spans="1:18" ht="14.7" hidden="1" thickBot="1" x14ac:dyDescent="0.55000000000000004">
      <c r="A1126" s="36">
        <v>1306</v>
      </c>
      <c r="B1126" s="37" t="s">
        <v>3193</v>
      </c>
      <c r="C1126" s="37" t="s">
        <v>2624</v>
      </c>
      <c r="D1126" s="37" t="s">
        <v>2624</v>
      </c>
      <c r="E1126" s="37" t="s">
        <v>1785</v>
      </c>
      <c r="F1126" s="37" t="s">
        <v>2801</v>
      </c>
      <c r="G1126" s="37" t="s">
        <v>2801</v>
      </c>
      <c r="H1126" s="37" t="s">
        <v>2801</v>
      </c>
      <c r="I1126" s="37" t="s">
        <v>1465</v>
      </c>
      <c r="J1126" s="37" t="s">
        <v>1465</v>
      </c>
      <c r="K1126" s="37" t="s">
        <v>1465</v>
      </c>
      <c r="L1126" s="36">
        <v>1</v>
      </c>
      <c r="M1126" s="36">
        <v>1</v>
      </c>
      <c r="N1126" s="36">
        <v>1</v>
      </c>
      <c r="O1126" s="36">
        <v>3</v>
      </c>
      <c r="P1126" s="37" t="s">
        <v>292</v>
      </c>
      <c r="Q1126" s="37"/>
      <c r="R1126" s="37" t="s">
        <v>3194</v>
      </c>
    </row>
    <row r="1127" spans="1:18" ht="27.7" thickBot="1" x14ac:dyDescent="0.55000000000000004">
      <c r="A1127" s="36">
        <v>1318</v>
      </c>
      <c r="B1127" s="37" t="s">
        <v>3195</v>
      </c>
      <c r="C1127" s="37" t="s">
        <v>2796</v>
      </c>
      <c r="D1127" s="37" t="s">
        <v>2797</v>
      </c>
      <c r="E1127" s="37" t="s">
        <v>2784</v>
      </c>
      <c r="F1127" s="37" t="s">
        <v>2798</v>
      </c>
      <c r="G1127" s="37" t="s">
        <v>2798</v>
      </c>
      <c r="H1127" s="37" t="s">
        <v>2798</v>
      </c>
      <c r="I1127" s="37" t="s">
        <v>92</v>
      </c>
      <c r="J1127" s="37" t="s">
        <v>92</v>
      </c>
      <c r="K1127" s="37" t="s">
        <v>92</v>
      </c>
      <c r="L1127" s="36">
        <v>2</v>
      </c>
      <c r="M1127" s="36">
        <v>2</v>
      </c>
      <c r="N1127" s="36">
        <v>2</v>
      </c>
      <c r="O1127" s="36">
        <v>3</v>
      </c>
      <c r="P1127" s="37" t="s">
        <v>265</v>
      </c>
      <c r="Q1127" s="37"/>
      <c r="R1127" s="37" t="s">
        <v>3196</v>
      </c>
    </row>
    <row r="1128" spans="1:18" ht="27.7" thickBot="1" x14ac:dyDescent="0.55000000000000004">
      <c r="A1128" s="36">
        <v>1319</v>
      </c>
      <c r="B1128" s="37" t="s">
        <v>3197</v>
      </c>
      <c r="C1128" s="37" t="s">
        <v>2796</v>
      </c>
      <c r="D1128" s="37" t="s">
        <v>2797</v>
      </c>
      <c r="E1128" s="37" t="s">
        <v>2784</v>
      </c>
      <c r="F1128" s="37" t="s">
        <v>2798</v>
      </c>
      <c r="G1128" s="37" t="s">
        <v>2798</v>
      </c>
      <c r="H1128" s="37" t="s">
        <v>2798</v>
      </c>
      <c r="I1128" s="37" t="s">
        <v>92</v>
      </c>
      <c r="J1128" s="37" t="s">
        <v>92</v>
      </c>
      <c r="K1128" s="37" t="s">
        <v>92</v>
      </c>
      <c r="L1128" s="36">
        <v>2</v>
      </c>
      <c r="M1128" s="36">
        <v>2</v>
      </c>
      <c r="N1128" s="36">
        <v>2</v>
      </c>
      <c r="O1128" s="36">
        <v>4</v>
      </c>
      <c r="P1128" s="37" t="s">
        <v>292</v>
      </c>
      <c r="Q1128" s="37"/>
      <c r="R1128" s="37" t="s">
        <v>3198</v>
      </c>
    </row>
    <row r="1129" spans="1:18" ht="27.7" hidden="1" thickBot="1" x14ac:dyDescent="0.55000000000000004">
      <c r="A1129" s="36">
        <v>1320</v>
      </c>
      <c r="B1129" s="37" t="s">
        <v>3199</v>
      </c>
      <c r="C1129" s="37" t="s">
        <v>2403</v>
      </c>
      <c r="D1129" s="37" t="s">
        <v>2402</v>
      </c>
      <c r="E1129" s="37" t="s">
        <v>2404</v>
      </c>
      <c r="F1129" s="37" t="s">
        <v>2405</v>
      </c>
      <c r="G1129" s="37" t="s">
        <v>2405</v>
      </c>
      <c r="H1129" s="37" t="s">
        <v>2405</v>
      </c>
      <c r="I1129" s="37" t="s">
        <v>2077</v>
      </c>
      <c r="J1129" s="37" t="s">
        <v>2077</v>
      </c>
      <c r="K1129" s="37" t="s">
        <v>2077</v>
      </c>
      <c r="L1129" s="36">
        <v>4</v>
      </c>
      <c r="M1129" s="36">
        <v>4</v>
      </c>
      <c r="N1129" s="36">
        <v>4</v>
      </c>
      <c r="O1129" s="36">
        <v>5</v>
      </c>
      <c r="P1129" s="37" t="s">
        <v>265</v>
      </c>
      <c r="Q1129" s="37"/>
      <c r="R1129" s="37" t="s">
        <v>3200</v>
      </c>
    </row>
    <row r="1130" spans="1:18" ht="41.35" thickBot="1" x14ac:dyDescent="0.55000000000000004">
      <c r="A1130" s="36">
        <v>1321</v>
      </c>
      <c r="B1130" s="37" t="s">
        <v>3071</v>
      </c>
      <c r="C1130" s="37" t="s">
        <v>3071</v>
      </c>
      <c r="D1130" s="37" t="s">
        <v>2925</v>
      </c>
      <c r="E1130" s="37" t="s">
        <v>2784</v>
      </c>
      <c r="F1130" s="37" t="s">
        <v>2926</v>
      </c>
      <c r="G1130" s="37" t="s">
        <v>2926</v>
      </c>
      <c r="H1130" s="37" t="s">
        <v>2926</v>
      </c>
      <c r="I1130" s="37" t="s">
        <v>92</v>
      </c>
      <c r="J1130" s="37" t="s">
        <v>92</v>
      </c>
      <c r="K1130" s="37" t="s">
        <v>92</v>
      </c>
      <c r="L1130" s="36">
        <v>4</v>
      </c>
      <c r="M1130" s="36">
        <v>4</v>
      </c>
      <c r="N1130" s="36">
        <v>4</v>
      </c>
      <c r="O1130" s="36">
        <v>5</v>
      </c>
      <c r="P1130" s="37" t="s">
        <v>292</v>
      </c>
      <c r="Q1130" s="37"/>
      <c r="R1130" s="37" t="s">
        <v>3201</v>
      </c>
    </row>
    <row r="1131" spans="1:18" ht="27.7" hidden="1" thickBot="1" x14ac:dyDescent="0.55000000000000004">
      <c r="A1131" s="36">
        <v>1322</v>
      </c>
      <c r="B1131" s="37" t="s">
        <v>2403</v>
      </c>
      <c r="C1131" s="37" t="s">
        <v>2403</v>
      </c>
      <c r="D1131" s="37" t="s">
        <v>2402</v>
      </c>
      <c r="E1131" s="37" t="s">
        <v>2404</v>
      </c>
      <c r="F1131" s="37" t="s">
        <v>2405</v>
      </c>
      <c r="G1131" s="37" t="s">
        <v>2405</v>
      </c>
      <c r="H1131" s="37" t="s">
        <v>2405</v>
      </c>
      <c r="I1131" s="37" t="s">
        <v>2077</v>
      </c>
      <c r="J1131" s="37" t="s">
        <v>2077</v>
      </c>
      <c r="K1131" s="37" t="s">
        <v>2077</v>
      </c>
      <c r="L1131" s="36">
        <v>3</v>
      </c>
      <c r="M1131" s="36">
        <v>3</v>
      </c>
      <c r="N1131" s="36">
        <v>3</v>
      </c>
      <c r="O1131" s="36">
        <v>4</v>
      </c>
      <c r="P1131" s="37" t="s">
        <v>292</v>
      </c>
      <c r="Q1131" s="37"/>
      <c r="R1131" s="37" t="s">
        <v>3202</v>
      </c>
    </row>
    <row r="1132" spans="1:18" ht="27.7" thickBot="1" x14ac:dyDescent="0.55000000000000004">
      <c r="A1132" s="36">
        <v>1323</v>
      </c>
      <c r="B1132" s="37" t="s">
        <v>3203</v>
      </c>
      <c r="C1132" s="37" t="s">
        <v>3049</v>
      </c>
      <c r="D1132" s="37" t="s">
        <v>2797</v>
      </c>
      <c r="E1132" s="37" t="s">
        <v>2784</v>
      </c>
      <c r="F1132" s="37" t="s">
        <v>2798</v>
      </c>
      <c r="G1132" s="37" t="s">
        <v>2798</v>
      </c>
      <c r="H1132" s="37" t="s">
        <v>2798</v>
      </c>
      <c r="I1132" s="37" t="s">
        <v>92</v>
      </c>
      <c r="J1132" s="37" t="s">
        <v>92</v>
      </c>
      <c r="K1132" s="37" t="s">
        <v>92</v>
      </c>
      <c r="L1132" s="36">
        <v>3</v>
      </c>
      <c r="M1132" s="36">
        <v>3</v>
      </c>
      <c r="N1132" s="36">
        <v>3</v>
      </c>
      <c r="O1132" s="36">
        <v>6</v>
      </c>
      <c r="P1132" s="37" t="s">
        <v>292</v>
      </c>
      <c r="Q1132" s="37"/>
      <c r="R1132" s="37" t="s">
        <v>3204</v>
      </c>
    </row>
    <row r="1133" spans="1:18" ht="27.7" thickBot="1" x14ac:dyDescent="0.55000000000000004">
      <c r="A1133" s="36">
        <v>1324</v>
      </c>
      <c r="B1133" s="37" t="s">
        <v>3205</v>
      </c>
      <c r="C1133" s="37" t="s">
        <v>3206</v>
      </c>
      <c r="D1133" s="37" t="s">
        <v>2797</v>
      </c>
      <c r="E1133" s="37" t="s">
        <v>2784</v>
      </c>
      <c r="F1133" s="37" t="s">
        <v>2926</v>
      </c>
      <c r="G1133" s="37" t="s">
        <v>2926</v>
      </c>
      <c r="H1133" s="37" t="s">
        <v>2926</v>
      </c>
      <c r="I1133" s="37" t="s">
        <v>92</v>
      </c>
      <c r="J1133" s="37" t="s">
        <v>92</v>
      </c>
      <c r="K1133" s="37" t="s">
        <v>92</v>
      </c>
      <c r="L1133" s="36">
        <v>2</v>
      </c>
      <c r="M1133" s="36">
        <v>2</v>
      </c>
      <c r="N1133" s="36">
        <v>2</v>
      </c>
      <c r="O1133" s="36">
        <v>4</v>
      </c>
      <c r="P1133" s="37" t="s">
        <v>292</v>
      </c>
      <c r="Q1133" s="37"/>
      <c r="R1133" s="37" t="s">
        <v>3207</v>
      </c>
    </row>
    <row r="1134" spans="1:18" ht="27.7" thickBot="1" x14ac:dyDescent="0.55000000000000004">
      <c r="A1134" s="36">
        <v>1325</v>
      </c>
      <c r="B1134" s="37" t="s">
        <v>3208</v>
      </c>
      <c r="C1134" s="37" t="s">
        <v>3206</v>
      </c>
      <c r="D1134" s="37" t="s">
        <v>2797</v>
      </c>
      <c r="E1134" s="37" t="s">
        <v>2784</v>
      </c>
      <c r="F1134" s="37" t="s">
        <v>2798</v>
      </c>
      <c r="G1134" s="37" t="s">
        <v>2798</v>
      </c>
      <c r="H1134" s="37" t="s">
        <v>2798</v>
      </c>
      <c r="I1134" s="37" t="s">
        <v>92</v>
      </c>
      <c r="J1134" s="37" t="s">
        <v>92</v>
      </c>
      <c r="K1134" s="37" t="s">
        <v>92</v>
      </c>
      <c r="L1134" s="36">
        <v>3</v>
      </c>
      <c r="M1134" s="36">
        <v>3</v>
      </c>
      <c r="N1134" s="36">
        <v>3</v>
      </c>
      <c r="O1134" s="36">
        <v>4</v>
      </c>
      <c r="P1134" s="37" t="s">
        <v>292</v>
      </c>
      <c r="Q1134" s="37"/>
      <c r="R1134" s="37" t="s">
        <v>3209</v>
      </c>
    </row>
    <row r="1135" spans="1:18" ht="27.7" hidden="1" thickBot="1" x14ac:dyDescent="0.55000000000000004">
      <c r="A1135" s="36">
        <v>1326</v>
      </c>
      <c r="B1135" s="37" t="s">
        <v>3210</v>
      </c>
      <c r="C1135" s="37" t="s">
        <v>2407</v>
      </c>
      <c r="D1135" s="37" t="s">
        <v>2402</v>
      </c>
      <c r="E1135" s="37" t="s">
        <v>2404</v>
      </c>
      <c r="F1135" s="37" t="s">
        <v>2405</v>
      </c>
      <c r="G1135" s="37" t="s">
        <v>2405</v>
      </c>
      <c r="H1135" s="37" t="s">
        <v>2405</v>
      </c>
      <c r="I1135" s="37" t="s">
        <v>2077</v>
      </c>
      <c r="J1135" s="37" t="s">
        <v>2077</v>
      </c>
      <c r="K1135" s="37" t="s">
        <v>2077</v>
      </c>
      <c r="L1135" s="36">
        <v>3</v>
      </c>
      <c r="M1135" s="36">
        <v>3</v>
      </c>
      <c r="N1135" s="36">
        <v>3</v>
      </c>
      <c r="O1135" s="36">
        <v>5</v>
      </c>
      <c r="P1135" s="37" t="s">
        <v>292</v>
      </c>
      <c r="Q1135" s="37"/>
      <c r="R1135" s="37" t="s">
        <v>3211</v>
      </c>
    </row>
    <row r="1136" spans="1:18" ht="27.7" thickBot="1" x14ac:dyDescent="0.55000000000000004">
      <c r="A1136" s="36">
        <v>1327</v>
      </c>
      <c r="B1136" s="37" t="s">
        <v>3212</v>
      </c>
      <c r="C1136" s="37" t="s">
        <v>3052</v>
      </c>
      <c r="D1136" s="37" t="s">
        <v>1717</v>
      </c>
      <c r="E1136" s="37" t="s">
        <v>2784</v>
      </c>
      <c r="F1136" s="37" t="s">
        <v>2798</v>
      </c>
      <c r="G1136" s="37" t="s">
        <v>2798</v>
      </c>
      <c r="H1136" s="37" t="s">
        <v>2798</v>
      </c>
      <c r="I1136" s="37" t="s">
        <v>92</v>
      </c>
      <c r="J1136" s="37" t="s">
        <v>92</v>
      </c>
      <c r="K1136" s="37" t="s">
        <v>92</v>
      </c>
      <c r="L1136" s="36">
        <v>2</v>
      </c>
      <c r="M1136" s="36">
        <v>2</v>
      </c>
      <c r="N1136" s="36">
        <v>2</v>
      </c>
      <c r="O1136" s="36">
        <v>4</v>
      </c>
      <c r="P1136" s="37" t="s">
        <v>292</v>
      </c>
      <c r="Q1136" s="37"/>
      <c r="R1136" s="37" t="s">
        <v>3213</v>
      </c>
    </row>
    <row r="1137" spans="1:18" ht="27.7" thickBot="1" x14ac:dyDescent="0.55000000000000004">
      <c r="A1137" s="36">
        <v>1328</v>
      </c>
      <c r="B1137" s="37" t="s">
        <v>3214</v>
      </c>
      <c r="C1137" s="37" t="s">
        <v>2899</v>
      </c>
      <c r="D1137" s="37" t="s">
        <v>2900</v>
      </c>
      <c r="E1137" s="37" t="s">
        <v>2776</v>
      </c>
      <c r="F1137" s="37" t="s">
        <v>2827</v>
      </c>
      <c r="G1137" s="37" t="s">
        <v>2827</v>
      </c>
      <c r="H1137" s="37" t="s">
        <v>2827</v>
      </c>
      <c r="I1137" s="37" t="s">
        <v>92</v>
      </c>
      <c r="J1137" s="37" t="s">
        <v>92</v>
      </c>
      <c r="K1137" s="37" t="s">
        <v>92</v>
      </c>
      <c r="L1137" s="36">
        <v>5</v>
      </c>
      <c r="M1137" s="36">
        <v>5</v>
      </c>
      <c r="N1137" s="36">
        <v>5</v>
      </c>
      <c r="O1137" s="36">
        <v>6</v>
      </c>
      <c r="P1137" s="37" t="s">
        <v>292</v>
      </c>
      <c r="Q1137" s="37"/>
      <c r="R1137" s="37" t="s">
        <v>3215</v>
      </c>
    </row>
    <row r="1138" spans="1:18" ht="14.7" hidden="1" thickBot="1" x14ac:dyDescent="0.55000000000000004">
      <c r="A1138" s="36">
        <v>1329</v>
      </c>
      <c r="B1138" s="37" t="s">
        <v>3216</v>
      </c>
      <c r="C1138" s="37" t="s">
        <v>3217</v>
      </c>
      <c r="D1138" s="37" t="s">
        <v>2644</v>
      </c>
      <c r="E1138" s="37" t="s">
        <v>1785</v>
      </c>
      <c r="F1138" s="37" t="s">
        <v>2801</v>
      </c>
      <c r="G1138" s="37" t="s">
        <v>2801</v>
      </c>
      <c r="H1138" s="37" t="s">
        <v>2801</v>
      </c>
      <c r="I1138" s="37" t="s">
        <v>1465</v>
      </c>
      <c r="J1138" s="37" t="s">
        <v>1465</v>
      </c>
      <c r="K1138" s="37" t="s">
        <v>1465</v>
      </c>
      <c r="L1138" s="36">
        <v>1</v>
      </c>
      <c r="M1138" s="36">
        <v>1</v>
      </c>
      <c r="N1138" s="36">
        <v>1</v>
      </c>
      <c r="O1138" s="36">
        <v>2</v>
      </c>
      <c r="P1138" s="37" t="s">
        <v>292</v>
      </c>
      <c r="Q1138" s="37" t="s">
        <v>3216</v>
      </c>
      <c r="R1138" s="37" t="s">
        <v>3218</v>
      </c>
    </row>
    <row r="1139" spans="1:18" ht="27.7" hidden="1" thickBot="1" x14ac:dyDescent="0.55000000000000004">
      <c r="A1139" s="36">
        <v>1330</v>
      </c>
      <c r="B1139" s="37" t="s">
        <v>3219</v>
      </c>
      <c r="C1139" s="37" t="s">
        <v>2599</v>
      </c>
      <c r="D1139" s="37" t="s">
        <v>2402</v>
      </c>
      <c r="E1139" s="37" t="s">
        <v>2404</v>
      </c>
      <c r="F1139" s="37" t="s">
        <v>2405</v>
      </c>
      <c r="G1139" s="37" t="s">
        <v>2405</v>
      </c>
      <c r="H1139" s="37" t="s">
        <v>2405</v>
      </c>
      <c r="I1139" s="37" t="s">
        <v>2077</v>
      </c>
      <c r="J1139" s="37" t="s">
        <v>2077</v>
      </c>
      <c r="K1139" s="37" t="s">
        <v>2077</v>
      </c>
      <c r="L1139" s="36">
        <v>3</v>
      </c>
      <c r="M1139" s="36">
        <v>3</v>
      </c>
      <c r="N1139" s="36">
        <v>3</v>
      </c>
      <c r="O1139" s="36">
        <v>4</v>
      </c>
      <c r="P1139" s="37" t="s">
        <v>265</v>
      </c>
      <c r="Q1139" s="37"/>
      <c r="R1139" s="37" t="s">
        <v>3220</v>
      </c>
    </row>
    <row r="1140" spans="1:18" ht="14.7" thickBot="1" x14ac:dyDescent="0.55000000000000004">
      <c r="A1140" s="36">
        <v>1331</v>
      </c>
      <c r="B1140" s="37" t="s">
        <v>3221</v>
      </c>
      <c r="C1140" s="37" t="s">
        <v>2814</v>
      </c>
      <c r="D1140" s="37" t="s">
        <v>2815</v>
      </c>
      <c r="E1140" s="37" t="s">
        <v>2776</v>
      </c>
      <c r="F1140" s="37" t="s">
        <v>2816</v>
      </c>
      <c r="G1140" s="37" t="s">
        <v>2816</v>
      </c>
      <c r="H1140" s="37" t="s">
        <v>2816</v>
      </c>
      <c r="I1140" s="37" t="s">
        <v>90</v>
      </c>
      <c r="J1140" s="37" t="s">
        <v>90</v>
      </c>
      <c r="K1140" s="37" t="s">
        <v>90</v>
      </c>
      <c r="L1140" s="36">
        <v>3</v>
      </c>
      <c r="M1140" s="36">
        <v>3</v>
      </c>
      <c r="N1140" s="36">
        <v>3</v>
      </c>
      <c r="O1140" s="36">
        <v>4</v>
      </c>
      <c r="P1140" s="37" t="s">
        <v>265</v>
      </c>
      <c r="Q1140" s="37"/>
      <c r="R1140" s="37" t="s">
        <v>3222</v>
      </c>
    </row>
    <row r="1141" spans="1:18" ht="27.7" hidden="1" thickBot="1" x14ac:dyDescent="0.55000000000000004">
      <c r="A1141" s="36">
        <v>1332</v>
      </c>
      <c r="B1141" s="37" t="s">
        <v>3223</v>
      </c>
      <c r="C1141" s="37" t="s">
        <v>2599</v>
      </c>
      <c r="D1141" s="37" t="s">
        <v>2402</v>
      </c>
      <c r="E1141" s="37" t="s">
        <v>2404</v>
      </c>
      <c r="F1141" s="37" t="s">
        <v>2405</v>
      </c>
      <c r="G1141" s="37" t="s">
        <v>2405</v>
      </c>
      <c r="H1141" s="37" t="s">
        <v>2405</v>
      </c>
      <c r="I1141" s="37" t="s">
        <v>2077</v>
      </c>
      <c r="J1141" s="37" t="s">
        <v>2077</v>
      </c>
      <c r="K1141" s="37" t="s">
        <v>2077</v>
      </c>
      <c r="L1141" s="36">
        <v>3</v>
      </c>
      <c r="M1141" s="36">
        <v>3</v>
      </c>
      <c r="N1141" s="36">
        <v>3</v>
      </c>
      <c r="O1141" s="36">
        <v>4</v>
      </c>
      <c r="P1141" s="37" t="s">
        <v>265</v>
      </c>
      <c r="Q1141" s="37"/>
      <c r="R1141" s="37" t="s">
        <v>3224</v>
      </c>
    </row>
    <row r="1142" spans="1:18" ht="27.7" thickBot="1" x14ac:dyDescent="0.55000000000000004">
      <c r="A1142" s="36">
        <v>1333</v>
      </c>
      <c r="B1142" s="37" t="s">
        <v>3225</v>
      </c>
      <c r="C1142" s="37" t="s">
        <v>2814</v>
      </c>
      <c r="D1142" s="37" t="s">
        <v>2815</v>
      </c>
      <c r="E1142" s="37" t="s">
        <v>2776</v>
      </c>
      <c r="F1142" s="37" t="s">
        <v>2816</v>
      </c>
      <c r="G1142" s="37" t="s">
        <v>2816</v>
      </c>
      <c r="H1142" s="37" t="s">
        <v>2816</v>
      </c>
      <c r="I1142" s="37" t="s">
        <v>90</v>
      </c>
      <c r="J1142" s="37" t="s">
        <v>88</v>
      </c>
      <c r="K1142" s="37" t="s">
        <v>88</v>
      </c>
      <c r="L1142" s="36">
        <v>3</v>
      </c>
      <c r="M1142" s="36">
        <v>3</v>
      </c>
      <c r="N1142" s="36">
        <v>3</v>
      </c>
      <c r="O1142" s="36">
        <v>5</v>
      </c>
      <c r="P1142" s="37" t="s">
        <v>292</v>
      </c>
      <c r="Q1142" s="37"/>
      <c r="R1142" s="37" t="s">
        <v>3226</v>
      </c>
    </row>
    <row r="1143" spans="1:18" ht="27.7" hidden="1" thickBot="1" x14ac:dyDescent="0.55000000000000004">
      <c r="A1143" s="36">
        <v>1334</v>
      </c>
      <c r="B1143" s="37" t="s">
        <v>2606</v>
      </c>
      <c r="C1143" s="37" t="s">
        <v>2606</v>
      </c>
      <c r="D1143" s="37" t="s">
        <v>2402</v>
      </c>
      <c r="E1143" s="37" t="s">
        <v>2404</v>
      </c>
      <c r="F1143" s="37" t="s">
        <v>2405</v>
      </c>
      <c r="G1143" s="37" t="s">
        <v>2405</v>
      </c>
      <c r="H1143" s="37" t="s">
        <v>2405</v>
      </c>
      <c r="I1143" s="37" t="s">
        <v>2077</v>
      </c>
      <c r="J1143" s="37" t="s">
        <v>2077</v>
      </c>
      <c r="K1143" s="37" t="s">
        <v>2077</v>
      </c>
      <c r="L1143" s="36">
        <v>1</v>
      </c>
      <c r="M1143" s="36">
        <v>1</v>
      </c>
      <c r="N1143" s="36">
        <v>1</v>
      </c>
      <c r="O1143" s="36">
        <v>6</v>
      </c>
      <c r="P1143" s="37" t="s">
        <v>292</v>
      </c>
      <c r="Q1143" s="37"/>
      <c r="R1143" s="37" t="s">
        <v>3227</v>
      </c>
    </row>
    <row r="1144" spans="1:18" ht="27.7" hidden="1" thickBot="1" x14ac:dyDescent="0.55000000000000004">
      <c r="A1144" s="36">
        <v>1335</v>
      </c>
      <c r="B1144" s="37" t="s">
        <v>3228</v>
      </c>
      <c r="C1144" s="37" t="s">
        <v>2606</v>
      </c>
      <c r="D1144" s="37" t="s">
        <v>2402</v>
      </c>
      <c r="E1144" s="37" t="s">
        <v>2404</v>
      </c>
      <c r="F1144" s="37" t="s">
        <v>2405</v>
      </c>
      <c r="G1144" s="37" t="s">
        <v>2405</v>
      </c>
      <c r="H1144" s="37" t="s">
        <v>2405</v>
      </c>
      <c r="I1144" s="37" t="s">
        <v>2077</v>
      </c>
      <c r="J1144" s="37" t="s">
        <v>2077</v>
      </c>
      <c r="K1144" s="37" t="s">
        <v>2077</v>
      </c>
      <c r="L1144" s="36">
        <v>1</v>
      </c>
      <c r="M1144" s="36">
        <v>1</v>
      </c>
      <c r="N1144" s="36">
        <v>1</v>
      </c>
      <c r="O1144" s="36">
        <v>4</v>
      </c>
      <c r="P1144" s="37" t="s">
        <v>292</v>
      </c>
      <c r="Q1144" s="37"/>
      <c r="R1144" s="37" t="s">
        <v>3229</v>
      </c>
    </row>
    <row r="1145" spans="1:18" ht="27.7" thickBot="1" x14ac:dyDescent="0.55000000000000004">
      <c r="A1145" s="36">
        <v>1336</v>
      </c>
      <c r="B1145" s="37" t="s">
        <v>3230</v>
      </c>
      <c r="C1145" s="37" t="s">
        <v>3170</v>
      </c>
      <c r="D1145" s="37" t="s">
        <v>2792</v>
      </c>
      <c r="E1145" s="37" t="s">
        <v>2776</v>
      </c>
      <c r="F1145" s="37" t="s">
        <v>2816</v>
      </c>
      <c r="G1145" s="37" t="s">
        <v>2816</v>
      </c>
      <c r="H1145" s="37" t="s">
        <v>2816</v>
      </c>
      <c r="I1145" s="37" t="s">
        <v>90</v>
      </c>
      <c r="J1145" s="37" t="s">
        <v>88</v>
      </c>
      <c r="K1145" s="37" t="s">
        <v>88</v>
      </c>
      <c r="L1145" s="36">
        <v>2</v>
      </c>
      <c r="M1145" s="36">
        <v>2</v>
      </c>
      <c r="N1145" s="36">
        <v>2</v>
      </c>
      <c r="O1145" s="36">
        <v>4</v>
      </c>
      <c r="P1145" s="37" t="s">
        <v>292</v>
      </c>
      <c r="Q1145" s="37"/>
      <c r="R1145" s="37" t="s">
        <v>3231</v>
      </c>
    </row>
    <row r="1146" spans="1:18" ht="14.7" thickBot="1" x14ac:dyDescent="0.55000000000000004">
      <c r="A1146" s="36">
        <v>1337</v>
      </c>
      <c r="B1146" s="37" t="s">
        <v>3232</v>
      </c>
      <c r="C1146" s="37" t="s">
        <v>2929</v>
      </c>
      <c r="D1146" s="37" t="s">
        <v>2930</v>
      </c>
      <c r="E1146" s="37" t="s">
        <v>2776</v>
      </c>
      <c r="F1146" s="37" t="s">
        <v>2881</v>
      </c>
      <c r="G1146" s="37" t="s">
        <v>2881</v>
      </c>
      <c r="H1146" s="37" t="s">
        <v>2881</v>
      </c>
      <c r="I1146" s="37" t="s">
        <v>90</v>
      </c>
      <c r="J1146" s="37" t="s">
        <v>88</v>
      </c>
      <c r="K1146" s="37" t="s">
        <v>2032</v>
      </c>
      <c r="L1146" s="36">
        <v>2</v>
      </c>
      <c r="M1146" s="36">
        <v>2</v>
      </c>
      <c r="N1146" s="36">
        <v>2</v>
      </c>
      <c r="O1146" s="36">
        <v>4</v>
      </c>
      <c r="P1146" s="37" t="s">
        <v>292</v>
      </c>
      <c r="Q1146" s="37"/>
      <c r="R1146" s="37" t="s">
        <v>3233</v>
      </c>
    </row>
    <row r="1147" spans="1:18" ht="14.7" thickBot="1" x14ac:dyDescent="0.55000000000000004">
      <c r="A1147" s="36">
        <v>1338</v>
      </c>
      <c r="B1147" s="37" t="s">
        <v>2929</v>
      </c>
      <c r="C1147" s="37" t="s">
        <v>2929</v>
      </c>
      <c r="D1147" s="37" t="s">
        <v>2930</v>
      </c>
      <c r="E1147" s="37" t="s">
        <v>2776</v>
      </c>
      <c r="F1147" s="37" t="s">
        <v>2881</v>
      </c>
      <c r="G1147" s="37" t="s">
        <v>2881</v>
      </c>
      <c r="H1147" s="37" t="s">
        <v>2881</v>
      </c>
      <c r="I1147" s="37" t="s">
        <v>90</v>
      </c>
      <c r="J1147" s="37" t="s">
        <v>88</v>
      </c>
      <c r="K1147" s="37" t="s">
        <v>2032</v>
      </c>
      <c r="L1147" s="36">
        <v>5</v>
      </c>
      <c r="M1147" s="36">
        <v>5</v>
      </c>
      <c r="N1147" s="36">
        <v>5</v>
      </c>
      <c r="O1147" s="36">
        <v>6</v>
      </c>
      <c r="P1147" s="37" t="s">
        <v>292</v>
      </c>
      <c r="Q1147" s="37"/>
      <c r="R1147" s="37" t="s">
        <v>3234</v>
      </c>
    </row>
    <row r="1148" spans="1:18" ht="27.7" thickBot="1" x14ac:dyDescent="0.55000000000000004">
      <c r="A1148" s="36">
        <v>1339</v>
      </c>
      <c r="B1148" s="37" t="s">
        <v>3235</v>
      </c>
      <c r="C1148" s="37" t="s">
        <v>2818</v>
      </c>
      <c r="D1148" s="37" t="s">
        <v>2815</v>
      </c>
      <c r="E1148" s="37" t="s">
        <v>2776</v>
      </c>
      <c r="F1148" s="37" t="s">
        <v>2816</v>
      </c>
      <c r="G1148" s="37" t="s">
        <v>2816</v>
      </c>
      <c r="H1148" s="37" t="s">
        <v>2816</v>
      </c>
      <c r="I1148" s="37" t="s">
        <v>90</v>
      </c>
      <c r="J1148" s="37" t="s">
        <v>88</v>
      </c>
      <c r="K1148" s="37" t="s">
        <v>88</v>
      </c>
      <c r="L1148" s="36">
        <v>2</v>
      </c>
      <c r="M1148" s="36">
        <v>2</v>
      </c>
      <c r="N1148" s="36">
        <v>2</v>
      </c>
      <c r="O1148" s="36">
        <v>3</v>
      </c>
      <c r="P1148" s="37" t="s">
        <v>292</v>
      </c>
      <c r="Q1148" s="37"/>
      <c r="R1148" s="37" t="s">
        <v>3236</v>
      </c>
    </row>
    <row r="1149" spans="1:18" ht="14.7" thickBot="1" x14ac:dyDescent="0.55000000000000004">
      <c r="A1149" s="36">
        <v>1340</v>
      </c>
      <c r="B1149" s="37" t="s">
        <v>3237</v>
      </c>
      <c r="C1149" s="37" t="s">
        <v>2929</v>
      </c>
      <c r="D1149" s="37" t="s">
        <v>2930</v>
      </c>
      <c r="E1149" s="37" t="s">
        <v>2776</v>
      </c>
      <c r="F1149" s="37" t="s">
        <v>2881</v>
      </c>
      <c r="G1149" s="37" t="s">
        <v>2881</v>
      </c>
      <c r="H1149" s="37" t="s">
        <v>2881</v>
      </c>
      <c r="I1149" s="37" t="s">
        <v>90</v>
      </c>
      <c r="J1149" s="37" t="s">
        <v>88</v>
      </c>
      <c r="K1149" s="37" t="s">
        <v>2032</v>
      </c>
      <c r="L1149" s="36">
        <v>2</v>
      </c>
      <c r="M1149" s="36">
        <v>2</v>
      </c>
      <c r="N1149" s="36">
        <v>2</v>
      </c>
      <c r="O1149" s="36">
        <v>3</v>
      </c>
      <c r="P1149" s="37" t="s">
        <v>292</v>
      </c>
      <c r="Q1149" s="37"/>
      <c r="R1149" s="37" t="s">
        <v>3238</v>
      </c>
    </row>
    <row r="1150" spans="1:18" ht="27.7" thickBot="1" x14ac:dyDescent="0.55000000000000004">
      <c r="A1150" s="36">
        <v>1341</v>
      </c>
      <c r="B1150" s="37" t="s">
        <v>3239</v>
      </c>
      <c r="C1150" s="37" t="s">
        <v>2936</v>
      </c>
      <c r="D1150" s="37" t="s">
        <v>2930</v>
      </c>
      <c r="E1150" s="37" t="s">
        <v>2776</v>
      </c>
      <c r="F1150" s="37" t="s">
        <v>2881</v>
      </c>
      <c r="G1150" s="37" t="s">
        <v>2881</v>
      </c>
      <c r="H1150" s="37" t="s">
        <v>2881</v>
      </c>
      <c r="I1150" s="37" t="s">
        <v>90</v>
      </c>
      <c r="J1150" s="37" t="s">
        <v>90</v>
      </c>
      <c r="K1150" s="37" t="s">
        <v>90</v>
      </c>
      <c r="L1150" s="36">
        <v>2</v>
      </c>
      <c r="M1150" s="36">
        <v>2</v>
      </c>
      <c r="N1150" s="36">
        <v>2</v>
      </c>
      <c r="O1150" s="36">
        <v>3</v>
      </c>
      <c r="P1150" s="37" t="s">
        <v>292</v>
      </c>
      <c r="Q1150" s="37"/>
      <c r="R1150" s="37" t="s">
        <v>3240</v>
      </c>
    </row>
    <row r="1151" spans="1:18" ht="27.7" thickBot="1" x14ac:dyDescent="0.55000000000000004">
      <c r="A1151" s="36">
        <v>1342</v>
      </c>
      <c r="B1151" s="37" t="s">
        <v>3241</v>
      </c>
      <c r="C1151" s="37" t="s">
        <v>2936</v>
      </c>
      <c r="D1151" s="37" t="s">
        <v>2930</v>
      </c>
      <c r="E1151" s="37" t="s">
        <v>2776</v>
      </c>
      <c r="F1151" s="37" t="s">
        <v>2881</v>
      </c>
      <c r="G1151" s="37" t="s">
        <v>2881</v>
      </c>
      <c r="H1151" s="37" t="s">
        <v>2881</v>
      </c>
      <c r="I1151" s="37" t="s">
        <v>92</v>
      </c>
      <c r="J1151" s="37" t="s">
        <v>92</v>
      </c>
      <c r="K1151" s="37" t="s">
        <v>92</v>
      </c>
      <c r="L1151" s="36">
        <v>3</v>
      </c>
      <c r="M1151" s="36">
        <v>3</v>
      </c>
      <c r="N1151" s="36">
        <v>3</v>
      </c>
      <c r="O1151" s="36">
        <v>4</v>
      </c>
      <c r="P1151" s="37" t="s">
        <v>292</v>
      </c>
      <c r="Q1151" s="37"/>
      <c r="R1151" s="37" t="s">
        <v>3242</v>
      </c>
    </row>
    <row r="1152" spans="1:18" ht="27.7" hidden="1" thickBot="1" x14ac:dyDescent="0.55000000000000004">
      <c r="A1152" s="36">
        <v>1343</v>
      </c>
      <c r="B1152" s="37" t="s">
        <v>3243</v>
      </c>
      <c r="C1152" s="37" t="s">
        <v>2594</v>
      </c>
      <c r="D1152" s="37" t="s">
        <v>2404</v>
      </c>
      <c r="E1152" s="37" t="s">
        <v>2404</v>
      </c>
      <c r="F1152" s="37" t="s">
        <v>2405</v>
      </c>
      <c r="G1152" s="37" t="s">
        <v>2405</v>
      </c>
      <c r="H1152" s="37" t="s">
        <v>2405</v>
      </c>
      <c r="I1152" s="37" t="s">
        <v>2077</v>
      </c>
      <c r="J1152" s="37" t="s">
        <v>2077</v>
      </c>
      <c r="K1152" s="37" t="s">
        <v>2077</v>
      </c>
      <c r="L1152" s="36">
        <v>3</v>
      </c>
      <c r="M1152" s="36">
        <v>3</v>
      </c>
      <c r="N1152" s="36">
        <v>3</v>
      </c>
      <c r="O1152" s="36">
        <v>5</v>
      </c>
      <c r="P1152" s="37" t="s">
        <v>265</v>
      </c>
      <c r="Q1152" s="37"/>
      <c r="R1152" s="37" t="s">
        <v>3244</v>
      </c>
    </row>
    <row r="1153" spans="1:18" ht="14.7" hidden="1" thickBot="1" x14ac:dyDescent="0.55000000000000004">
      <c r="A1153" s="36">
        <v>1344</v>
      </c>
      <c r="B1153" s="37" t="s">
        <v>3245</v>
      </c>
      <c r="C1153" s="37" t="s">
        <v>2583</v>
      </c>
      <c r="D1153" s="37" t="s">
        <v>2404</v>
      </c>
      <c r="E1153" s="37" t="s">
        <v>2404</v>
      </c>
      <c r="F1153" s="37" t="s">
        <v>2584</v>
      </c>
      <c r="G1153" s="37" t="s">
        <v>2584</v>
      </c>
      <c r="H1153" s="37" t="s">
        <v>2584</v>
      </c>
      <c r="I1153" s="37" t="s">
        <v>88</v>
      </c>
      <c r="J1153" s="37" t="s">
        <v>88</v>
      </c>
      <c r="K1153" s="37" t="s">
        <v>88</v>
      </c>
      <c r="L1153" s="36">
        <v>4</v>
      </c>
      <c r="M1153" s="36">
        <v>4</v>
      </c>
      <c r="N1153" s="36">
        <v>4</v>
      </c>
      <c r="O1153" s="36">
        <v>5</v>
      </c>
      <c r="P1153" s="37" t="s">
        <v>265</v>
      </c>
      <c r="Q1153" s="37"/>
      <c r="R1153" s="37" t="s">
        <v>3246</v>
      </c>
    </row>
    <row r="1154" spans="1:18" ht="27.7" thickBot="1" x14ac:dyDescent="0.55000000000000004">
      <c r="A1154" s="36">
        <v>1345</v>
      </c>
      <c r="B1154" s="37" t="s">
        <v>3183</v>
      </c>
      <c r="C1154" s="37" t="s">
        <v>3183</v>
      </c>
      <c r="D1154" s="37" t="s">
        <v>2792</v>
      </c>
      <c r="E1154" s="37" t="s">
        <v>2776</v>
      </c>
      <c r="F1154" s="37" t="s">
        <v>2793</v>
      </c>
      <c r="G1154" s="37" t="s">
        <v>2793</v>
      </c>
      <c r="H1154" s="37" t="s">
        <v>2793</v>
      </c>
      <c r="I1154" s="37" t="s">
        <v>102</v>
      </c>
      <c r="J1154" s="37" t="s">
        <v>102</v>
      </c>
      <c r="K1154" s="37" t="s">
        <v>102</v>
      </c>
      <c r="L1154" s="36">
        <v>3</v>
      </c>
      <c r="M1154" s="36">
        <v>3</v>
      </c>
      <c r="N1154" s="36">
        <v>3</v>
      </c>
      <c r="O1154" s="36">
        <v>5</v>
      </c>
      <c r="P1154" s="37" t="s">
        <v>292</v>
      </c>
      <c r="Q1154" s="37"/>
      <c r="R1154" s="37" t="s">
        <v>3247</v>
      </c>
    </row>
    <row r="1155" spans="1:18" ht="27.7" thickBot="1" x14ac:dyDescent="0.55000000000000004">
      <c r="A1155" s="36">
        <v>1346</v>
      </c>
      <c r="B1155" s="37" t="s">
        <v>3248</v>
      </c>
      <c r="C1155" s="37" t="s">
        <v>2913</v>
      </c>
      <c r="D1155" s="37" t="s">
        <v>2792</v>
      </c>
      <c r="E1155" s="37" t="s">
        <v>2776</v>
      </c>
      <c r="F1155" s="37" t="s">
        <v>2793</v>
      </c>
      <c r="G1155" s="37" t="s">
        <v>2793</v>
      </c>
      <c r="H1155" s="37" t="s">
        <v>2793</v>
      </c>
      <c r="I1155" s="37" t="s">
        <v>102</v>
      </c>
      <c r="J1155" s="37" t="s">
        <v>102</v>
      </c>
      <c r="K1155" s="37" t="s">
        <v>102</v>
      </c>
      <c r="L1155" s="36">
        <v>4</v>
      </c>
      <c r="M1155" s="36">
        <v>4</v>
      </c>
      <c r="N1155" s="36">
        <v>4</v>
      </c>
      <c r="O1155" s="36">
        <v>5</v>
      </c>
      <c r="P1155" s="37" t="s">
        <v>292</v>
      </c>
      <c r="Q1155" s="37"/>
      <c r="R1155" s="37" t="s">
        <v>3249</v>
      </c>
    </row>
    <row r="1156" spans="1:18" ht="27.7" thickBot="1" x14ac:dyDescent="0.55000000000000004">
      <c r="A1156" s="36">
        <v>1349</v>
      </c>
      <c r="B1156" s="37" t="s">
        <v>3250</v>
      </c>
      <c r="C1156" s="37" t="s">
        <v>3251</v>
      </c>
      <c r="D1156" s="37" t="s">
        <v>2792</v>
      </c>
      <c r="E1156" s="37" t="s">
        <v>2776</v>
      </c>
      <c r="F1156" s="37" t="s">
        <v>2793</v>
      </c>
      <c r="G1156" s="37" t="s">
        <v>2793</v>
      </c>
      <c r="H1156" s="37" t="s">
        <v>2793</v>
      </c>
      <c r="I1156" s="37" t="s">
        <v>102</v>
      </c>
      <c r="J1156" s="37" t="s">
        <v>102</v>
      </c>
      <c r="K1156" s="37" t="s">
        <v>102</v>
      </c>
      <c r="L1156" s="36">
        <v>2</v>
      </c>
      <c r="M1156" s="36">
        <v>2</v>
      </c>
      <c r="N1156" s="36">
        <v>2</v>
      </c>
      <c r="O1156" s="36">
        <v>3</v>
      </c>
      <c r="P1156" s="37" t="s">
        <v>292</v>
      </c>
      <c r="Q1156" s="37"/>
      <c r="R1156" s="37" t="s">
        <v>3252</v>
      </c>
    </row>
    <row r="1157" spans="1:18" ht="27.7" thickBot="1" x14ac:dyDescent="0.55000000000000004">
      <c r="A1157" s="36">
        <v>1350</v>
      </c>
      <c r="B1157" s="37" t="s">
        <v>3253</v>
      </c>
      <c r="C1157" s="37" t="s">
        <v>3251</v>
      </c>
      <c r="D1157" s="37" t="s">
        <v>2792</v>
      </c>
      <c r="E1157" s="37" t="s">
        <v>2776</v>
      </c>
      <c r="F1157" s="37" t="s">
        <v>2793</v>
      </c>
      <c r="G1157" s="37" t="s">
        <v>2793</v>
      </c>
      <c r="H1157" s="37" t="s">
        <v>2793</v>
      </c>
      <c r="I1157" s="37" t="s">
        <v>90</v>
      </c>
      <c r="J1157" s="37" t="s">
        <v>90</v>
      </c>
      <c r="K1157" s="37" t="s">
        <v>90</v>
      </c>
      <c r="L1157" s="36">
        <v>2</v>
      </c>
      <c r="M1157" s="36">
        <v>2</v>
      </c>
      <c r="N1157" s="36">
        <v>2</v>
      </c>
      <c r="O1157" s="36">
        <v>3</v>
      </c>
      <c r="P1157" s="37" t="s">
        <v>292</v>
      </c>
      <c r="Q1157" s="37"/>
      <c r="R1157" s="37" t="s">
        <v>3254</v>
      </c>
    </row>
    <row r="1158" spans="1:18" ht="27.7" hidden="1" thickBot="1" x14ac:dyDescent="0.55000000000000004">
      <c r="A1158" s="36">
        <v>1351</v>
      </c>
      <c r="B1158" s="37" t="s">
        <v>3255</v>
      </c>
      <c r="C1158" s="37" t="s">
        <v>3255</v>
      </c>
      <c r="D1158" s="37" t="s">
        <v>3256</v>
      </c>
      <c r="E1158" s="37" t="s">
        <v>2880</v>
      </c>
      <c r="F1158" s="37" t="s">
        <v>3257</v>
      </c>
      <c r="G1158" s="37" t="s">
        <v>3258</v>
      </c>
      <c r="H1158" s="37" t="s">
        <v>3258</v>
      </c>
      <c r="I1158" s="37" t="s">
        <v>3259</v>
      </c>
      <c r="J1158" s="37" t="s">
        <v>3259</v>
      </c>
      <c r="K1158" s="37" t="s">
        <v>3259</v>
      </c>
      <c r="L1158" s="36">
        <v>2</v>
      </c>
      <c r="M1158" s="36">
        <v>2</v>
      </c>
      <c r="N1158" s="36">
        <v>2</v>
      </c>
      <c r="O1158" s="36">
        <v>4</v>
      </c>
      <c r="P1158" s="37" t="s">
        <v>292</v>
      </c>
      <c r="Q1158" s="37" t="s">
        <v>3260</v>
      </c>
      <c r="R1158" s="37" t="s">
        <v>3261</v>
      </c>
    </row>
    <row r="1159" spans="1:18" ht="27.7" thickBot="1" x14ac:dyDescent="0.55000000000000004">
      <c r="A1159" s="36">
        <v>1352</v>
      </c>
      <c r="B1159" s="37" t="s">
        <v>3262</v>
      </c>
      <c r="C1159" s="37" t="s">
        <v>3263</v>
      </c>
      <c r="D1159" s="37" t="s">
        <v>2826</v>
      </c>
      <c r="E1159" s="37" t="s">
        <v>2776</v>
      </c>
      <c r="F1159" s="37" t="s">
        <v>2827</v>
      </c>
      <c r="G1159" s="37" t="s">
        <v>2827</v>
      </c>
      <c r="H1159" s="37" t="s">
        <v>2827</v>
      </c>
      <c r="I1159" s="37" t="s">
        <v>90</v>
      </c>
      <c r="J1159" s="37" t="s">
        <v>90</v>
      </c>
      <c r="K1159" s="37" t="s">
        <v>90</v>
      </c>
      <c r="L1159" s="36">
        <v>2</v>
      </c>
      <c r="M1159" s="36">
        <v>2</v>
      </c>
      <c r="N1159" s="36">
        <v>2</v>
      </c>
      <c r="O1159" s="36">
        <v>3</v>
      </c>
      <c r="P1159" s="37" t="s">
        <v>292</v>
      </c>
      <c r="Q1159" s="37"/>
      <c r="R1159" s="37" t="s">
        <v>3264</v>
      </c>
    </row>
    <row r="1160" spans="1:18" ht="27.7" thickBot="1" x14ac:dyDescent="0.55000000000000004">
      <c r="A1160" s="36">
        <v>1353</v>
      </c>
      <c r="B1160" s="37" t="s">
        <v>3265</v>
      </c>
      <c r="C1160" s="37" t="s">
        <v>2913</v>
      </c>
      <c r="D1160" s="37" t="s">
        <v>2792</v>
      </c>
      <c r="E1160" s="37" t="s">
        <v>2776</v>
      </c>
      <c r="F1160" s="37" t="s">
        <v>2793</v>
      </c>
      <c r="G1160" s="37" t="s">
        <v>2793</v>
      </c>
      <c r="H1160" s="37" t="s">
        <v>2793</v>
      </c>
      <c r="I1160" s="37" t="s">
        <v>102</v>
      </c>
      <c r="J1160" s="37" t="s">
        <v>102</v>
      </c>
      <c r="K1160" s="37" t="s">
        <v>102</v>
      </c>
      <c r="L1160" s="36">
        <v>4</v>
      </c>
      <c r="M1160" s="36">
        <v>4</v>
      </c>
      <c r="N1160" s="36">
        <v>4</v>
      </c>
      <c r="O1160" s="36">
        <v>5</v>
      </c>
      <c r="P1160" s="37" t="s">
        <v>292</v>
      </c>
      <c r="Q1160" s="37"/>
      <c r="R1160" s="37" t="s">
        <v>3266</v>
      </c>
    </row>
    <row r="1161" spans="1:18" ht="27.7" thickBot="1" x14ac:dyDescent="0.55000000000000004">
      <c r="A1161" s="36">
        <v>1354</v>
      </c>
      <c r="B1161" s="37" t="s">
        <v>3267</v>
      </c>
      <c r="C1161" s="37" t="s">
        <v>3251</v>
      </c>
      <c r="D1161" s="37" t="s">
        <v>2792</v>
      </c>
      <c r="E1161" s="37" t="s">
        <v>2776</v>
      </c>
      <c r="F1161" s="37" t="s">
        <v>2793</v>
      </c>
      <c r="G1161" s="37" t="s">
        <v>2793</v>
      </c>
      <c r="H1161" s="37" t="s">
        <v>2793</v>
      </c>
      <c r="I1161" s="37" t="s">
        <v>102</v>
      </c>
      <c r="J1161" s="37" t="s">
        <v>102</v>
      </c>
      <c r="K1161" s="37" t="s">
        <v>102</v>
      </c>
      <c r="L1161" s="36">
        <v>3</v>
      </c>
      <c r="M1161" s="36">
        <v>3</v>
      </c>
      <c r="N1161" s="36">
        <v>3</v>
      </c>
      <c r="O1161" s="36">
        <v>5</v>
      </c>
      <c r="P1161" s="37" t="s">
        <v>292</v>
      </c>
      <c r="Q1161" s="37"/>
      <c r="R1161" s="37" t="s">
        <v>3268</v>
      </c>
    </row>
    <row r="1162" spans="1:18" ht="27.7" thickBot="1" x14ac:dyDescent="0.55000000000000004">
      <c r="A1162" s="36">
        <v>1355</v>
      </c>
      <c r="B1162" s="37" t="s">
        <v>3269</v>
      </c>
      <c r="C1162" s="37" t="s">
        <v>2913</v>
      </c>
      <c r="D1162" s="37" t="s">
        <v>2792</v>
      </c>
      <c r="E1162" s="37" t="s">
        <v>2776</v>
      </c>
      <c r="F1162" s="37" t="s">
        <v>2793</v>
      </c>
      <c r="G1162" s="37" t="s">
        <v>2793</v>
      </c>
      <c r="H1162" s="37" t="s">
        <v>2793</v>
      </c>
      <c r="I1162" s="37" t="s">
        <v>102</v>
      </c>
      <c r="J1162" s="37" t="s">
        <v>102</v>
      </c>
      <c r="K1162" s="37" t="s">
        <v>102</v>
      </c>
      <c r="L1162" s="36">
        <v>3</v>
      </c>
      <c r="M1162" s="36">
        <v>3</v>
      </c>
      <c r="N1162" s="36">
        <v>3</v>
      </c>
      <c r="O1162" s="36">
        <v>5</v>
      </c>
      <c r="P1162" s="37" t="s">
        <v>292</v>
      </c>
      <c r="Q1162" s="37"/>
      <c r="R1162" s="37" t="s">
        <v>3270</v>
      </c>
    </row>
    <row r="1163" spans="1:18" ht="27.7" thickBot="1" x14ac:dyDescent="0.55000000000000004">
      <c r="A1163" s="36">
        <v>1356</v>
      </c>
      <c r="B1163" s="37" t="s">
        <v>2899</v>
      </c>
      <c r="C1163" s="37" t="s">
        <v>2899</v>
      </c>
      <c r="D1163" s="37" t="s">
        <v>2900</v>
      </c>
      <c r="E1163" s="37" t="s">
        <v>2776</v>
      </c>
      <c r="F1163" s="37" t="s">
        <v>2827</v>
      </c>
      <c r="G1163" s="37" t="s">
        <v>2827</v>
      </c>
      <c r="H1163" s="37" t="s">
        <v>2827</v>
      </c>
      <c r="I1163" s="37" t="s">
        <v>92</v>
      </c>
      <c r="J1163" s="37" t="s">
        <v>92</v>
      </c>
      <c r="K1163" s="37" t="s">
        <v>92</v>
      </c>
      <c r="L1163" s="36">
        <v>6</v>
      </c>
      <c r="M1163" s="36">
        <v>6</v>
      </c>
      <c r="N1163" s="36">
        <v>6</v>
      </c>
      <c r="O1163" s="36">
        <v>7</v>
      </c>
      <c r="P1163" s="37" t="s">
        <v>292</v>
      </c>
      <c r="Q1163" s="37"/>
      <c r="R1163" s="37" t="s">
        <v>3271</v>
      </c>
    </row>
    <row r="1164" spans="1:18" ht="27.7" thickBot="1" x14ac:dyDescent="0.55000000000000004">
      <c r="A1164" s="36">
        <v>1357</v>
      </c>
      <c r="B1164" s="37" t="s">
        <v>3272</v>
      </c>
      <c r="C1164" s="37" t="s">
        <v>2825</v>
      </c>
      <c r="D1164" s="37" t="s">
        <v>2826</v>
      </c>
      <c r="E1164" s="37" t="s">
        <v>2776</v>
      </c>
      <c r="F1164" s="37" t="s">
        <v>2827</v>
      </c>
      <c r="G1164" s="37" t="s">
        <v>2827</v>
      </c>
      <c r="H1164" s="37" t="s">
        <v>2827</v>
      </c>
      <c r="I1164" s="37" t="s">
        <v>102</v>
      </c>
      <c r="J1164" s="37" t="s">
        <v>102</v>
      </c>
      <c r="K1164" s="37" t="s">
        <v>102</v>
      </c>
      <c r="L1164" s="36">
        <v>3</v>
      </c>
      <c r="M1164" s="36">
        <v>3</v>
      </c>
      <c r="N1164" s="36">
        <v>3</v>
      </c>
      <c r="O1164" s="36">
        <v>4</v>
      </c>
      <c r="P1164" s="37" t="s">
        <v>292</v>
      </c>
      <c r="Q1164" s="37"/>
      <c r="R1164" s="37" t="s">
        <v>3273</v>
      </c>
    </row>
    <row r="1165" spans="1:18" ht="27.7" thickBot="1" x14ac:dyDescent="0.55000000000000004">
      <c r="A1165" s="36">
        <v>1358</v>
      </c>
      <c r="B1165" s="37" t="s">
        <v>2903</v>
      </c>
      <c r="C1165" s="37" t="s">
        <v>2903</v>
      </c>
      <c r="D1165" s="37" t="s">
        <v>2826</v>
      </c>
      <c r="E1165" s="37" t="s">
        <v>2776</v>
      </c>
      <c r="F1165" s="37" t="s">
        <v>2827</v>
      </c>
      <c r="G1165" s="37" t="s">
        <v>2827</v>
      </c>
      <c r="H1165" s="37" t="s">
        <v>2827</v>
      </c>
      <c r="I1165" s="37" t="s">
        <v>92</v>
      </c>
      <c r="J1165" s="37" t="s">
        <v>92</v>
      </c>
      <c r="K1165" s="37" t="s">
        <v>92</v>
      </c>
      <c r="L1165" s="36">
        <v>3</v>
      </c>
      <c r="M1165" s="36">
        <v>3</v>
      </c>
      <c r="N1165" s="36">
        <v>3</v>
      </c>
      <c r="O1165" s="36">
        <v>5</v>
      </c>
      <c r="P1165" s="37" t="s">
        <v>292</v>
      </c>
      <c r="Q1165" s="37"/>
      <c r="R1165" s="37" t="s">
        <v>3274</v>
      </c>
    </row>
    <row r="1166" spans="1:18" ht="27.7" thickBot="1" x14ac:dyDescent="0.55000000000000004">
      <c r="A1166" s="36">
        <v>1359</v>
      </c>
      <c r="B1166" s="37" t="s">
        <v>2825</v>
      </c>
      <c r="C1166" s="37" t="s">
        <v>2825</v>
      </c>
      <c r="D1166" s="37" t="s">
        <v>2826</v>
      </c>
      <c r="E1166" s="37" t="s">
        <v>2776</v>
      </c>
      <c r="F1166" s="37" t="s">
        <v>2827</v>
      </c>
      <c r="G1166" s="37" t="s">
        <v>2827</v>
      </c>
      <c r="H1166" s="37" t="s">
        <v>2827</v>
      </c>
      <c r="I1166" s="37" t="s">
        <v>102</v>
      </c>
      <c r="J1166" s="37" t="s">
        <v>102</v>
      </c>
      <c r="K1166" s="37" t="s">
        <v>102</v>
      </c>
      <c r="L1166" s="36">
        <v>5</v>
      </c>
      <c r="M1166" s="36">
        <v>5</v>
      </c>
      <c r="N1166" s="36">
        <v>5</v>
      </c>
      <c r="O1166" s="36">
        <v>6</v>
      </c>
      <c r="P1166" s="37" t="s">
        <v>292</v>
      </c>
      <c r="Q1166" s="37"/>
      <c r="R1166" s="37" t="s">
        <v>3275</v>
      </c>
    </row>
    <row r="1167" spans="1:18" ht="27.7" thickBot="1" x14ac:dyDescent="0.55000000000000004">
      <c r="A1167" s="36">
        <v>1360</v>
      </c>
      <c r="B1167" s="37" t="s">
        <v>3276</v>
      </c>
      <c r="C1167" s="37" t="s">
        <v>2736</v>
      </c>
      <c r="D1167" s="37" t="s">
        <v>2729</v>
      </c>
      <c r="E1167" s="37" t="s">
        <v>2730</v>
      </c>
      <c r="F1167" s="37" t="s">
        <v>2731</v>
      </c>
      <c r="G1167" s="37" t="s">
        <v>2731</v>
      </c>
      <c r="H1167" s="37" t="s">
        <v>2731</v>
      </c>
      <c r="I1167" s="37" t="s">
        <v>92</v>
      </c>
      <c r="J1167" s="37" t="s">
        <v>92</v>
      </c>
      <c r="K1167" s="37" t="s">
        <v>92</v>
      </c>
      <c r="L1167" s="36">
        <v>2</v>
      </c>
      <c r="M1167" s="36">
        <v>2</v>
      </c>
      <c r="N1167" s="36">
        <v>2</v>
      </c>
      <c r="O1167" s="36">
        <v>4</v>
      </c>
      <c r="P1167" s="37" t="s">
        <v>265</v>
      </c>
      <c r="Q1167" s="37"/>
      <c r="R1167" s="37" t="s">
        <v>3277</v>
      </c>
    </row>
    <row r="1168" spans="1:18" ht="27.7" thickBot="1" x14ac:dyDescent="0.55000000000000004">
      <c r="A1168" s="36">
        <v>1361</v>
      </c>
      <c r="B1168" s="37" t="s">
        <v>3278</v>
      </c>
      <c r="C1168" s="37" t="s">
        <v>2962</v>
      </c>
      <c r="D1168" s="37" t="s">
        <v>2930</v>
      </c>
      <c r="E1168" s="37" t="s">
        <v>2776</v>
      </c>
      <c r="F1168" s="37" t="s">
        <v>2881</v>
      </c>
      <c r="G1168" s="37" t="s">
        <v>2881</v>
      </c>
      <c r="H1168" s="37" t="s">
        <v>2881</v>
      </c>
      <c r="I1168" s="37" t="s">
        <v>90</v>
      </c>
      <c r="J1168" s="37" t="s">
        <v>90</v>
      </c>
      <c r="K1168" s="37" t="s">
        <v>90</v>
      </c>
      <c r="L1168" s="36">
        <v>3</v>
      </c>
      <c r="M1168" s="36">
        <v>3</v>
      </c>
      <c r="N1168" s="36">
        <v>3</v>
      </c>
      <c r="O1168" s="36">
        <v>4</v>
      </c>
      <c r="P1168" s="37" t="s">
        <v>292</v>
      </c>
      <c r="Q1168" s="37"/>
      <c r="R1168" s="37" t="s">
        <v>3279</v>
      </c>
    </row>
    <row r="1169" spans="1:18" ht="14.7" thickBot="1" x14ac:dyDescent="0.55000000000000004">
      <c r="A1169" s="36">
        <v>1362</v>
      </c>
      <c r="B1169" s="37" t="s">
        <v>3280</v>
      </c>
      <c r="C1169" s="37" t="s">
        <v>2962</v>
      </c>
      <c r="D1169" s="37" t="s">
        <v>2930</v>
      </c>
      <c r="E1169" s="37" t="s">
        <v>2776</v>
      </c>
      <c r="F1169" s="37" t="s">
        <v>2881</v>
      </c>
      <c r="G1169" s="37" t="s">
        <v>2881</v>
      </c>
      <c r="H1169" s="37" t="s">
        <v>2881</v>
      </c>
      <c r="I1169" s="37" t="s">
        <v>90</v>
      </c>
      <c r="J1169" s="37" t="s">
        <v>90</v>
      </c>
      <c r="K1169" s="37" t="s">
        <v>90</v>
      </c>
      <c r="L1169" s="36">
        <v>4</v>
      </c>
      <c r="M1169" s="36">
        <v>4</v>
      </c>
      <c r="N1169" s="36">
        <v>4</v>
      </c>
      <c r="O1169" s="36">
        <v>6</v>
      </c>
      <c r="P1169" s="37" t="s">
        <v>292</v>
      </c>
      <c r="Q1169" s="37"/>
      <c r="R1169" s="37" t="s">
        <v>3281</v>
      </c>
    </row>
    <row r="1170" spans="1:18" ht="27.7" thickBot="1" x14ac:dyDescent="0.55000000000000004">
      <c r="A1170" s="36">
        <v>1363</v>
      </c>
      <c r="B1170" s="37" t="s">
        <v>3282</v>
      </c>
      <c r="C1170" s="37" t="s">
        <v>2962</v>
      </c>
      <c r="D1170" s="37" t="s">
        <v>2930</v>
      </c>
      <c r="E1170" s="37" t="s">
        <v>2776</v>
      </c>
      <c r="F1170" s="37" t="s">
        <v>2881</v>
      </c>
      <c r="G1170" s="37" t="s">
        <v>2881</v>
      </c>
      <c r="H1170" s="37" t="s">
        <v>2881</v>
      </c>
      <c r="I1170" s="37" t="s">
        <v>90</v>
      </c>
      <c r="J1170" s="37" t="s">
        <v>90</v>
      </c>
      <c r="K1170" s="37" t="s">
        <v>90</v>
      </c>
      <c r="L1170" s="36">
        <v>4</v>
      </c>
      <c r="M1170" s="36">
        <v>4</v>
      </c>
      <c r="N1170" s="36">
        <v>4</v>
      </c>
      <c r="O1170" s="36">
        <v>5</v>
      </c>
      <c r="P1170" s="37" t="s">
        <v>292</v>
      </c>
      <c r="Q1170" s="37"/>
      <c r="R1170" s="37" t="s">
        <v>3283</v>
      </c>
    </row>
    <row r="1171" spans="1:18" ht="27.7" thickBot="1" x14ac:dyDescent="0.55000000000000004">
      <c r="A1171" s="36">
        <v>1364</v>
      </c>
      <c r="B1171" s="37" t="s">
        <v>3284</v>
      </c>
      <c r="C1171" s="37" t="s">
        <v>3263</v>
      </c>
      <c r="D1171" s="37" t="s">
        <v>2826</v>
      </c>
      <c r="E1171" s="37" t="s">
        <v>2776</v>
      </c>
      <c r="F1171" s="37" t="s">
        <v>2827</v>
      </c>
      <c r="G1171" s="37" t="s">
        <v>2827</v>
      </c>
      <c r="H1171" s="37" t="s">
        <v>2827</v>
      </c>
      <c r="I1171" s="37" t="s">
        <v>90</v>
      </c>
      <c r="J1171" s="37" t="s">
        <v>90</v>
      </c>
      <c r="K1171" s="37" t="s">
        <v>90</v>
      </c>
      <c r="L1171" s="36">
        <v>2</v>
      </c>
      <c r="M1171" s="36">
        <v>2</v>
      </c>
      <c r="N1171" s="36">
        <v>2</v>
      </c>
      <c r="O1171" s="36">
        <v>5</v>
      </c>
      <c r="P1171" s="37" t="s">
        <v>292</v>
      </c>
      <c r="Q1171" s="37"/>
      <c r="R1171" s="37" t="s">
        <v>3285</v>
      </c>
    </row>
    <row r="1172" spans="1:18" ht="27.7" thickBot="1" x14ac:dyDescent="0.55000000000000004">
      <c r="A1172" s="36">
        <v>1365</v>
      </c>
      <c r="B1172" s="37" t="s">
        <v>2826</v>
      </c>
      <c r="C1172" s="37" t="s">
        <v>3286</v>
      </c>
      <c r="D1172" s="37" t="s">
        <v>2826</v>
      </c>
      <c r="E1172" s="37" t="s">
        <v>2776</v>
      </c>
      <c r="F1172" s="37" t="s">
        <v>2827</v>
      </c>
      <c r="G1172" s="37" t="s">
        <v>2827</v>
      </c>
      <c r="H1172" s="37" t="s">
        <v>2827</v>
      </c>
      <c r="I1172" s="37" t="s">
        <v>92</v>
      </c>
      <c r="J1172" s="37" t="s">
        <v>92</v>
      </c>
      <c r="K1172" s="37" t="s">
        <v>92</v>
      </c>
      <c r="L1172" s="36">
        <v>5</v>
      </c>
      <c r="M1172" s="36">
        <v>5</v>
      </c>
      <c r="N1172" s="36">
        <v>5</v>
      </c>
      <c r="O1172" s="36">
        <v>7</v>
      </c>
      <c r="P1172" s="37" t="s">
        <v>292</v>
      </c>
      <c r="Q1172" s="37"/>
      <c r="R1172" s="37" t="s">
        <v>3287</v>
      </c>
    </row>
    <row r="1173" spans="1:18" ht="27.7" thickBot="1" x14ac:dyDescent="0.55000000000000004">
      <c r="A1173" s="36">
        <v>1366</v>
      </c>
      <c r="B1173" s="37" t="s">
        <v>3288</v>
      </c>
      <c r="C1173" s="37" t="s">
        <v>3263</v>
      </c>
      <c r="D1173" s="37" t="s">
        <v>2826</v>
      </c>
      <c r="E1173" s="37" t="s">
        <v>2776</v>
      </c>
      <c r="F1173" s="37" t="s">
        <v>2827</v>
      </c>
      <c r="G1173" s="37" t="s">
        <v>2827</v>
      </c>
      <c r="H1173" s="37" t="s">
        <v>2827</v>
      </c>
      <c r="I1173" s="37" t="s">
        <v>102</v>
      </c>
      <c r="J1173" s="37" t="s">
        <v>102</v>
      </c>
      <c r="K1173" s="37" t="s">
        <v>102</v>
      </c>
      <c r="L1173" s="36">
        <v>3</v>
      </c>
      <c r="M1173" s="36">
        <v>3</v>
      </c>
      <c r="N1173" s="36">
        <v>3</v>
      </c>
      <c r="O1173" s="36">
        <v>5</v>
      </c>
      <c r="P1173" s="37" t="s">
        <v>292</v>
      </c>
      <c r="Q1173" s="37"/>
      <c r="R1173" s="37" t="s">
        <v>3289</v>
      </c>
    </row>
    <row r="1174" spans="1:18" ht="27.7" thickBot="1" x14ac:dyDescent="0.55000000000000004">
      <c r="A1174" s="36">
        <v>1367</v>
      </c>
      <c r="B1174" s="37" t="s">
        <v>3290</v>
      </c>
      <c r="C1174" s="37" t="s">
        <v>3286</v>
      </c>
      <c r="D1174" s="37" t="s">
        <v>2826</v>
      </c>
      <c r="E1174" s="37" t="s">
        <v>2776</v>
      </c>
      <c r="F1174" s="37" t="s">
        <v>2827</v>
      </c>
      <c r="G1174" s="37" t="s">
        <v>2827</v>
      </c>
      <c r="H1174" s="37" t="s">
        <v>2827</v>
      </c>
      <c r="I1174" s="37" t="s">
        <v>92</v>
      </c>
      <c r="J1174" s="37" t="s">
        <v>92</v>
      </c>
      <c r="K1174" s="37" t="s">
        <v>92</v>
      </c>
      <c r="L1174" s="36">
        <v>3</v>
      </c>
      <c r="M1174" s="36">
        <v>3</v>
      </c>
      <c r="N1174" s="36">
        <v>3</v>
      </c>
      <c r="O1174" s="36">
        <v>5</v>
      </c>
      <c r="P1174" s="37" t="s">
        <v>292</v>
      </c>
      <c r="Q1174" s="37"/>
      <c r="R1174" s="37" t="s">
        <v>3291</v>
      </c>
    </row>
    <row r="1175" spans="1:18" ht="27.7" thickBot="1" x14ac:dyDescent="0.55000000000000004">
      <c r="A1175" s="36">
        <v>1368</v>
      </c>
      <c r="B1175" s="37" t="s">
        <v>3292</v>
      </c>
      <c r="C1175" s="37" t="s">
        <v>3286</v>
      </c>
      <c r="D1175" s="37" t="s">
        <v>2826</v>
      </c>
      <c r="E1175" s="37" t="s">
        <v>2776</v>
      </c>
      <c r="F1175" s="37" t="s">
        <v>2827</v>
      </c>
      <c r="G1175" s="37" t="s">
        <v>2827</v>
      </c>
      <c r="H1175" s="37" t="s">
        <v>2827</v>
      </c>
      <c r="I1175" s="37" t="s">
        <v>92</v>
      </c>
      <c r="J1175" s="37" t="s">
        <v>92</v>
      </c>
      <c r="K1175" s="37" t="s">
        <v>92</v>
      </c>
      <c r="L1175" s="36">
        <v>4</v>
      </c>
      <c r="M1175" s="36">
        <v>4</v>
      </c>
      <c r="N1175" s="36">
        <v>4</v>
      </c>
      <c r="O1175" s="36">
        <v>6</v>
      </c>
      <c r="P1175" s="37" t="s">
        <v>292</v>
      </c>
      <c r="Q1175" s="37"/>
      <c r="R1175" s="37" t="s">
        <v>3293</v>
      </c>
    </row>
    <row r="1176" spans="1:18" ht="27.7" hidden="1" thickBot="1" x14ac:dyDescent="0.55000000000000004">
      <c r="A1176" s="36">
        <v>1369</v>
      </c>
      <c r="B1176" s="37" t="s">
        <v>3294</v>
      </c>
      <c r="C1176" s="37" t="s">
        <v>3294</v>
      </c>
      <c r="D1176" s="37" t="s">
        <v>2547</v>
      </c>
      <c r="E1176" s="37" t="s">
        <v>2037</v>
      </c>
      <c r="F1176" s="37" t="s">
        <v>2030</v>
      </c>
      <c r="G1176" s="37" t="s">
        <v>2030</v>
      </c>
      <c r="H1176" s="37" t="s">
        <v>2030</v>
      </c>
      <c r="I1176" s="37" t="s">
        <v>2031</v>
      </c>
      <c r="J1176" s="37" t="s">
        <v>2031</v>
      </c>
      <c r="K1176" s="37" t="s">
        <v>2031</v>
      </c>
      <c r="L1176" s="36">
        <v>3</v>
      </c>
      <c r="M1176" s="36">
        <v>3</v>
      </c>
      <c r="N1176" s="36">
        <v>3</v>
      </c>
      <c r="O1176" s="36">
        <v>3</v>
      </c>
      <c r="P1176" s="37" t="s">
        <v>265</v>
      </c>
      <c r="Q1176" s="37"/>
      <c r="R1176" s="37" t="s">
        <v>3295</v>
      </c>
    </row>
    <row r="1177" spans="1:18" ht="27.7" hidden="1" thickBot="1" x14ac:dyDescent="0.55000000000000004">
      <c r="A1177" s="36">
        <v>1370</v>
      </c>
      <c r="B1177" s="37" t="s">
        <v>3296</v>
      </c>
      <c r="C1177" s="37" t="s">
        <v>2641</v>
      </c>
      <c r="D1177" s="37" t="s">
        <v>1063</v>
      </c>
      <c r="E1177" s="37" t="s">
        <v>1064</v>
      </c>
      <c r="F1177" s="37" t="s">
        <v>2816</v>
      </c>
      <c r="G1177" s="37" t="s">
        <v>2816</v>
      </c>
      <c r="H1177" s="37" t="s">
        <v>2816</v>
      </c>
      <c r="I1177" s="37" t="s">
        <v>92</v>
      </c>
      <c r="J1177" s="37" t="s">
        <v>88</v>
      </c>
      <c r="K1177" s="37" t="s">
        <v>88</v>
      </c>
      <c r="L1177" s="36">
        <v>2</v>
      </c>
      <c r="M1177" s="36">
        <v>2</v>
      </c>
      <c r="N1177" s="36">
        <v>2</v>
      </c>
      <c r="O1177" s="36">
        <v>3</v>
      </c>
      <c r="P1177" s="37" t="s">
        <v>265</v>
      </c>
      <c r="Q1177" s="37"/>
      <c r="R1177" s="37" t="s">
        <v>3297</v>
      </c>
    </row>
    <row r="1178" spans="1:18" ht="14.7" thickBot="1" x14ac:dyDescent="0.55000000000000004">
      <c r="A1178" s="36">
        <v>1371</v>
      </c>
      <c r="B1178" s="37" t="s">
        <v>3298</v>
      </c>
      <c r="C1178" s="37" t="s">
        <v>2818</v>
      </c>
      <c r="D1178" s="37" t="s">
        <v>2815</v>
      </c>
      <c r="E1178" s="37" t="s">
        <v>2776</v>
      </c>
      <c r="F1178" s="37" t="s">
        <v>2816</v>
      </c>
      <c r="G1178" s="37" t="s">
        <v>2816</v>
      </c>
      <c r="H1178" s="37" t="s">
        <v>2816</v>
      </c>
      <c r="I1178" s="37" t="s">
        <v>92</v>
      </c>
      <c r="J1178" s="37" t="s">
        <v>88</v>
      </c>
      <c r="K1178" s="37" t="s">
        <v>88</v>
      </c>
      <c r="L1178" s="36">
        <v>1</v>
      </c>
      <c r="M1178" s="36">
        <v>1</v>
      </c>
      <c r="N1178" s="36">
        <v>1</v>
      </c>
      <c r="O1178" s="36">
        <v>2</v>
      </c>
      <c r="P1178" s="37" t="s">
        <v>292</v>
      </c>
      <c r="Q1178" s="37"/>
      <c r="R1178" s="37" t="s">
        <v>3299</v>
      </c>
    </row>
    <row r="1179" spans="1:18" ht="14.7" thickBot="1" x14ac:dyDescent="0.55000000000000004">
      <c r="A1179" s="36">
        <v>1372</v>
      </c>
      <c r="B1179" s="37" t="s">
        <v>3300</v>
      </c>
      <c r="C1179" s="37" t="s">
        <v>2818</v>
      </c>
      <c r="D1179" s="37" t="s">
        <v>2815</v>
      </c>
      <c r="E1179" s="37" t="s">
        <v>2776</v>
      </c>
      <c r="F1179" s="37" t="s">
        <v>2816</v>
      </c>
      <c r="G1179" s="37" t="s">
        <v>2816</v>
      </c>
      <c r="H1179" s="37" t="s">
        <v>2816</v>
      </c>
      <c r="I1179" s="37" t="s">
        <v>92</v>
      </c>
      <c r="J1179" s="37" t="s">
        <v>88</v>
      </c>
      <c r="K1179" s="37" t="s">
        <v>88</v>
      </c>
      <c r="L1179" s="36">
        <v>2</v>
      </c>
      <c r="M1179" s="36">
        <v>2</v>
      </c>
      <c r="N1179" s="36">
        <v>2</v>
      </c>
      <c r="O1179" s="36">
        <v>3</v>
      </c>
      <c r="P1179" s="37" t="s">
        <v>292</v>
      </c>
      <c r="Q1179" s="37"/>
      <c r="R1179" s="37" t="s">
        <v>3301</v>
      </c>
    </row>
    <row r="1180" spans="1:18" ht="27.7" hidden="1" thickBot="1" x14ac:dyDescent="0.55000000000000004">
      <c r="A1180" s="36">
        <v>1373</v>
      </c>
      <c r="B1180" s="37" t="s">
        <v>3302</v>
      </c>
      <c r="C1180" s="37" t="s">
        <v>2588</v>
      </c>
      <c r="D1180" s="37" t="s">
        <v>2404</v>
      </c>
      <c r="E1180" s="37" t="s">
        <v>2404</v>
      </c>
      <c r="F1180" s="37" t="s">
        <v>2589</v>
      </c>
      <c r="G1180" s="37" t="s">
        <v>2589</v>
      </c>
      <c r="H1180" s="37" t="s">
        <v>2589</v>
      </c>
      <c r="I1180" s="37" t="s">
        <v>2077</v>
      </c>
      <c r="J1180" s="37" t="s">
        <v>88</v>
      </c>
      <c r="K1180" s="37" t="s">
        <v>88</v>
      </c>
      <c r="L1180" s="36">
        <v>2</v>
      </c>
      <c r="M1180" s="36">
        <v>2</v>
      </c>
      <c r="N1180" s="36">
        <v>2</v>
      </c>
      <c r="O1180" s="36">
        <v>3</v>
      </c>
      <c r="P1180" s="37" t="s">
        <v>265</v>
      </c>
      <c r="Q1180" s="37"/>
      <c r="R1180" s="37" t="s">
        <v>3303</v>
      </c>
    </row>
    <row r="1181" spans="1:18" ht="14.7" thickBot="1" x14ac:dyDescent="0.55000000000000004">
      <c r="A1181" s="36">
        <v>1374</v>
      </c>
      <c r="B1181" s="37" t="s">
        <v>3304</v>
      </c>
      <c r="C1181" s="37" t="s">
        <v>2818</v>
      </c>
      <c r="D1181" s="37" t="s">
        <v>2815</v>
      </c>
      <c r="E1181" s="37" t="s">
        <v>2776</v>
      </c>
      <c r="F1181" s="37" t="s">
        <v>2816</v>
      </c>
      <c r="G1181" s="37" t="s">
        <v>2816</v>
      </c>
      <c r="H1181" s="37" t="s">
        <v>2816</v>
      </c>
      <c r="I1181" s="37" t="s">
        <v>92</v>
      </c>
      <c r="J1181" s="37" t="s">
        <v>88</v>
      </c>
      <c r="K1181" s="37" t="s">
        <v>88</v>
      </c>
      <c r="L1181" s="36">
        <v>2</v>
      </c>
      <c r="M1181" s="36">
        <v>2</v>
      </c>
      <c r="N1181" s="36">
        <v>2</v>
      </c>
      <c r="O1181" s="36">
        <v>3</v>
      </c>
      <c r="P1181" s="37" t="s">
        <v>292</v>
      </c>
      <c r="Q1181" s="37"/>
      <c r="R1181" s="37" t="s">
        <v>3305</v>
      </c>
    </row>
    <row r="1182" spans="1:18" ht="14.7" thickBot="1" x14ac:dyDescent="0.55000000000000004">
      <c r="A1182" s="36">
        <v>1375</v>
      </c>
      <c r="B1182" s="37" t="s">
        <v>3306</v>
      </c>
      <c r="C1182" s="37" t="s">
        <v>2929</v>
      </c>
      <c r="D1182" s="37" t="s">
        <v>2930</v>
      </c>
      <c r="E1182" s="37" t="s">
        <v>2776</v>
      </c>
      <c r="F1182" s="37" t="s">
        <v>2881</v>
      </c>
      <c r="G1182" s="37" t="s">
        <v>2881</v>
      </c>
      <c r="H1182" s="37" t="s">
        <v>2881</v>
      </c>
      <c r="I1182" s="37" t="s">
        <v>90</v>
      </c>
      <c r="J1182" s="37" t="s">
        <v>88</v>
      </c>
      <c r="K1182" s="37" t="s">
        <v>2032</v>
      </c>
      <c r="L1182" s="36">
        <v>2</v>
      </c>
      <c r="M1182" s="36">
        <v>2</v>
      </c>
      <c r="N1182" s="36">
        <v>2</v>
      </c>
      <c r="O1182" s="36">
        <v>3</v>
      </c>
      <c r="P1182" s="37" t="s">
        <v>292</v>
      </c>
      <c r="Q1182" s="37"/>
      <c r="R1182" s="37" t="s">
        <v>3307</v>
      </c>
    </row>
    <row r="1183" spans="1:18" ht="14.7" thickBot="1" x14ac:dyDescent="0.55000000000000004">
      <c r="A1183" s="36">
        <v>1376</v>
      </c>
      <c r="B1183" s="37" t="s">
        <v>3308</v>
      </c>
      <c r="C1183" s="37" t="s">
        <v>2929</v>
      </c>
      <c r="D1183" s="37" t="s">
        <v>2930</v>
      </c>
      <c r="E1183" s="37" t="s">
        <v>2776</v>
      </c>
      <c r="F1183" s="37" t="s">
        <v>1065</v>
      </c>
      <c r="G1183" s="37" t="s">
        <v>1065</v>
      </c>
      <c r="H1183" s="37" t="s">
        <v>1065</v>
      </c>
      <c r="I1183" s="37" t="s">
        <v>92</v>
      </c>
      <c r="J1183" s="37" t="s">
        <v>88</v>
      </c>
      <c r="K1183" s="37" t="s">
        <v>2032</v>
      </c>
      <c r="L1183" s="36">
        <v>1</v>
      </c>
      <c r="M1183" s="36">
        <v>1</v>
      </c>
      <c r="N1183" s="36">
        <v>1</v>
      </c>
      <c r="O1183" s="36">
        <v>1</v>
      </c>
      <c r="P1183" s="37" t="s">
        <v>292</v>
      </c>
      <c r="Q1183" s="37"/>
      <c r="R1183" s="37" t="s">
        <v>3309</v>
      </c>
    </row>
    <row r="1184" spans="1:18" ht="27.7" hidden="1" thickBot="1" x14ac:dyDescent="0.55000000000000004">
      <c r="A1184" s="36">
        <v>1377</v>
      </c>
      <c r="B1184" s="37" t="s">
        <v>3310</v>
      </c>
      <c r="C1184" s="37" t="s">
        <v>2662</v>
      </c>
      <c r="D1184" s="37" t="s">
        <v>1984</v>
      </c>
      <c r="E1184" s="37" t="s">
        <v>1064</v>
      </c>
      <c r="F1184" s="37" t="s">
        <v>1972</v>
      </c>
      <c r="G1184" s="37" t="s">
        <v>1972</v>
      </c>
      <c r="H1184" s="37" t="s">
        <v>1972</v>
      </c>
      <c r="I1184" s="37" t="s">
        <v>1964</v>
      </c>
      <c r="J1184" s="37" t="s">
        <v>1964</v>
      </c>
      <c r="K1184" s="37" t="s">
        <v>1964</v>
      </c>
      <c r="L1184" s="36">
        <v>3</v>
      </c>
      <c r="M1184" s="36">
        <v>3</v>
      </c>
      <c r="N1184" s="36">
        <v>3</v>
      </c>
      <c r="O1184" s="36">
        <v>4</v>
      </c>
      <c r="P1184" s="37" t="s">
        <v>292</v>
      </c>
      <c r="Q1184" s="37"/>
      <c r="R1184" s="37" t="s">
        <v>3311</v>
      </c>
    </row>
    <row r="1185" spans="1:18" ht="27.7" hidden="1" thickBot="1" x14ac:dyDescent="0.55000000000000004">
      <c r="A1185" s="36">
        <v>1378</v>
      </c>
      <c r="B1185" s="37" t="s">
        <v>3312</v>
      </c>
      <c r="C1185" s="37" t="s">
        <v>1970</v>
      </c>
      <c r="D1185" s="37" t="s">
        <v>1971</v>
      </c>
      <c r="E1185" s="37" t="s">
        <v>1959</v>
      </c>
      <c r="F1185" s="37" t="s">
        <v>1972</v>
      </c>
      <c r="G1185" s="37" t="s">
        <v>1972</v>
      </c>
      <c r="H1185" s="37" t="s">
        <v>1972</v>
      </c>
      <c r="I1185" s="37" t="s">
        <v>1964</v>
      </c>
      <c r="J1185" s="37" t="s">
        <v>1964</v>
      </c>
      <c r="K1185" s="37" t="s">
        <v>1964</v>
      </c>
      <c r="L1185" s="36">
        <v>3</v>
      </c>
      <c r="M1185" s="36">
        <v>3</v>
      </c>
      <c r="N1185" s="36">
        <v>3</v>
      </c>
      <c r="O1185" s="36">
        <v>4</v>
      </c>
      <c r="P1185" s="37" t="s">
        <v>292</v>
      </c>
      <c r="Q1185" s="37"/>
      <c r="R1185" s="37" t="s">
        <v>3313</v>
      </c>
    </row>
    <row r="1186" spans="1:18" ht="27.7" hidden="1" thickBot="1" x14ac:dyDescent="0.55000000000000004">
      <c r="A1186" s="36">
        <v>1379</v>
      </c>
      <c r="B1186" s="37" t="s">
        <v>3314</v>
      </c>
      <c r="C1186" s="37" t="s">
        <v>2588</v>
      </c>
      <c r="D1186" s="37" t="s">
        <v>2404</v>
      </c>
      <c r="E1186" s="37" t="s">
        <v>2404</v>
      </c>
      <c r="F1186" s="37" t="s">
        <v>2589</v>
      </c>
      <c r="G1186" s="37" t="s">
        <v>2589</v>
      </c>
      <c r="H1186" s="37" t="s">
        <v>2589</v>
      </c>
      <c r="I1186" s="37" t="s">
        <v>2077</v>
      </c>
      <c r="J1186" s="37" t="s">
        <v>88</v>
      </c>
      <c r="K1186" s="37" t="s">
        <v>88</v>
      </c>
      <c r="L1186" s="36">
        <v>1</v>
      </c>
      <c r="M1186" s="36">
        <v>1</v>
      </c>
      <c r="N1186" s="36">
        <v>1</v>
      </c>
      <c r="O1186" s="36">
        <v>3</v>
      </c>
      <c r="P1186" s="37" t="s">
        <v>292</v>
      </c>
      <c r="Q1186" s="37"/>
      <c r="R1186" s="37" t="s">
        <v>3315</v>
      </c>
    </row>
    <row r="1187" spans="1:18" ht="14.7" hidden="1" thickBot="1" x14ac:dyDescent="0.55000000000000004">
      <c r="A1187" s="36">
        <v>1380</v>
      </c>
      <c r="B1187" s="37" t="s">
        <v>3316</v>
      </c>
      <c r="C1187" s="37" t="s">
        <v>3316</v>
      </c>
      <c r="D1187" s="37" t="s">
        <v>2404</v>
      </c>
      <c r="E1187" s="37" t="s">
        <v>2404</v>
      </c>
      <c r="F1187" s="37" t="s">
        <v>2589</v>
      </c>
      <c r="G1187" s="37" t="s">
        <v>2589</v>
      </c>
      <c r="H1187" s="37" t="s">
        <v>2589</v>
      </c>
      <c r="I1187" s="37" t="s">
        <v>1954</v>
      </c>
      <c r="J1187" s="37" t="s">
        <v>1954</v>
      </c>
      <c r="K1187" s="37" t="s">
        <v>1954</v>
      </c>
      <c r="L1187" s="36">
        <v>3</v>
      </c>
      <c r="M1187" s="36">
        <v>3</v>
      </c>
      <c r="N1187" s="36">
        <v>3</v>
      </c>
      <c r="O1187" s="36">
        <v>5</v>
      </c>
      <c r="P1187" s="37" t="s">
        <v>292</v>
      </c>
      <c r="Q1187" s="37"/>
      <c r="R1187" s="37" t="s">
        <v>3317</v>
      </c>
    </row>
    <row r="1188" spans="1:18" ht="27.7" thickBot="1" x14ac:dyDescent="0.55000000000000004">
      <c r="A1188" s="36">
        <v>1381</v>
      </c>
      <c r="B1188" s="37" t="s">
        <v>3318</v>
      </c>
      <c r="C1188" s="37" t="s">
        <v>3206</v>
      </c>
      <c r="D1188" s="37" t="s">
        <v>2797</v>
      </c>
      <c r="E1188" s="37" t="s">
        <v>2784</v>
      </c>
      <c r="F1188" s="37" t="s">
        <v>2798</v>
      </c>
      <c r="G1188" s="37" t="s">
        <v>2798</v>
      </c>
      <c r="H1188" s="37" t="s">
        <v>2798</v>
      </c>
      <c r="I1188" s="37" t="s">
        <v>92</v>
      </c>
      <c r="J1188" s="37" t="s">
        <v>92</v>
      </c>
      <c r="K1188" s="37" t="s">
        <v>92</v>
      </c>
      <c r="L1188" s="36">
        <v>5</v>
      </c>
      <c r="M1188" s="36">
        <v>5</v>
      </c>
      <c r="N1188" s="36">
        <v>5</v>
      </c>
      <c r="O1188" s="36">
        <v>5</v>
      </c>
      <c r="P1188" s="37" t="s">
        <v>292</v>
      </c>
      <c r="Q1188" s="37"/>
      <c r="R1188" s="37" t="s">
        <v>3319</v>
      </c>
    </row>
    <row r="1189" spans="1:18" ht="14.7" hidden="1" thickBot="1" x14ac:dyDescent="0.55000000000000004">
      <c r="A1189" s="36">
        <v>1408</v>
      </c>
      <c r="B1189" s="37" t="s">
        <v>3320</v>
      </c>
      <c r="C1189" s="37" t="s">
        <v>3321</v>
      </c>
      <c r="D1189" s="37" t="s">
        <v>3322</v>
      </c>
      <c r="E1189" s="37" t="s">
        <v>2880</v>
      </c>
      <c r="F1189" s="37" t="s">
        <v>3323</v>
      </c>
      <c r="G1189" s="37" t="s">
        <v>3323</v>
      </c>
      <c r="H1189" s="37" t="s">
        <v>3324</v>
      </c>
      <c r="I1189" s="37" t="s">
        <v>115</v>
      </c>
      <c r="J1189" s="37" t="s">
        <v>115</v>
      </c>
      <c r="K1189" s="37" t="s">
        <v>92</v>
      </c>
      <c r="L1189" s="36">
        <v>1</v>
      </c>
      <c r="M1189" s="36">
        <v>1</v>
      </c>
      <c r="N1189" s="36">
        <v>1</v>
      </c>
      <c r="O1189" s="36">
        <v>5</v>
      </c>
      <c r="P1189" s="37" t="s">
        <v>292</v>
      </c>
      <c r="Q1189" s="37"/>
      <c r="R1189" s="37" t="s">
        <v>3325</v>
      </c>
    </row>
    <row r="1190" spans="1:18" ht="27.7" thickBot="1" x14ac:dyDescent="0.55000000000000004">
      <c r="A1190" s="36">
        <v>1413</v>
      </c>
      <c r="B1190" s="37" t="s">
        <v>3326</v>
      </c>
      <c r="C1190" s="37" t="s">
        <v>2736</v>
      </c>
      <c r="D1190" s="37" t="s">
        <v>2729</v>
      </c>
      <c r="E1190" s="37" t="s">
        <v>2730</v>
      </c>
      <c r="F1190" s="37" t="s">
        <v>2731</v>
      </c>
      <c r="G1190" s="37" t="s">
        <v>2731</v>
      </c>
      <c r="H1190" s="37" t="s">
        <v>2731</v>
      </c>
      <c r="I1190" s="37" t="s">
        <v>90</v>
      </c>
      <c r="J1190" s="37" t="s">
        <v>90</v>
      </c>
      <c r="K1190" s="37" t="s">
        <v>90</v>
      </c>
      <c r="L1190" s="36">
        <v>3</v>
      </c>
      <c r="M1190" s="36">
        <v>3</v>
      </c>
      <c r="N1190" s="36">
        <v>3</v>
      </c>
      <c r="O1190" s="36">
        <v>5</v>
      </c>
      <c r="P1190" s="37" t="s">
        <v>265</v>
      </c>
      <c r="Q1190" s="37"/>
      <c r="R1190" s="37" t="s">
        <v>3327</v>
      </c>
    </row>
    <row r="1191" spans="1:18" ht="27.7" thickBot="1" x14ac:dyDescent="0.55000000000000004">
      <c r="A1191" s="36">
        <v>1414</v>
      </c>
      <c r="B1191" s="37" t="s">
        <v>3328</v>
      </c>
      <c r="C1191" s="37" t="s">
        <v>2966</v>
      </c>
      <c r="D1191" s="37" t="s">
        <v>2967</v>
      </c>
      <c r="E1191" s="37" t="s">
        <v>2730</v>
      </c>
      <c r="F1191" s="37" t="s">
        <v>2966</v>
      </c>
      <c r="G1191" s="37" t="s">
        <v>2966</v>
      </c>
      <c r="H1191" s="37" t="s">
        <v>2966</v>
      </c>
      <c r="I1191" s="37" t="s">
        <v>92</v>
      </c>
      <c r="J1191" s="37" t="s">
        <v>92</v>
      </c>
      <c r="K1191" s="37" t="s">
        <v>92</v>
      </c>
      <c r="L1191" s="36">
        <v>2</v>
      </c>
      <c r="M1191" s="36">
        <v>2</v>
      </c>
      <c r="N1191" s="36">
        <v>2</v>
      </c>
      <c r="O1191" s="36">
        <v>4</v>
      </c>
      <c r="P1191" s="37" t="s">
        <v>265</v>
      </c>
      <c r="Q1191" s="37"/>
      <c r="R1191" s="37" t="s">
        <v>3329</v>
      </c>
    </row>
    <row r="1192" spans="1:18" ht="27.7" thickBot="1" x14ac:dyDescent="0.55000000000000004">
      <c r="A1192" s="36">
        <v>1415</v>
      </c>
      <c r="B1192" s="37" t="s">
        <v>3330</v>
      </c>
      <c r="C1192" s="37" t="s">
        <v>2764</v>
      </c>
      <c r="D1192" s="37" t="s">
        <v>2760</v>
      </c>
      <c r="E1192" s="37" t="s">
        <v>2730</v>
      </c>
      <c r="F1192" s="37" t="s">
        <v>2761</v>
      </c>
      <c r="G1192" s="37" t="s">
        <v>2761</v>
      </c>
      <c r="H1192" s="37" t="s">
        <v>2761</v>
      </c>
      <c r="I1192" s="37" t="s">
        <v>90</v>
      </c>
      <c r="J1192" s="37" t="s">
        <v>90</v>
      </c>
      <c r="K1192" s="37" t="s">
        <v>90</v>
      </c>
      <c r="L1192" s="36">
        <v>2</v>
      </c>
      <c r="M1192" s="36">
        <v>2</v>
      </c>
      <c r="N1192" s="36">
        <v>2</v>
      </c>
      <c r="O1192" s="36">
        <v>4</v>
      </c>
      <c r="P1192" s="37" t="s">
        <v>265</v>
      </c>
      <c r="Q1192" s="37"/>
      <c r="R1192" s="37" t="s">
        <v>3331</v>
      </c>
    </row>
    <row r="1193" spans="1:18" ht="27.7" thickBot="1" x14ac:dyDescent="0.55000000000000004">
      <c r="A1193" s="36">
        <v>1416</v>
      </c>
      <c r="B1193" s="37" t="s">
        <v>3332</v>
      </c>
      <c r="C1193" s="37" t="s">
        <v>2840</v>
      </c>
      <c r="D1193" s="37" t="s">
        <v>2768</v>
      </c>
      <c r="E1193" s="37" t="s">
        <v>2730</v>
      </c>
      <c r="F1193" s="37" t="s">
        <v>2771</v>
      </c>
      <c r="G1193" s="37" t="s">
        <v>2771</v>
      </c>
      <c r="H1193" s="37" t="s">
        <v>2771</v>
      </c>
      <c r="I1193" s="37" t="s">
        <v>102</v>
      </c>
      <c r="J1193" s="37" t="s">
        <v>102</v>
      </c>
      <c r="K1193" s="37" t="s">
        <v>102</v>
      </c>
      <c r="L1193" s="36">
        <v>2</v>
      </c>
      <c r="M1193" s="36">
        <v>2</v>
      </c>
      <c r="N1193" s="36">
        <v>2</v>
      </c>
      <c r="O1193" s="36">
        <v>5</v>
      </c>
      <c r="P1193" s="37" t="s">
        <v>292</v>
      </c>
      <c r="Q1193" s="37"/>
      <c r="R1193" s="37" t="s">
        <v>3333</v>
      </c>
    </row>
    <row r="1194" spans="1:18" ht="27.7" hidden="1" thickBot="1" x14ac:dyDescent="0.55000000000000004">
      <c r="A1194" s="36">
        <v>1417</v>
      </c>
      <c r="B1194" s="37" t="s">
        <v>3334</v>
      </c>
      <c r="C1194" s="37" t="s">
        <v>3334</v>
      </c>
      <c r="D1194" s="37" t="s">
        <v>2404</v>
      </c>
      <c r="E1194" s="37" t="s">
        <v>2404</v>
      </c>
      <c r="F1194" s="37" t="s">
        <v>2589</v>
      </c>
      <c r="G1194" s="37" t="s">
        <v>2589</v>
      </c>
      <c r="H1194" s="37" t="s">
        <v>2589</v>
      </c>
      <c r="I1194" s="37" t="s">
        <v>2077</v>
      </c>
      <c r="J1194" s="37" t="s">
        <v>2077</v>
      </c>
      <c r="K1194" s="37" t="s">
        <v>2077</v>
      </c>
      <c r="L1194" s="36">
        <v>3</v>
      </c>
      <c r="M1194" s="36">
        <v>3</v>
      </c>
      <c r="N1194" s="36">
        <v>3</v>
      </c>
      <c r="O1194" s="36">
        <v>5</v>
      </c>
      <c r="P1194" s="37" t="s">
        <v>292</v>
      </c>
      <c r="Q1194" s="37"/>
      <c r="R1194" s="37" t="s">
        <v>3335</v>
      </c>
    </row>
    <row r="1195" spans="1:18" ht="27.7" thickBot="1" x14ac:dyDescent="0.55000000000000004">
      <c r="A1195" s="36">
        <v>1418</v>
      </c>
      <c r="B1195" s="37" t="s">
        <v>3336</v>
      </c>
      <c r="C1195" s="37" t="s">
        <v>2924</v>
      </c>
      <c r="D1195" s="37" t="s">
        <v>2925</v>
      </c>
      <c r="E1195" s="37" t="s">
        <v>2784</v>
      </c>
      <c r="F1195" s="37" t="s">
        <v>2926</v>
      </c>
      <c r="G1195" s="37" t="s">
        <v>2926</v>
      </c>
      <c r="H1195" s="37" t="s">
        <v>2926</v>
      </c>
      <c r="I1195" s="37" t="s">
        <v>92</v>
      </c>
      <c r="J1195" s="37" t="s">
        <v>92</v>
      </c>
      <c r="K1195" s="37" t="s">
        <v>92</v>
      </c>
      <c r="L1195" s="36">
        <v>2</v>
      </c>
      <c r="M1195" s="36">
        <v>2</v>
      </c>
      <c r="N1195" s="36">
        <v>2</v>
      </c>
      <c r="O1195" s="36">
        <v>4</v>
      </c>
      <c r="P1195" s="37" t="s">
        <v>292</v>
      </c>
      <c r="Q1195" s="37"/>
      <c r="R1195" s="37" t="s">
        <v>3337</v>
      </c>
    </row>
    <row r="1196" spans="1:18" ht="27.7" thickBot="1" x14ac:dyDescent="0.55000000000000004">
      <c r="A1196" s="36">
        <v>1419</v>
      </c>
      <c r="B1196" s="37" t="s">
        <v>3338</v>
      </c>
      <c r="C1196" s="37" t="s">
        <v>2884</v>
      </c>
      <c r="D1196" s="37" t="s">
        <v>1717</v>
      </c>
      <c r="E1196" s="37" t="s">
        <v>2784</v>
      </c>
      <c r="F1196" s="37" t="s">
        <v>2798</v>
      </c>
      <c r="G1196" s="37" t="s">
        <v>2798</v>
      </c>
      <c r="H1196" s="37" t="s">
        <v>2798</v>
      </c>
      <c r="I1196" s="37" t="s">
        <v>92</v>
      </c>
      <c r="J1196" s="37" t="s">
        <v>92</v>
      </c>
      <c r="K1196" s="37" t="s">
        <v>92</v>
      </c>
      <c r="L1196" s="36">
        <v>3</v>
      </c>
      <c r="M1196" s="36">
        <v>3</v>
      </c>
      <c r="N1196" s="36">
        <v>3</v>
      </c>
      <c r="O1196" s="36">
        <v>5</v>
      </c>
      <c r="P1196" s="37" t="s">
        <v>292</v>
      </c>
      <c r="Q1196" s="37"/>
      <c r="R1196" s="37" t="s">
        <v>3339</v>
      </c>
    </row>
    <row r="1197" spans="1:18" ht="27.7" thickBot="1" x14ac:dyDescent="0.55000000000000004">
      <c r="A1197" s="36">
        <v>1420</v>
      </c>
      <c r="B1197" s="37" t="s">
        <v>3340</v>
      </c>
      <c r="C1197" s="37" t="s">
        <v>2884</v>
      </c>
      <c r="D1197" s="37" t="s">
        <v>1717</v>
      </c>
      <c r="E1197" s="37" t="s">
        <v>2784</v>
      </c>
      <c r="F1197" s="37" t="s">
        <v>2798</v>
      </c>
      <c r="G1197" s="37" t="s">
        <v>2798</v>
      </c>
      <c r="H1197" s="37" t="s">
        <v>2798</v>
      </c>
      <c r="I1197" s="37" t="s">
        <v>92</v>
      </c>
      <c r="J1197" s="37" t="s">
        <v>92</v>
      </c>
      <c r="K1197" s="37" t="s">
        <v>92</v>
      </c>
      <c r="L1197" s="36">
        <v>4</v>
      </c>
      <c r="M1197" s="36">
        <v>4</v>
      </c>
      <c r="N1197" s="36">
        <v>4</v>
      </c>
      <c r="O1197" s="36">
        <v>5</v>
      </c>
      <c r="P1197" s="37" t="s">
        <v>292</v>
      </c>
      <c r="Q1197" s="37"/>
      <c r="R1197" s="37" t="s">
        <v>3341</v>
      </c>
    </row>
    <row r="1198" spans="1:18" ht="27.7" thickBot="1" x14ac:dyDescent="0.55000000000000004">
      <c r="A1198" s="36">
        <v>1421</v>
      </c>
      <c r="B1198" s="37" t="s">
        <v>3342</v>
      </c>
      <c r="C1198" s="37" t="s">
        <v>3085</v>
      </c>
      <c r="D1198" s="37" t="s">
        <v>2900</v>
      </c>
      <c r="E1198" s="37" t="s">
        <v>2776</v>
      </c>
      <c r="F1198" s="37" t="s">
        <v>2827</v>
      </c>
      <c r="G1198" s="37" t="s">
        <v>2827</v>
      </c>
      <c r="H1198" s="37" t="s">
        <v>2827</v>
      </c>
      <c r="I1198" s="37" t="s">
        <v>92</v>
      </c>
      <c r="J1198" s="37" t="s">
        <v>92</v>
      </c>
      <c r="K1198" s="37" t="s">
        <v>92</v>
      </c>
      <c r="L1198" s="36">
        <v>3</v>
      </c>
      <c r="M1198" s="36">
        <v>3</v>
      </c>
      <c r="N1198" s="36">
        <v>3</v>
      </c>
      <c r="O1198" s="36">
        <v>5</v>
      </c>
      <c r="P1198" s="37" t="s">
        <v>292</v>
      </c>
      <c r="Q1198" s="37"/>
      <c r="R1198" s="37" t="s">
        <v>3343</v>
      </c>
    </row>
    <row r="1199" spans="1:18" ht="27.7" thickBot="1" x14ac:dyDescent="0.55000000000000004">
      <c r="A1199" s="36">
        <v>1422</v>
      </c>
      <c r="B1199" s="37" t="s">
        <v>3344</v>
      </c>
      <c r="C1199" s="37" t="s">
        <v>3085</v>
      </c>
      <c r="D1199" s="37" t="s">
        <v>2900</v>
      </c>
      <c r="E1199" s="37" t="s">
        <v>2776</v>
      </c>
      <c r="F1199" s="37" t="s">
        <v>2827</v>
      </c>
      <c r="G1199" s="37" t="s">
        <v>2827</v>
      </c>
      <c r="H1199" s="37" t="s">
        <v>2827</v>
      </c>
      <c r="I1199" s="37" t="s">
        <v>92</v>
      </c>
      <c r="J1199" s="37" t="s">
        <v>92</v>
      </c>
      <c r="K1199" s="37" t="s">
        <v>92</v>
      </c>
      <c r="L1199" s="36">
        <v>3</v>
      </c>
      <c r="M1199" s="36">
        <v>3</v>
      </c>
      <c r="N1199" s="36">
        <v>3</v>
      </c>
      <c r="O1199" s="36">
        <v>4</v>
      </c>
      <c r="P1199" s="37" t="s">
        <v>292</v>
      </c>
      <c r="Q1199" s="37"/>
      <c r="R1199" s="37" t="s">
        <v>3345</v>
      </c>
    </row>
    <row r="1200" spans="1:18" ht="27.7" hidden="1" thickBot="1" x14ac:dyDescent="0.55000000000000004">
      <c r="A1200" s="36">
        <v>1423</v>
      </c>
      <c r="B1200" s="37" t="s">
        <v>3346</v>
      </c>
      <c r="C1200" s="37" t="s">
        <v>3346</v>
      </c>
      <c r="D1200" s="37" t="s">
        <v>1971</v>
      </c>
      <c r="E1200" s="37" t="s">
        <v>1959</v>
      </c>
      <c r="F1200" s="37" t="s">
        <v>1980</v>
      </c>
      <c r="G1200" s="37" t="s">
        <v>1980</v>
      </c>
      <c r="H1200" s="37" t="s">
        <v>3347</v>
      </c>
      <c r="I1200" s="37" t="s">
        <v>2939</v>
      </c>
      <c r="J1200" s="37" t="s">
        <v>2939</v>
      </c>
      <c r="K1200" s="37" t="s">
        <v>2939</v>
      </c>
      <c r="L1200" s="36">
        <v>4</v>
      </c>
      <c r="M1200" s="36">
        <v>4</v>
      </c>
      <c r="N1200" s="36">
        <v>4</v>
      </c>
      <c r="O1200" s="36">
        <v>6</v>
      </c>
      <c r="P1200" s="37" t="s">
        <v>292</v>
      </c>
      <c r="Q1200" s="37"/>
      <c r="R1200" s="37" t="s">
        <v>3348</v>
      </c>
    </row>
    <row r="1201" spans="1:18" ht="27.7" hidden="1" thickBot="1" x14ac:dyDescent="0.55000000000000004">
      <c r="A1201" s="36">
        <v>1424</v>
      </c>
      <c r="B1201" s="37" t="s">
        <v>3349</v>
      </c>
      <c r="C1201" s="37" t="s">
        <v>3350</v>
      </c>
      <c r="D1201" s="37" t="s">
        <v>3351</v>
      </c>
      <c r="E1201" s="37" t="s">
        <v>1959</v>
      </c>
      <c r="F1201" s="37" t="s">
        <v>3347</v>
      </c>
      <c r="G1201" s="37" t="s">
        <v>3347</v>
      </c>
      <c r="H1201" s="37" t="s">
        <v>3347</v>
      </c>
      <c r="I1201" s="37" t="s">
        <v>1465</v>
      </c>
      <c r="J1201" s="37" t="s">
        <v>1465</v>
      </c>
      <c r="K1201" s="37" t="s">
        <v>1465</v>
      </c>
      <c r="L1201" s="36">
        <v>1</v>
      </c>
      <c r="M1201" s="36">
        <v>1</v>
      </c>
      <c r="N1201" s="36">
        <v>1</v>
      </c>
      <c r="O1201" s="36">
        <v>4</v>
      </c>
      <c r="P1201" s="37" t="s">
        <v>292</v>
      </c>
      <c r="Q1201" s="37"/>
      <c r="R1201" s="37" t="s">
        <v>3352</v>
      </c>
    </row>
    <row r="1202" spans="1:18" ht="14.7" hidden="1" thickBot="1" x14ac:dyDescent="0.55000000000000004">
      <c r="A1202" s="36">
        <v>1425</v>
      </c>
      <c r="B1202" s="37" t="s">
        <v>3353</v>
      </c>
      <c r="C1202" s="37" t="s">
        <v>3353</v>
      </c>
      <c r="D1202" s="37" t="s">
        <v>3351</v>
      </c>
      <c r="E1202" s="37" t="s">
        <v>1959</v>
      </c>
      <c r="F1202" s="37" t="s">
        <v>3347</v>
      </c>
      <c r="G1202" s="37" t="s">
        <v>3347</v>
      </c>
      <c r="H1202" s="37" t="s">
        <v>3347</v>
      </c>
      <c r="I1202" s="37" t="s">
        <v>1465</v>
      </c>
      <c r="J1202" s="37" t="s">
        <v>1465</v>
      </c>
      <c r="K1202" s="37" t="s">
        <v>1465</v>
      </c>
      <c r="L1202" s="36">
        <v>1</v>
      </c>
      <c r="M1202" s="36">
        <v>1</v>
      </c>
      <c r="N1202" s="36">
        <v>1</v>
      </c>
      <c r="O1202" s="36">
        <v>3</v>
      </c>
      <c r="P1202" s="37" t="s">
        <v>292</v>
      </c>
      <c r="Q1202" s="37"/>
      <c r="R1202" s="37" t="s">
        <v>3354</v>
      </c>
    </row>
    <row r="1203" spans="1:18" ht="27.7" hidden="1" thickBot="1" x14ac:dyDescent="0.55000000000000004">
      <c r="A1203" s="36">
        <v>1426</v>
      </c>
      <c r="B1203" s="37" t="s">
        <v>3355</v>
      </c>
      <c r="C1203" s="37" t="s">
        <v>3351</v>
      </c>
      <c r="D1203" s="37" t="s">
        <v>3351</v>
      </c>
      <c r="E1203" s="37" t="s">
        <v>1959</v>
      </c>
      <c r="F1203" s="37" t="s">
        <v>3347</v>
      </c>
      <c r="G1203" s="37" t="s">
        <v>3347</v>
      </c>
      <c r="H1203" s="37" t="s">
        <v>3347</v>
      </c>
      <c r="I1203" s="37" t="s">
        <v>1465</v>
      </c>
      <c r="J1203" s="37" t="s">
        <v>1465</v>
      </c>
      <c r="K1203" s="37" t="s">
        <v>1465</v>
      </c>
      <c r="L1203" s="36">
        <v>1</v>
      </c>
      <c r="M1203" s="36">
        <v>1</v>
      </c>
      <c r="N1203" s="36">
        <v>1</v>
      </c>
      <c r="O1203" s="36">
        <v>4</v>
      </c>
      <c r="P1203" s="37" t="s">
        <v>292</v>
      </c>
      <c r="Q1203" s="37"/>
      <c r="R1203" s="37" t="s">
        <v>3356</v>
      </c>
    </row>
    <row r="1204" spans="1:18" ht="14.7" hidden="1" thickBot="1" x14ac:dyDescent="0.55000000000000004">
      <c r="A1204" s="36">
        <v>1427</v>
      </c>
      <c r="B1204" s="37" t="s">
        <v>3357</v>
      </c>
      <c r="C1204" s="37" t="s">
        <v>2801</v>
      </c>
      <c r="D1204" s="37" t="s">
        <v>2644</v>
      </c>
      <c r="E1204" s="37" t="s">
        <v>1785</v>
      </c>
      <c r="F1204" s="37" t="s">
        <v>2801</v>
      </c>
      <c r="G1204" s="37" t="s">
        <v>2801</v>
      </c>
      <c r="H1204" s="37" t="s">
        <v>2801</v>
      </c>
      <c r="I1204" s="37" t="s">
        <v>1465</v>
      </c>
      <c r="J1204" s="37" t="s">
        <v>1465</v>
      </c>
      <c r="K1204" s="37" t="s">
        <v>1465</v>
      </c>
      <c r="L1204" s="36">
        <v>1</v>
      </c>
      <c r="M1204" s="36">
        <v>1</v>
      </c>
      <c r="N1204" s="36">
        <v>1</v>
      </c>
      <c r="O1204" s="36">
        <v>2</v>
      </c>
      <c r="P1204" s="37" t="s">
        <v>292</v>
      </c>
      <c r="Q1204" s="37" t="s">
        <v>3357</v>
      </c>
      <c r="R1204" s="37" t="s">
        <v>3358</v>
      </c>
    </row>
    <row r="1205" spans="1:18" ht="27.7" hidden="1" thickBot="1" x14ac:dyDescent="0.55000000000000004">
      <c r="A1205" s="36">
        <v>1428</v>
      </c>
      <c r="B1205" s="37" t="s">
        <v>2609</v>
      </c>
      <c r="C1205" s="37" t="s">
        <v>2609</v>
      </c>
      <c r="D1205" s="37" t="s">
        <v>2404</v>
      </c>
      <c r="E1205" s="37" t="s">
        <v>2404</v>
      </c>
      <c r="F1205" s="37" t="s">
        <v>2589</v>
      </c>
      <c r="G1205" s="37" t="s">
        <v>2589</v>
      </c>
      <c r="H1205" s="37" t="s">
        <v>2589</v>
      </c>
      <c r="I1205" s="37" t="s">
        <v>2077</v>
      </c>
      <c r="J1205" s="37" t="s">
        <v>2077</v>
      </c>
      <c r="K1205" s="37" t="s">
        <v>2077</v>
      </c>
      <c r="L1205" s="36">
        <v>1</v>
      </c>
      <c r="M1205" s="36">
        <v>1</v>
      </c>
      <c r="N1205" s="36">
        <v>2</v>
      </c>
      <c r="O1205" s="36">
        <v>4</v>
      </c>
      <c r="P1205" s="37" t="s">
        <v>292</v>
      </c>
      <c r="Q1205" s="37"/>
      <c r="R1205" s="37" t="s">
        <v>3359</v>
      </c>
    </row>
    <row r="1206" spans="1:18" ht="27.7" hidden="1" thickBot="1" x14ac:dyDescent="0.55000000000000004">
      <c r="A1206" s="36">
        <v>1429</v>
      </c>
      <c r="B1206" s="37" t="s">
        <v>3360</v>
      </c>
      <c r="C1206" s="37" t="s">
        <v>2614</v>
      </c>
      <c r="D1206" s="37" t="s">
        <v>2404</v>
      </c>
      <c r="E1206" s="37" t="s">
        <v>2404</v>
      </c>
      <c r="F1206" s="37" t="s">
        <v>2589</v>
      </c>
      <c r="G1206" s="37" t="s">
        <v>2589</v>
      </c>
      <c r="H1206" s="37" t="s">
        <v>2589</v>
      </c>
      <c r="I1206" s="37" t="s">
        <v>2077</v>
      </c>
      <c r="J1206" s="37" t="s">
        <v>2077</v>
      </c>
      <c r="K1206" s="37" t="s">
        <v>2077</v>
      </c>
      <c r="L1206" s="36">
        <v>3</v>
      </c>
      <c r="M1206" s="36">
        <v>3</v>
      </c>
      <c r="N1206" s="36">
        <v>3</v>
      </c>
      <c r="O1206" s="36">
        <v>4</v>
      </c>
      <c r="P1206" s="37" t="s">
        <v>292</v>
      </c>
      <c r="Q1206" s="37"/>
      <c r="R1206" s="37" t="s">
        <v>3361</v>
      </c>
    </row>
    <row r="1207" spans="1:18" ht="27.7" hidden="1" thickBot="1" x14ac:dyDescent="0.55000000000000004">
      <c r="A1207" s="36">
        <v>1430</v>
      </c>
      <c r="B1207" s="37" t="s">
        <v>3362</v>
      </c>
      <c r="C1207" s="37" t="s">
        <v>3026</v>
      </c>
      <c r="D1207" s="37" t="s">
        <v>2644</v>
      </c>
      <c r="E1207" s="37" t="s">
        <v>1785</v>
      </c>
      <c r="F1207" s="37" t="s">
        <v>1698</v>
      </c>
      <c r="G1207" s="37" t="s">
        <v>1821</v>
      </c>
      <c r="H1207" s="37" t="s">
        <v>1821</v>
      </c>
      <c r="I1207" s="37" t="s">
        <v>2655</v>
      </c>
      <c r="J1207" s="37" t="s">
        <v>1465</v>
      </c>
      <c r="K1207" s="37" t="s">
        <v>1465</v>
      </c>
      <c r="L1207" s="36">
        <v>1</v>
      </c>
      <c r="M1207" s="36">
        <v>1</v>
      </c>
      <c r="N1207" s="36">
        <v>1</v>
      </c>
      <c r="O1207" s="36">
        <v>2</v>
      </c>
      <c r="P1207" s="37" t="s">
        <v>292</v>
      </c>
      <c r="Q1207" s="37" t="s">
        <v>3362</v>
      </c>
      <c r="R1207" s="37" t="s">
        <v>3363</v>
      </c>
    </row>
    <row r="1208" spans="1:18" ht="27.7" hidden="1" thickBot="1" x14ac:dyDescent="0.55000000000000004">
      <c r="A1208" s="36">
        <v>1431</v>
      </c>
      <c r="B1208" s="37" t="s">
        <v>3364</v>
      </c>
      <c r="C1208" s="37" t="s">
        <v>2654</v>
      </c>
      <c r="D1208" s="37" t="s">
        <v>1958</v>
      </c>
      <c r="E1208" s="37" t="s">
        <v>1785</v>
      </c>
      <c r="F1208" s="37" t="s">
        <v>3347</v>
      </c>
      <c r="G1208" s="37" t="s">
        <v>1840</v>
      </c>
      <c r="H1208" s="37" t="s">
        <v>1840</v>
      </c>
      <c r="I1208" s="37" t="s">
        <v>2655</v>
      </c>
      <c r="J1208" s="37" t="s">
        <v>1465</v>
      </c>
      <c r="K1208" s="37" t="s">
        <v>1465</v>
      </c>
      <c r="L1208" s="36">
        <v>1</v>
      </c>
      <c r="M1208" s="36">
        <v>1</v>
      </c>
      <c r="N1208" s="36">
        <v>1</v>
      </c>
      <c r="O1208" s="36">
        <v>3</v>
      </c>
      <c r="P1208" s="37" t="s">
        <v>292</v>
      </c>
      <c r="Q1208" s="37"/>
      <c r="R1208" s="37" t="s">
        <v>3365</v>
      </c>
    </row>
    <row r="1209" spans="1:18" ht="14.7" hidden="1" thickBot="1" x14ac:dyDescent="0.55000000000000004">
      <c r="A1209" s="36">
        <v>1432</v>
      </c>
      <c r="B1209" s="37" t="s">
        <v>3347</v>
      </c>
      <c r="C1209" s="37" t="s">
        <v>3351</v>
      </c>
      <c r="D1209" s="37" t="s">
        <v>3351</v>
      </c>
      <c r="E1209" s="37" t="s">
        <v>1785</v>
      </c>
      <c r="F1209" s="37" t="s">
        <v>3347</v>
      </c>
      <c r="G1209" s="37" t="s">
        <v>3347</v>
      </c>
      <c r="H1209" s="37" t="s">
        <v>3347</v>
      </c>
      <c r="I1209" s="37" t="s">
        <v>1465</v>
      </c>
      <c r="J1209" s="37" t="s">
        <v>1465</v>
      </c>
      <c r="K1209" s="37" t="s">
        <v>1465</v>
      </c>
      <c r="L1209" s="36">
        <v>1</v>
      </c>
      <c r="M1209" s="36">
        <v>1</v>
      </c>
      <c r="N1209" s="36">
        <v>1</v>
      </c>
      <c r="O1209" s="36">
        <v>3</v>
      </c>
      <c r="P1209" s="37" t="s">
        <v>292</v>
      </c>
      <c r="Q1209" s="37"/>
      <c r="R1209" s="37" t="s">
        <v>3366</v>
      </c>
    </row>
    <row r="1210" spans="1:18" ht="27.7" hidden="1" thickBot="1" x14ac:dyDescent="0.55000000000000004">
      <c r="A1210" s="36">
        <v>1433</v>
      </c>
      <c r="B1210" s="37" t="s">
        <v>3367</v>
      </c>
      <c r="C1210" s="37" t="s">
        <v>3367</v>
      </c>
      <c r="D1210" s="37" t="s">
        <v>2644</v>
      </c>
      <c r="E1210" s="37" t="s">
        <v>1785</v>
      </c>
      <c r="F1210" s="37" t="s">
        <v>1698</v>
      </c>
      <c r="G1210" s="37" t="s">
        <v>1821</v>
      </c>
      <c r="H1210" s="37" t="s">
        <v>1821</v>
      </c>
      <c r="I1210" s="37" t="s">
        <v>2655</v>
      </c>
      <c r="J1210" s="37" t="s">
        <v>1465</v>
      </c>
      <c r="K1210" s="37" t="s">
        <v>1465</v>
      </c>
      <c r="L1210" s="36">
        <v>1</v>
      </c>
      <c r="M1210" s="36">
        <v>1</v>
      </c>
      <c r="N1210" s="36">
        <v>1</v>
      </c>
      <c r="O1210" s="36">
        <v>2</v>
      </c>
      <c r="P1210" s="37" t="s">
        <v>292</v>
      </c>
      <c r="Q1210" s="37"/>
      <c r="R1210" s="37" t="s">
        <v>3368</v>
      </c>
    </row>
    <row r="1211" spans="1:18" ht="27.7" hidden="1" thickBot="1" x14ac:dyDescent="0.55000000000000004">
      <c r="A1211" s="36">
        <v>1434</v>
      </c>
      <c r="B1211" s="37" t="s">
        <v>3369</v>
      </c>
      <c r="C1211" s="37" t="s">
        <v>3367</v>
      </c>
      <c r="D1211" s="37" t="s">
        <v>2644</v>
      </c>
      <c r="E1211" s="37" t="s">
        <v>1785</v>
      </c>
      <c r="F1211" s="37" t="s">
        <v>1821</v>
      </c>
      <c r="G1211" s="37" t="s">
        <v>1821</v>
      </c>
      <c r="H1211" s="37" t="s">
        <v>1821</v>
      </c>
      <c r="I1211" s="37" t="s">
        <v>1465</v>
      </c>
      <c r="J1211" s="37" t="s">
        <v>1465</v>
      </c>
      <c r="K1211" s="37" t="s">
        <v>1465</v>
      </c>
      <c r="L1211" s="36">
        <v>1</v>
      </c>
      <c r="M1211" s="36">
        <v>1</v>
      </c>
      <c r="N1211" s="36">
        <v>1</v>
      </c>
      <c r="O1211" s="36">
        <v>2</v>
      </c>
      <c r="P1211" s="37" t="s">
        <v>292</v>
      </c>
      <c r="Q1211" s="37"/>
      <c r="R1211" s="37" t="s">
        <v>3370</v>
      </c>
    </row>
    <row r="1212" spans="1:18" ht="14.7" hidden="1" thickBot="1" x14ac:dyDescent="0.55000000000000004">
      <c r="A1212" s="36">
        <v>1435</v>
      </c>
      <c r="B1212" s="37" t="s">
        <v>3371</v>
      </c>
      <c r="C1212" s="37" t="s">
        <v>2800</v>
      </c>
      <c r="D1212" s="37" t="s">
        <v>2644</v>
      </c>
      <c r="E1212" s="37" t="s">
        <v>1785</v>
      </c>
      <c r="F1212" s="37" t="s">
        <v>1821</v>
      </c>
      <c r="G1212" s="37" t="s">
        <v>1821</v>
      </c>
      <c r="H1212" s="37" t="s">
        <v>1821</v>
      </c>
      <c r="I1212" s="37" t="s">
        <v>1465</v>
      </c>
      <c r="J1212" s="37" t="s">
        <v>1465</v>
      </c>
      <c r="K1212" s="37" t="s">
        <v>1465</v>
      </c>
      <c r="L1212" s="36">
        <v>1</v>
      </c>
      <c r="M1212" s="36">
        <v>1</v>
      </c>
      <c r="N1212" s="36">
        <v>1</v>
      </c>
      <c r="O1212" s="36">
        <v>2</v>
      </c>
      <c r="P1212" s="37" t="s">
        <v>292</v>
      </c>
      <c r="Q1212" s="37" t="s">
        <v>3371</v>
      </c>
      <c r="R1212" s="37" t="s">
        <v>3372</v>
      </c>
    </row>
    <row r="1213" spans="1:18" ht="27.7" hidden="1" thickBot="1" x14ac:dyDescent="0.55000000000000004">
      <c r="A1213" s="36">
        <v>1436</v>
      </c>
      <c r="B1213" s="37" t="s">
        <v>3373</v>
      </c>
      <c r="C1213" s="37" t="s">
        <v>3334</v>
      </c>
      <c r="D1213" s="37" t="s">
        <v>2404</v>
      </c>
      <c r="E1213" s="37" t="s">
        <v>2404</v>
      </c>
      <c r="F1213" s="37" t="s">
        <v>2589</v>
      </c>
      <c r="G1213" s="37" t="s">
        <v>2589</v>
      </c>
      <c r="H1213" s="37" t="s">
        <v>2589</v>
      </c>
      <c r="I1213" s="37" t="s">
        <v>2077</v>
      </c>
      <c r="J1213" s="37" t="s">
        <v>2077</v>
      </c>
      <c r="K1213" s="37" t="s">
        <v>2077</v>
      </c>
      <c r="L1213" s="36">
        <v>3</v>
      </c>
      <c r="M1213" s="36">
        <v>3</v>
      </c>
      <c r="N1213" s="36">
        <v>3</v>
      </c>
      <c r="O1213" s="36">
        <v>4</v>
      </c>
      <c r="P1213" s="37" t="s">
        <v>292</v>
      </c>
      <c r="Q1213" s="37"/>
      <c r="R1213" s="37" t="s">
        <v>3374</v>
      </c>
    </row>
    <row r="1214" spans="1:18" ht="14.7" hidden="1" thickBot="1" x14ac:dyDescent="0.55000000000000004">
      <c r="A1214" s="36">
        <v>1437</v>
      </c>
      <c r="B1214" s="37" t="s">
        <v>3375</v>
      </c>
      <c r="C1214" s="37" t="s">
        <v>3316</v>
      </c>
      <c r="D1214" s="37" t="s">
        <v>2404</v>
      </c>
      <c r="E1214" s="37" t="s">
        <v>2404</v>
      </c>
      <c r="F1214" s="37" t="s">
        <v>2589</v>
      </c>
      <c r="G1214" s="37" t="s">
        <v>2589</v>
      </c>
      <c r="H1214" s="37" t="s">
        <v>2589</v>
      </c>
      <c r="I1214" s="37" t="s">
        <v>1954</v>
      </c>
      <c r="J1214" s="37" t="s">
        <v>1954</v>
      </c>
      <c r="K1214" s="37" t="s">
        <v>1954</v>
      </c>
      <c r="L1214" s="36">
        <v>3</v>
      </c>
      <c r="M1214" s="36">
        <v>3</v>
      </c>
      <c r="N1214" s="36">
        <v>3</v>
      </c>
      <c r="O1214" s="36">
        <v>4</v>
      </c>
      <c r="P1214" s="37" t="s">
        <v>292</v>
      </c>
      <c r="Q1214" s="37"/>
      <c r="R1214" s="37" t="s">
        <v>3376</v>
      </c>
    </row>
    <row r="1215" spans="1:18" ht="27.7" hidden="1" thickBot="1" x14ac:dyDescent="0.55000000000000004">
      <c r="A1215" s="36">
        <v>1438</v>
      </c>
      <c r="B1215" s="37" t="s">
        <v>3377</v>
      </c>
      <c r="C1215" s="37" t="s">
        <v>3378</v>
      </c>
      <c r="D1215" s="37" t="s">
        <v>3378</v>
      </c>
      <c r="E1215" s="37" t="s">
        <v>1959</v>
      </c>
      <c r="F1215" s="37" t="s">
        <v>3379</v>
      </c>
      <c r="G1215" s="37" t="s">
        <v>3379</v>
      </c>
      <c r="H1215" s="37" t="s">
        <v>3347</v>
      </c>
      <c r="I1215" s="37" t="s">
        <v>92</v>
      </c>
      <c r="J1215" s="37" t="s">
        <v>92</v>
      </c>
      <c r="K1215" s="37" t="s">
        <v>88</v>
      </c>
      <c r="L1215" s="36">
        <v>2</v>
      </c>
      <c r="M1215" s="36">
        <v>2</v>
      </c>
      <c r="N1215" s="36">
        <v>2</v>
      </c>
      <c r="O1215" s="36">
        <v>4</v>
      </c>
      <c r="P1215" s="37" t="s">
        <v>292</v>
      </c>
      <c r="Q1215" s="37" t="s">
        <v>3380</v>
      </c>
      <c r="R1215" s="37" t="s">
        <v>3381</v>
      </c>
    </row>
    <row r="1216" spans="1:18" ht="41.35" hidden="1" thickBot="1" x14ac:dyDescent="0.55000000000000004">
      <c r="A1216" s="36">
        <v>1439</v>
      </c>
      <c r="B1216" s="37" t="s">
        <v>3382</v>
      </c>
      <c r="C1216" s="37" t="s">
        <v>3382</v>
      </c>
      <c r="D1216" s="37" t="s">
        <v>3378</v>
      </c>
      <c r="E1216" s="37" t="s">
        <v>1959</v>
      </c>
      <c r="F1216" s="37" t="s">
        <v>3379</v>
      </c>
      <c r="G1216" s="37" t="s">
        <v>3379</v>
      </c>
      <c r="H1216" s="37" t="s">
        <v>3347</v>
      </c>
      <c r="I1216" s="37" t="s">
        <v>92</v>
      </c>
      <c r="J1216" s="37" t="s">
        <v>92</v>
      </c>
      <c r="K1216" s="37" t="s">
        <v>88</v>
      </c>
      <c r="L1216" s="36">
        <v>1</v>
      </c>
      <c r="M1216" s="36">
        <v>1</v>
      </c>
      <c r="N1216" s="36">
        <v>1</v>
      </c>
      <c r="O1216" s="36">
        <v>5</v>
      </c>
      <c r="P1216" s="37" t="s">
        <v>292</v>
      </c>
      <c r="Q1216" s="37" t="s">
        <v>3383</v>
      </c>
      <c r="R1216" s="37" t="s">
        <v>3384</v>
      </c>
    </row>
    <row r="1217" spans="1:18" ht="41.35" hidden="1" thickBot="1" x14ac:dyDescent="0.55000000000000004">
      <c r="A1217" s="36">
        <v>1440</v>
      </c>
      <c r="B1217" s="37" t="s">
        <v>3378</v>
      </c>
      <c r="C1217" s="37" t="s">
        <v>3378</v>
      </c>
      <c r="D1217" s="37" t="s">
        <v>3378</v>
      </c>
      <c r="E1217" s="37" t="s">
        <v>1959</v>
      </c>
      <c r="F1217" s="37" t="s">
        <v>3379</v>
      </c>
      <c r="G1217" s="37" t="s">
        <v>3379</v>
      </c>
      <c r="H1217" s="37" t="s">
        <v>3347</v>
      </c>
      <c r="I1217" s="37" t="s">
        <v>92</v>
      </c>
      <c r="J1217" s="37" t="s">
        <v>92</v>
      </c>
      <c r="K1217" s="37" t="s">
        <v>88</v>
      </c>
      <c r="L1217" s="36">
        <v>3</v>
      </c>
      <c r="M1217" s="36">
        <v>3</v>
      </c>
      <c r="N1217" s="36">
        <v>3</v>
      </c>
      <c r="O1217" s="36">
        <v>6</v>
      </c>
      <c r="P1217" s="37" t="s">
        <v>292</v>
      </c>
      <c r="Q1217" s="37" t="s">
        <v>3385</v>
      </c>
      <c r="R1217" s="37" t="s">
        <v>3386</v>
      </c>
    </row>
    <row r="1218" spans="1:18" ht="82.35" hidden="1" thickBot="1" x14ac:dyDescent="0.55000000000000004">
      <c r="A1218" s="36">
        <v>1441</v>
      </c>
      <c r="B1218" s="37" t="s">
        <v>3387</v>
      </c>
      <c r="C1218" s="37" t="s">
        <v>3378</v>
      </c>
      <c r="D1218" s="37" t="s">
        <v>3378</v>
      </c>
      <c r="E1218" s="37" t="s">
        <v>1959</v>
      </c>
      <c r="F1218" s="37" t="s">
        <v>3388</v>
      </c>
      <c r="G1218" s="37" t="s">
        <v>3388</v>
      </c>
      <c r="H1218" s="37" t="s">
        <v>3389</v>
      </c>
      <c r="I1218" s="37" t="s">
        <v>92</v>
      </c>
      <c r="J1218" s="37" t="s">
        <v>92</v>
      </c>
      <c r="K1218" s="37" t="s">
        <v>88</v>
      </c>
      <c r="L1218" s="36">
        <v>1</v>
      </c>
      <c r="M1218" s="36">
        <v>1</v>
      </c>
      <c r="N1218" s="36">
        <v>1</v>
      </c>
      <c r="O1218" s="36">
        <v>4</v>
      </c>
      <c r="P1218" s="37" t="s">
        <v>292</v>
      </c>
      <c r="Q1218" s="37" t="s">
        <v>3390</v>
      </c>
      <c r="R1218" s="37" t="s">
        <v>3391</v>
      </c>
    </row>
    <row r="1219" spans="1:18" ht="27.7" hidden="1" thickBot="1" x14ac:dyDescent="0.55000000000000004">
      <c r="A1219" s="36">
        <v>1442</v>
      </c>
      <c r="B1219" s="37" t="s">
        <v>3392</v>
      </c>
      <c r="C1219" s="37" t="s">
        <v>3393</v>
      </c>
      <c r="D1219" s="37" t="s">
        <v>3378</v>
      </c>
      <c r="E1219" s="37" t="s">
        <v>1959</v>
      </c>
      <c r="F1219" s="37" t="s">
        <v>3388</v>
      </c>
      <c r="G1219" s="37" t="s">
        <v>3388</v>
      </c>
      <c r="H1219" s="37" t="s">
        <v>3389</v>
      </c>
      <c r="I1219" s="37" t="s">
        <v>92</v>
      </c>
      <c r="J1219" s="37" t="s">
        <v>92</v>
      </c>
      <c r="K1219" s="37" t="s">
        <v>92</v>
      </c>
      <c r="L1219" s="36">
        <v>2</v>
      </c>
      <c r="M1219" s="36">
        <v>2</v>
      </c>
      <c r="N1219" s="36">
        <v>2</v>
      </c>
      <c r="O1219" s="36">
        <v>5</v>
      </c>
      <c r="P1219" s="37" t="s">
        <v>292</v>
      </c>
      <c r="Q1219" s="37" t="s">
        <v>3394</v>
      </c>
      <c r="R1219" s="37" t="s">
        <v>3395</v>
      </c>
    </row>
    <row r="1220" spans="1:18" ht="55" hidden="1" thickBot="1" x14ac:dyDescent="0.55000000000000004">
      <c r="A1220" s="36">
        <v>1443</v>
      </c>
      <c r="B1220" s="37" t="s">
        <v>3396</v>
      </c>
      <c r="C1220" s="37" t="s">
        <v>3396</v>
      </c>
      <c r="D1220" s="37" t="s">
        <v>3378</v>
      </c>
      <c r="E1220" s="37" t="s">
        <v>1959</v>
      </c>
      <c r="F1220" s="37" t="s">
        <v>3388</v>
      </c>
      <c r="G1220" s="37" t="s">
        <v>3388</v>
      </c>
      <c r="H1220" s="37" t="s">
        <v>3389</v>
      </c>
      <c r="I1220" s="37" t="s">
        <v>92</v>
      </c>
      <c r="J1220" s="37" t="s">
        <v>92</v>
      </c>
      <c r="K1220" s="37" t="s">
        <v>92</v>
      </c>
      <c r="L1220" s="36">
        <v>2</v>
      </c>
      <c r="M1220" s="36">
        <v>2</v>
      </c>
      <c r="N1220" s="36">
        <v>2</v>
      </c>
      <c r="O1220" s="36">
        <v>5</v>
      </c>
      <c r="P1220" s="37" t="s">
        <v>292</v>
      </c>
      <c r="Q1220" s="37" t="s">
        <v>3397</v>
      </c>
      <c r="R1220" s="37" t="s">
        <v>3398</v>
      </c>
    </row>
    <row r="1221" spans="1:18" ht="41.35" hidden="1" thickBot="1" x14ac:dyDescent="0.55000000000000004">
      <c r="A1221" s="36">
        <v>1444</v>
      </c>
      <c r="B1221" s="37" t="s">
        <v>3399</v>
      </c>
      <c r="C1221" s="37" t="s">
        <v>3396</v>
      </c>
      <c r="D1221" s="37" t="s">
        <v>3378</v>
      </c>
      <c r="E1221" s="37" t="s">
        <v>1959</v>
      </c>
      <c r="F1221" s="37" t="s">
        <v>3388</v>
      </c>
      <c r="G1221" s="37" t="s">
        <v>3388</v>
      </c>
      <c r="H1221" s="37" t="s">
        <v>3389</v>
      </c>
      <c r="I1221" s="37" t="s">
        <v>92</v>
      </c>
      <c r="J1221" s="37" t="s">
        <v>92</v>
      </c>
      <c r="K1221" s="37" t="s">
        <v>92</v>
      </c>
      <c r="L1221" s="36">
        <v>2</v>
      </c>
      <c r="M1221" s="36">
        <v>2</v>
      </c>
      <c r="N1221" s="36">
        <v>2</v>
      </c>
      <c r="O1221" s="36">
        <v>5</v>
      </c>
      <c r="P1221" s="37" t="s">
        <v>292</v>
      </c>
      <c r="Q1221" s="37" t="s">
        <v>3400</v>
      </c>
      <c r="R1221" s="37" t="s">
        <v>3401</v>
      </c>
    </row>
    <row r="1222" spans="1:18" ht="27.7" hidden="1" thickBot="1" x14ac:dyDescent="0.55000000000000004">
      <c r="A1222" s="36">
        <v>1445</v>
      </c>
      <c r="B1222" s="37" t="s">
        <v>3402</v>
      </c>
      <c r="C1222" s="37" t="s">
        <v>3382</v>
      </c>
      <c r="D1222" s="37" t="s">
        <v>3378</v>
      </c>
      <c r="E1222" s="37" t="s">
        <v>1959</v>
      </c>
      <c r="F1222" s="37" t="s">
        <v>3388</v>
      </c>
      <c r="G1222" s="37" t="s">
        <v>3388</v>
      </c>
      <c r="H1222" s="37" t="s">
        <v>3389</v>
      </c>
      <c r="I1222" s="37" t="s">
        <v>92</v>
      </c>
      <c r="J1222" s="37" t="s">
        <v>92</v>
      </c>
      <c r="K1222" s="37" t="s">
        <v>88</v>
      </c>
      <c r="L1222" s="36">
        <v>1</v>
      </c>
      <c r="M1222" s="36">
        <v>1</v>
      </c>
      <c r="N1222" s="36">
        <v>1</v>
      </c>
      <c r="O1222" s="36">
        <v>5</v>
      </c>
      <c r="P1222" s="37" t="s">
        <v>292</v>
      </c>
      <c r="Q1222" s="37" t="s">
        <v>3403</v>
      </c>
      <c r="R1222" s="37" t="s">
        <v>3404</v>
      </c>
    </row>
    <row r="1223" spans="1:18" ht="55" hidden="1" thickBot="1" x14ac:dyDescent="0.55000000000000004">
      <c r="A1223" s="36">
        <v>1446</v>
      </c>
      <c r="B1223" s="37" t="s">
        <v>3405</v>
      </c>
      <c r="C1223" s="37" t="s">
        <v>3396</v>
      </c>
      <c r="D1223" s="37" t="s">
        <v>3378</v>
      </c>
      <c r="E1223" s="37" t="s">
        <v>1959</v>
      </c>
      <c r="F1223" s="37" t="s">
        <v>3388</v>
      </c>
      <c r="G1223" s="37" t="s">
        <v>3389</v>
      </c>
      <c r="H1223" s="37" t="s">
        <v>3389</v>
      </c>
      <c r="I1223" s="37" t="s">
        <v>92</v>
      </c>
      <c r="J1223" s="37" t="s">
        <v>92</v>
      </c>
      <c r="K1223" s="37" t="s">
        <v>92</v>
      </c>
      <c r="L1223" s="36">
        <v>4</v>
      </c>
      <c r="M1223" s="36">
        <v>4</v>
      </c>
      <c r="N1223" s="36">
        <v>4</v>
      </c>
      <c r="O1223" s="36">
        <v>6</v>
      </c>
      <c r="P1223" s="37" t="s">
        <v>292</v>
      </c>
      <c r="Q1223" s="37" t="s">
        <v>3406</v>
      </c>
      <c r="R1223" s="37" t="s">
        <v>3407</v>
      </c>
    </row>
    <row r="1224" spans="1:18" ht="27.7" hidden="1" thickBot="1" x14ac:dyDescent="0.55000000000000004">
      <c r="A1224" s="36">
        <v>1447</v>
      </c>
      <c r="B1224" s="37" t="s">
        <v>3408</v>
      </c>
      <c r="C1224" s="37" t="s">
        <v>3393</v>
      </c>
      <c r="D1224" s="37" t="s">
        <v>3378</v>
      </c>
      <c r="E1224" s="37" t="s">
        <v>1959</v>
      </c>
      <c r="F1224" s="37" t="s">
        <v>3388</v>
      </c>
      <c r="G1224" s="37" t="s">
        <v>3388</v>
      </c>
      <c r="H1224" s="37" t="s">
        <v>3389</v>
      </c>
      <c r="I1224" s="37" t="s">
        <v>92</v>
      </c>
      <c r="J1224" s="37" t="s">
        <v>92</v>
      </c>
      <c r="K1224" s="37" t="s">
        <v>92</v>
      </c>
      <c r="L1224" s="36">
        <v>1</v>
      </c>
      <c r="M1224" s="36">
        <v>1</v>
      </c>
      <c r="N1224" s="36">
        <v>1</v>
      </c>
      <c r="O1224" s="36">
        <v>4</v>
      </c>
      <c r="P1224" s="37" t="s">
        <v>292</v>
      </c>
      <c r="Q1224" s="37" t="s">
        <v>3409</v>
      </c>
      <c r="R1224" s="37" t="s">
        <v>3410</v>
      </c>
    </row>
    <row r="1225" spans="1:18" ht="27.7" hidden="1" thickBot="1" x14ac:dyDescent="0.55000000000000004">
      <c r="A1225" s="36">
        <v>1448</v>
      </c>
      <c r="B1225" s="37" t="s">
        <v>3411</v>
      </c>
      <c r="C1225" s="37" t="s">
        <v>3321</v>
      </c>
      <c r="D1225" s="37" t="s">
        <v>3322</v>
      </c>
      <c r="E1225" s="37" t="s">
        <v>2880</v>
      </c>
      <c r="F1225" s="37" t="s">
        <v>3323</v>
      </c>
      <c r="G1225" s="37" t="s">
        <v>3323</v>
      </c>
      <c r="H1225" s="37" t="s">
        <v>3324</v>
      </c>
      <c r="I1225" s="37" t="s">
        <v>115</v>
      </c>
      <c r="J1225" s="37" t="s">
        <v>115</v>
      </c>
      <c r="K1225" s="37" t="s">
        <v>92</v>
      </c>
      <c r="L1225" s="36">
        <v>3</v>
      </c>
      <c r="M1225" s="36">
        <v>3</v>
      </c>
      <c r="N1225" s="36">
        <v>3</v>
      </c>
      <c r="O1225" s="36">
        <v>6</v>
      </c>
      <c r="P1225" s="37" t="s">
        <v>292</v>
      </c>
      <c r="Q1225" s="37" t="s">
        <v>3412</v>
      </c>
      <c r="R1225" s="37" t="s">
        <v>3413</v>
      </c>
    </row>
    <row r="1226" spans="1:18" ht="27.7" hidden="1" thickBot="1" x14ac:dyDescent="0.55000000000000004">
      <c r="A1226" s="36">
        <v>1449</v>
      </c>
      <c r="B1226" s="37" t="s">
        <v>3414</v>
      </c>
      <c r="C1226" s="37" t="s">
        <v>3396</v>
      </c>
      <c r="D1226" s="37" t="s">
        <v>3378</v>
      </c>
      <c r="E1226" s="37" t="s">
        <v>1959</v>
      </c>
      <c r="F1226" s="37" t="s">
        <v>3388</v>
      </c>
      <c r="G1226" s="37" t="s">
        <v>3389</v>
      </c>
      <c r="H1226" s="37" t="s">
        <v>3389</v>
      </c>
      <c r="I1226" s="37" t="s">
        <v>92</v>
      </c>
      <c r="J1226" s="37" t="s">
        <v>92</v>
      </c>
      <c r="K1226" s="37" t="s">
        <v>92</v>
      </c>
      <c r="L1226" s="36">
        <v>2</v>
      </c>
      <c r="M1226" s="36">
        <v>2</v>
      </c>
      <c r="N1226" s="36">
        <v>2</v>
      </c>
      <c r="O1226" s="36">
        <v>4</v>
      </c>
      <c r="P1226" s="37" t="s">
        <v>292</v>
      </c>
      <c r="Q1226" s="37" t="s">
        <v>3415</v>
      </c>
      <c r="R1226" s="37" t="s">
        <v>3416</v>
      </c>
    </row>
    <row r="1227" spans="1:18" ht="41.35" hidden="1" thickBot="1" x14ac:dyDescent="0.55000000000000004">
      <c r="A1227" s="36">
        <v>1450</v>
      </c>
      <c r="B1227" s="37" t="s">
        <v>3393</v>
      </c>
      <c r="C1227" s="37" t="s">
        <v>3393</v>
      </c>
      <c r="D1227" s="37" t="s">
        <v>3378</v>
      </c>
      <c r="E1227" s="37" t="s">
        <v>1959</v>
      </c>
      <c r="F1227" s="37" t="s">
        <v>3388</v>
      </c>
      <c r="G1227" s="37" t="s">
        <v>3388</v>
      </c>
      <c r="H1227" s="37" t="s">
        <v>3389</v>
      </c>
      <c r="I1227" s="37" t="s">
        <v>92</v>
      </c>
      <c r="J1227" s="37" t="s">
        <v>92</v>
      </c>
      <c r="K1227" s="37" t="s">
        <v>92</v>
      </c>
      <c r="L1227" s="36">
        <v>2</v>
      </c>
      <c r="M1227" s="36">
        <v>2</v>
      </c>
      <c r="N1227" s="36">
        <v>2</v>
      </c>
      <c r="O1227" s="36">
        <v>5</v>
      </c>
      <c r="P1227" s="37" t="s">
        <v>292</v>
      </c>
      <c r="Q1227" s="37" t="s">
        <v>3417</v>
      </c>
      <c r="R1227" s="37" t="s">
        <v>3418</v>
      </c>
    </row>
    <row r="1228" spans="1:18" ht="27.7" hidden="1" thickBot="1" x14ac:dyDescent="0.55000000000000004">
      <c r="A1228" s="36">
        <v>1451</v>
      </c>
      <c r="B1228" s="37" t="s">
        <v>3419</v>
      </c>
      <c r="C1228" s="37" t="s">
        <v>3420</v>
      </c>
      <c r="D1228" s="37" t="s">
        <v>3421</v>
      </c>
      <c r="E1228" s="37" t="s">
        <v>1785</v>
      </c>
      <c r="F1228" s="37" t="s">
        <v>3389</v>
      </c>
      <c r="G1228" s="37" t="s">
        <v>3389</v>
      </c>
      <c r="H1228" s="37" t="s">
        <v>3389</v>
      </c>
      <c r="I1228" s="37" t="s">
        <v>1465</v>
      </c>
      <c r="J1228" s="37" t="s">
        <v>1465</v>
      </c>
      <c r="K1228" s="37" t="s">
        <v>1465</v>
      </c>
      <c r="L1228" s="36">
        <v>1</v>
      </c>
      <c r="M1228" s="36">
        <v>1</v>
      </c>
      <c r="N1228" s="36">
        <v>1</v>
      </c>
      <c r="O1228" s="36">
        <v>3</v>
      </c>
      <c r="P1228" s="37" t="s">
        <v>292</v>
      </c>
      <c r="Q1228" s="37" t="s">
        <v>3419</v>
      </c>
      <c r="R1228" s="37" t="s">
        <v>3422</v>
      </c>
    </row>
    <row r="1229" spans="1:18" ht="27.7" hidden="1" thickBot="1" x14ac:dyDescent="0.55000000000000004">
      <c r="A1229" s="36">
        <v>1452</v>
      </c>
      <c r="B1229" s="37" t="s">
        <v>3420</v>
      </c>
      <c r="C1229" s="37" t="s">
        <v>3420</v>
      </c>
      <c r="D1229" s="37" t="s">
        <v>3421</v>
      </c>
      <c r="E1229" s="37" t="s">
        <v>1785</v>
      </c>
      <c r="F1229" s="37" t="s">
        <v>3389</v>
      </c>
      <c r="G1229" s="37" t="s">
        <v>3389</v>
      </c>
      <c r="H1229" s="37" t="s">
        <v>3389</v>
      </c>
      <c r="I1229" s="37" t="s">
        <v>2655</v>
      </c>
      <c r="J1229" s="37" t="s">
        <v>2655</v>
      </c>
      <c r="K1229" s="37" t="s">
        <v>92</v>
      </c>
      <c r="L1229" s="36">
        <v>1</v>
      </c>
      <c r="M1229" s="36">
        <v>1</v>
      </c>
      <c r="N1229" s="36">
        <v>1</v>
      </c>
      <c r="O1229" s="36">
        <v>3</v>
      </c>
      <c r="P1229" s="37" t="s">
        <v>292</v>
      </c>
      <c r="Q1229" s="37" t="s">
        <v>3423</v>
      </c>
      <c r="R1229" s="37" t="s">
        <v>3424</v>
      </c>
    </row>
    <row r="1230" spans="1:18" ht="27.7" hidden="1" thickBot="1" x14ac:dyDescent="0.55000000000000004">
      <c r="A1230" s="36">
        <v>1453</v>
      </c>
      <c r="B1230" s="37" t="s">
        <v>3425</v>
      </c>
      <c r="C1230" s="37" t="s">
        <v>3426</v>
      </c>
      <c r="D1230" s="37" t="s">
        <v>3421</v>
      </c>
      <c r="E1230" s="37" t="s">
        <v>1785</v>
      </c>
      <c r="F1230" s="37" t="s">
        <v>3389</v>
      </c>
      <c r="G1230" s="37" t="s">
        <v>3389</v>
      </c>
      <c r="H1230" s="37" t="s">
        <v>3389</v>
      </c>
      <c r="I1230" s="37" t="s">
        <v>1465</v>
      </c>
      <c r="J1230" s="37" t="s">
        <v>1465</v>
      </c>
      <c r="K1230" s="37" t="s">
        <v>1465</v>
      </c>
      <c r="L1230" s="36">
        <v>1</v>
      </c>
      <c r="M1230" s="36">
        <v>1</v>
      </c>
      <c r="N1230" s="36">
        <v>1</v>
      </c>
      <c r="O1230" s="36">
        <v>3</v>
      </c>
      <c r="P1230" s="37" t="s">
        <v>292</v>
      </c>
      <c r="Q1230" s="37"/>
      <c r="R1230" s="37" t="s">
        <v>3427</v>
      </c>
    </row>
    <row r="1231" spans="1:18" ht="27.7" hidden="1" thickBot="1" x14ac:dyDescent="0.55000000000000004">
      <c r="A1231" s="36">
        <v>1454</v>
      </c>
      <c r="B1231" s="37" t="s">
        <v>3428</v>
      </c>
      <c r="C1231" s="37" t="s">
        <v>3429</v>
      </c>
      <c r="D1231" s="37" t="s">
        <v>3421</v>
      </c>
      <c r="E1231" s="37" t="s">
        <v>1785</v>
      </c>
      <c r="F1231" s="37" t="s">
        <v>3389</v>
      </c>
      <c r="G1231" s="37" t="s">
        <v>3389</v>
      </c>
      <c r="H1231" s="37" t="s">
        <v>3389</v>
      </c>
      <c r="I1231" s="37" t="s">
        <v>1465</v>
      </c>
      <c r="J1231" s="37" t="s">
        <v>1465</v>
      </c>
      <c r="K1231" s="37" t="s">
        <v>1465</v>
      </c>
      <c r="L1231" s="36">
        <v>1</v>
      </c>
      <c r="M1231" s="36">
        <v>1</v>
      </c>
      <c r="N1231" s="36">
        <v>1</v>
      </c>
      <c r="O1231" s="36">
        <v>3</v>
      </c>
      <c r="P1231" s="37" t="s">
        <v>292</v>
      </c>
      <c r="Q1231" s="37" t="s">
        <v>3428</v>
      </c>
      <c r="R1231" s="37" t="s">
        <v>3430</v>
      </c>
    </row>
    <row r="1232" spans="1:18" ht="27.7" hidden="1" thickBot="1" x14ac:dyDescent="0.55000000000000004">
      <c r="A1232" s="36">
        <v>1455</v>
      </c>
      <c r="B1232" s="37" t="s">
        <v>3431</v>
      </c>
      <c r="C1232" s="37" t="s">
        <v>3432</v>
      </c>
      <c r="D1232" s="37" t="s">
        <v>3421</v>
      </c>
      <c r="E1232" s="37" t="s">
        <v>1785</v>
      </c>
      <c r="F1232" s="37" t="s">
        <v>3389</v>
      </c>
      <c r="G1232" s="37" t="s">
        <v>3389</v>
      </c>
      <c r="H1232" s="37" t="s">
        <v>3389</v>
      </c>
      <c r="I1232" s="37" t="s">
        <v>1465</v>
      </c>
      <c r="J1232" s="37" t="s">
        <v>1465</v>
      </c>
      <c r="K1232" s="37" t="s">
        <v>1465</v>
      </c>
      <c r="L1232" s="36">
        <v>1</v>
      </c>
      <c r="M1232" s="36">
        <v>1</v>
      </c>
      <c r="N1232" s="36">
        <v>1</v>
      </c>
      <c r="O1232" s="36">
        <v>3</v>
      </c>
      <c r="P1232" s="37" t="s">
        <v>292</v>
      </c>
      <c r="Q1232" s="37" t="s">
        <v>3431</v>
      </c>
      <c r="R1232" s="37" t="s">
        <v>3433</v>
      </c>
    </row>
    <row r="1233" spans="1:18" ht="27.7" hidden="1" thickBot="1" x14ac:dyDescent="0.55000000000000004">
      <c r="A1233" s="36">
        <v>1456</v>
      </c>
      <c r="B1233" s="37" t="s">
        <v>3434</v>
      </c>
      <c r="C1233" s="37" t="s">
        <v>3434</v>
      </c>
      <c r="D1233" s="37" t="s">
        <v>3421</v>
      </c>
      <c r="E1233" s="37" t="s">
        <v>1785</v>
      </c>
      <c r="F1233" s="37" t="s">
        <v>3389</v>
      </c>
      <c r="G1233" s="37" t="s">
        <v>3389</v>
      </c>
      <c r="H1233" s="37" t="s">
        <v>3389</v>
      </c>
      <c r="I1233" s="37" t="s">
        <v>1465</v>
      </c>
      <c r="J1233" s="37" t="s">
        <v>1465</v>
      </c>
      <c r="K1233" s="37" t="s">
        <v>1465</v>
      </c>
      <c r="L1233" s="36">
        <v>1</v>
      </c>
      <c r="M1233" s="36">
        <v>1</v>
      </c>
      <c r="N1233" s="36">
        <v>1</v>
      </c>
      <c r="O1233" s="36">
        <v>2</v>
      </c>
      <c r="P1233" s="37" t="s">
        <v>292</v>
      </c>
      <c r="Q1233" s="37"/>
      <c r="R1233" s="37" t="s">
        <v>3435</v>
      </c>
    </row>
    <row r="1234" spans="1:18" ht="55" hidden="1" thickBot="1" x14ac:dyDescent="0.55000000000000004">
      <c r="A1234" s="36">
        <v>1457</v>
      </c>
      <c r="B1234" s="37" t="s">
        <v>3436</v>
      </c>
      <c r="C1234" s="37" t="s">
        <v>3436</v>
      </c>
      <c r="D1234" s="37" t="s">
        <v>3421</v>
      </c>
      <c r="E1234" s="37" t="s">
        <v>1785</v>
      </c>
      <c r="F1234" s="37" t="s">
        <v>3389</v>
      </c>
      <c r="G1234" s="37" t="s">
        <v>3437</v>
      </c>
      <c r="H1234" s="37" t="s">
        <v>3437</v>
      </c>
      <c r="I1234" s="37" t="s">
        <v>2655</v>
      </c>
      <c r="J1234" s="37" t="s">
        <v>1465</v>
      </c>
      <c r="K1234" s="37" t="s">
        <v>1465</v>
      </c>
      <c r="L1234" s="36">
        <v>1</v>
      </c>
      <c r="M1234" s="36">
        <v>1</v>
      </c>
      <c r="N1234" s="36">
        <v>1</v>
      </c>
      <c r="O1234" s="36">
        <v>4</v>
      </c>
      <c r="P1234" s="37" t="s">
        <v>292</v>
      </c>
      <c r="Q1234" s="37" t="s">
        <v>3438</v>
      </c>
      <c r="R1234" s="37" t="s">
        <v>3439</v>
      </c>
    </row>
    <row r="1235" spans="1:18" ht="27.7" hidden="1" thickBot="1" x14ac:dyDescent="0.55000000000000004">
      <c r="A1235" s="36">
        <v>1458</v>
      </c>
      <c r="B1235" s="37" t="s">
        <v>3440</v>
      </c>
      <c r="C1235" s="37" t="s">
        <v>3440</v>
      </c>
      <c r="D1235" s="37" t="s">
        <v>3421</v>
      </c>
      <c r="E1235" s="37" t="s">
        <v>1785</v>
      </c>
      <c r="F1235" s="37" t="s">
        <v>3389</v>
      </c>
      <c r="G1235" s="37" t="s">
        <v>3437</v>
      </c>
      <c r="H1235" s="37" t="s">
        <v>3437</v>
      </c>
      <c r="I1235" s="37" t="s">
        <v>2655</v>
      </c>
      <c r="J1235" s="37" t="s">
        <v>1465</v>
      </c>
      <c r="K1235" s="37" t="s">
        <v>1465</v>
      </c>
      <c r="L1235" s="36">
        <v>1</v>
      </c>
      <c r="M1235" s="36">
        <v>1</v>
      </c>
      <c r="N1235" s="36">
        <v>1</v>
      </c>
      <c r="O1235" s="36">
        <v>5</v>
      </c>
      <c r="P1235" s="37" t="s">
        <v>292</v>
      </c>
      <c r="Q1235" s="37"/>
      <c r="R1235" s="37" t="s">
        <v>3441</v>
      </c>
    </row>
    <row r="1236" spans="1:18" ht="14.7" hidden="1" thickBot="1" x14ac:dyDescent="0.55000000000000004">
      <c r="A1236" s="36">
        <v>1459</v>
      </c>
      <c r="B1236" s="37" t="s">
        <v>3442</v>
      </c>
      <c r="C1236" s="37" t="s">
        <v>3443</v>
      </c>
      <c r="D1236" s="37" t="s">
        <v>3421</v>
      </c>
      <c r="E1236" s="37" t="s">
        <v>1785</v>
      </c>
      <c r="F1236" s="37" t="s">
        <v>3389</v>
      </c>
      <c r="G1236" s="37" t="s">
        <v>3389</v>
      </c>
      <c r="H1236" s="37" t="s">
        <v>3389</v>
      </c>
      <c r="I1236" s="37" t="s">
        <v>1465</v>
      </c>
      <c r="J1236" s="37" t="s">
        <v>1465</v>
      </c>
      <c r="K1236" s="37" t="s">
        <v>1465</v>
      </c>
      <c r="L1236" s="36">
        <v>1</v>
      </c>
      <c r="M1236" s="36">
        <v>1</v>
      </c>
      <c r="N1236" s="36">
        <v>1</v>
      </c>
      <c r="O1236" s="36">
        <v>4</v>
      </c>
      <c r="P1236" s="37" t="s">
        <v>292</v>
      </c>
      <c r="Q1236" s="37" t="s">
        <v>3442</v>
      </c>
      <c r="R1236" s="37" t="s">
        <v>3444</v>
      </c>
    </row>
    <row r="1237" spans="1:18" ht="14.7" hidden="1" thickBot="1" x14ac:dyDescent="0.55000000000000004">
      <c r="A1237" s="36">
        <v>1460</v>
      </c>
      <c r="B1237" s="37" t="s">
        <v>3445</v>
      </c>
      <c r="C1237" s="37" t="s">
        <v>3445</v>
      </c>
      <c r="D1237" s="37" t="s">
        <v>3421</v>
      </c>
      <c r="E1237" s="37" t="s">
        <v>1785</v>
      </c>
      <c r="F1237" s="37" t="s">
        <v>3389</v>
      </c>
      <c r="G1237" s="37" t="s">
        <v>3389</v>
      </c>
      <c r="H1237" s="37" t="s">
        <v>3389</v>
      </c>
      <c r="I1237" s="37" t="s">
        <v>1465</v>
      </c>
      <c r="J1237" s="37" t="s">
        <v>1465</v>
      </c>
      <c r="K1237" s="37" t="s">
        <v>1465</v>
      </c>
      <c r="L1237" s="36">
        <v>1</v>
      </c>
      <c r="M1237" s="36">
        <v>1</v>
      </c>
      <c r="N1237" s="36">
        <v>1</v>
      </c>
      <c r="O1237" s="36">
        <v>4</v>
      </c>
      <c r="P1237" s="37" t="s">
        <v>292</v>
      </c>
      <c r="Q1237" s="37"/>
      <c r="R1237" s="37" t="s">
        <v>3446</v>
      </c>
    </row>
    <row r="1238" spans="1:18" ht="14.7" hidden="1" thickBot="1" x14ac:dyDescent="0.55000000000000004">
      <c r="A1238" s="36">
        <v>1461</v>
      </c>
      <c r="B1238" s="37" t="s">
        <v>3447</v>
      </c>
      <c r="C1238" s="37" t="s">
        <v>3448</v>
      </c>
      <c r="D1238" s="37" t="s">
        <v>3421</v>
      </c>
      <c r="E1238" s="37" t="s">
        <v>1785</v>
      </c>
      <c r="F1238" s="37" t="s">
        <v>3389</v>
      </c>
      <c r="G1238" s="37" t="s">
        <v>3389</v>
      </c>
      <c r="H1238" s="37" t="s">
        <v>3389</v>
      </c>
      <c r="I1238" s="37" t="s">
        <v>1465</v>
      </c>
      <c r="J1238" s="37" t="s">
        <v>1465</v>
      </c>
      <c r="K1238" s="37" t="s">
        <v>1465</v>
      </c>
      <c r="L1238" s="36">
        <v>1</v>
      </c>
      <c r="M1238" s="36">
        <v>1</v>
      </c>
      <c r="N1238" s="36">
        <v>1</v>
      </c>
      <c r="O1238" s="36">
        <v>4</v>
      </c>
      <c r="P1238" s="37" t="s">
        <v>292</v>
      </c>
      <c r="Q1238" s="37"/>
      <c r="R1238" s="37" t="s">
        <v>3449</v>
      </c>
    </row>
    <row r="1239" spans="1:18" ht="14.7" hidden="1" thickBot="1" x14ac:dyDescent="0.55000000000000004">
      <c r="A1239" s="36">
        <v>1462</v>
      </c>
      <c r="B1239" s="37" t="s">
        <v>3450</v>
      </c>
      <c r="C1239" s="37" t="s">
        <v>3448</v>
      </c>
      <c r="D1239" s="37" t="s">
        <v>3421</v>
      </c>
      <c r="E1239" s="37" t="s">
        <v>1785</v>
      </c>
      <c r="F1239" s="37" t="s">
        <v>2801</v>
      </c>
      <c r="G1239" s="37" t="s">
        <v>2801</v>
      </c>
      <c r="H1239" s="37" t="s">
        <v>2801</v>
      </c>
      <c r="I1239" s="37" t="s">
        <v>1465</v>
      </c>
      <c r="J1239" s="37" t="s">
        <v>1465</v>
      </c>
      <c r="K1239" s="37" t="s">
        <v>1465</v>
      </c>
      <c r="L1239" s="36">
        <v>1</v>
      </c>
      <c r="M1239" s="36">
        <v>1</v>
      </c>
      <c r="N1239" s="36">
        <v>1</v>
      </c>
      <c r="O1239" s="36">
        <v>3</v>
      </c>
      <c r="P1239" s="37" t="s">
        <v>292</v>
      </c>
      <c r="Q1239" s="37" t="s">
        <v>3450</v>
      </c>
      <c r="R1239" s="37" t="s">
        <v>3451</v>
      </c>
    </row>
    <row r="1240" spans="1:18" ht="14.7" hidden="1" thickBot="1" x14ac:dyDescent="0.55000000000000004">
      <c r="A1240" s="36">
        <v>1463</v>
      </c>
      <c r="B1240" s="37" t="s">
        <v>3452</v>
      </c>
      <c r="C1240" s="37" t="s">
        <v>3453</v>
      </c>
      <c r="D1240" s="37" t="s">
        <v>3421</v>
      </c>
      <c r="E1240" s="37" t="s">
        <v>1785</v>
      </c>
      <c r="F1240" s="37" t="s">
        <v>2801</v>
      </c>
      <c r="G1240" s="37" t="s">
        <v>2801</v>
      </c>
      <c r="H1240" s="37" t="s">
        <v>2801</v>
      </c>
      <c r="I1240" s="37" t="s">
        <v>1465</v>
      </c>
      <c r="J1240" s="37" t="s">
        <v>1465</v>
      </c>
      <c r="K1240" s="37" t="s">
        <v>1465</v>
      </c>
      <c r="L1240" s="36">
        <v>1</v>
      </c>
      <c r="M1240" s="36">
        <v>1</v>
      </c>
      <c r="N1240" s="36">
        <v>1</v>
      </c>
      <c r="O1240" s="36">
        <v>3</v>
      </c>
      <c r="P1240" s="37" t="s">
        <v>292</v>
      </c>
      <c r="Q1240" s="37" t="s">
        <v>3452</v>
      </c>
      <c r="R1240" s="37" t="s">
        <v>3454</v>
      </c>
    </row>
    <row r="1241" spans="1:18" ht="14.7" hidden="1" thickBot="1" x14ac:dyDescent="0.55000000000000004">
      <c r="A1241" s="36">
        <v>1464</v>
      </c>
      <c r="B1241" s="37" t="s">
        <v>3455</v>
      </c>
      <c r="C1241" s="37" t="s">
        <v>2879</v>
      </c>
      <c r="D1241" s="37" t="s">
        <v>2879</v>
      </c>
      <c r="E1241" s="37" t="s">
        <v>2880</v>
      </c>
      <c r="F1241" s="37" t="s">
        <v>2881</v>
      </c>
      <c r="G1241" s="37" t="s">
        <v>2881</v>
      </c>
      <c r="H1241" s="37" t="s">
        <v>2881</v>
      </c>
      <c r="I1241" s="37" t="s">
        <v>92</v>
      </c>
      <c r="J1241" s="37" t="s">
        <v>92</v>
      </c>
      <c r="K1241" s="37" t="s">
        <v>92</v>
      </c>
      <c r="L1241" s="36">
        <v>3</v>
      </c>
      <c r="M1241" s="36">
        <v>3</v>
      </c>
      <c r="N1241" s="36">
        <v>3</v>
      </c>
      <c r="O1241" s="36">
        <v>4</v>
      </c>
      <c r="P1241" s="37" t="s">
        <v>292</v>
      </c>
      <c r="Q1241" s="37"/>
      <c r="R1241" s="37" t="s">
        <v>3456</v>
      </c>
    </row>
    <row r="1242" spans="1:18" ht="27.7" hidden="1" thickBot="1" x14ac:dyDescent="0.55000000000000004">
      <c r="A1242" s="36">
        <v>1465</v>
      </c>
      <c r="B1242" s="37" t="s">
        <v>3457</v>
      </c>
      <c r="C1242" s="37" t="s">
        <v>3458</v>
      </c>
      <c r="D1242" s="37" t="s">
        <v>2879</v>
      </c>
      <c r="E1242" s="37" t="s">
        <v>2880</v>
      </c>
      <c r="F1242" s="37" t="s">
        <v>3379</v>
      </c>
      <c r="G1242" s="37" t="s">
        <v>3379</v>
      </c>
      <c r="H1242" s="37" t="s">
        <v>1972</v>
      </c>
      <c r="I1242" s="37" t="s">
        <v>92</v>
      </c>
      <c r="J1242" s="37" t="s">
        <v>92</v>
      </c>
      <c r="K1242" s="37" t="s">
        <v>92</v>
      </c>
      <c r="L1242" s="36">
        <v>2</v>
      </c>
      <c r="M1242" s="36">
        <v>2</v>
      </c>
      <c r="N1242" s="36">
        <v>2</v>
      </c>
      <c r="O1242" s="36">
        <v>3</v>
      </c>
      <c r="P1242" s="37" t="s">
        <v>292</v>
      </c>
      <c r="Q1242" s="37" t="s">
        <v>3459</v>
      </c>
      <c r="R1242" s="37" t="s">
        <v>3460</v>
      </c>
    </row>
    <row r="1243" spans="1:18" ht="27.7" hidden="1" thickBot="1" x14ac:dyDescent="0.55000000000000004">
      <c r="A1243" s="36">
        <v>1466</v>
      </c>
      <c r="B1243" s="37" t="s">
        <v>3461</v>
      </c>
      <c r="C1243" s="37" t="s">
        <v>2879</v>
      </c>
      <c r="D1243" s="37" t="s">
        <v>2879</v>
      </c>
      <c r="E1243" s="37" t="s">
        <v>2880</v>
      </c>
      <c r="F1243" s="37" t="s">
        <v>3462</v>
      </c>
      <c r="G1243" s="37" t="s">
        <v>3462</v>
      </c>
      <c r="H1243" s="37" t="s">
        <v>2881</v>
      </c>
      <c r="I1243" s="37" t="s">
        <v>3259</v>
      </c>
      <c r="J1243" s="37" t="s">
        <v>3259</v>
      </c>
      <c r="K1243" s="37" t="s">
        <v>92</v>
      </c>
      <c r="L1243" s="36">
        <v>2</v>
      </c>
      <c r="M1243" s="36">
        <v>2</v>
      </c>
      <c r="N1243" s="36">
        <v>2</v>
      </c>
      <c r="O1243" s="36">
        <v>3</v>
      </c>
      <c r="P1243" s="37" t="s">
        <v>292</v>
      </c>
      <c r="Q1243" s="37"/>
      <c r="R1243" s="37" t="s">
        <v>3463</v>
      </c>
    </row>
    <row r="1244" spans="1:18" ht="27.7" hidden="1" thickBot="1" x14ac:dyDescent="0.55000000000000004">
      <c r="A1244" s="36">
        <v>1467</v>
      </c>
      <c r="B1244" s="37" t="s">
        <v>3464</v>
      </c>
      <c r="C1244" s="37" t="s">
        <v>3465</v>
      </c>
      <c r="D1244" s="37" t="s">
        <v>3466</v>
      </c>
      <c r="E1244" s="37" t="s">
        <v>2880</v>
      </c>
      <c r="F1244" s="37" t="s">
        <v>3462</v>
      </c>
      <c r="G1244" s="37" t="s">
        <v>3258</v>
      </c>
      <c r="H1244" s="37" t="s">
        <v>3258</v>
      </c>
      <c r="I1244" s="37" t="s">
        <v>3259</v>
      </c>
      <c r="J1244" s="37" t="s">
        <v>3259</v>
      </c>
      <c r="K1244" s="37" t="s">
        <v>92</v>
      </c>
      <c r="L1244" s="36">
        <v>2</v>
      </c>
      <c r="M1244" s="36">
        <v>2</v>
      </c>
      <c r="N1244" s="36">
        <v>2</v>
      </c>
      <c r="O1244" s="36">
        <v>3</v>
      </c>
      <c r="P1244" s="37" t="s">
        <v>292</v>
      </c>
      <c r="Q1244" s="37" t="s">
        <v>3467</v>
      </c>
      <c r="R1244" s="37" t="s">
        <v>3468</v>
      </c>
    </row>
    <row r="1245" spans="1:18" ht="27.7" hidden="1" thickBot="1" x14ac:dyDescent="0.55000000000000004">
      <c r="A1245" s="36">
        <v>1468</v>
      </c>
      <c r="B1245" s="37" t="s">
        <v>3469</v>
      </c>
      <c r="C1245" s="37" t="s">
        <v>3465</v>
      </c>
      <c r="D1245" s="37" t="s">
        <v>3466</v>
      </c>
      <c r="E1245" s="37" t="s">
        <v>2880</v>
      </c>
      <c r="F1245" s="37" t="s">
        <v>3462</v>
      </c>
      <c r="G1245" s="37" t="s">
        <v>3258</v>
      </c>
      <c r="H1245" s="37" t="s">
        <v>3258</v>
      </c>
      <c r="I1245" s="37" t="s">
        <v>3259</v>
      </c>
      <c r="J1245" s="37" t="s">
        <v>92</v>
      </c>
      <c r="K1245" s="37" t="s">
        <v>92</v>
      </c>
      <c r="L1245" s="36">
        <v>3</v>
      </c>
      <c r="M1245" s="36">
        <v>3</v>
      </c>
      <c r="N1245" s="36">
        <v>3</v>
      </c>
      <c r="O1245" s="36">
        <v>5</v>
      </c>
      <c r="P1245" s="37" t="s">
        <v>292</v>
      </c>
      <c r="Q1245" s="37" t="s">
        <v>3470</v>
      </c>
      <c r="R1245" s="37" t="s">
        <v>3471</v>
      </c>
    </row>
    <row r="1246" spans="1:18" ht="27.7" hidden="1" thickBot="1" x14ac:dyDescent="0.55000000000000004">
      <c r="A1246" s="36">
        <v>1469</v>
      </c>
      <c r="B1246" s="37" t="s">
        <v>3472</v>
      </c>
      <c r="C1246" s="37" t="s">
        <v>3473</v>
      </c>
      <c r="D1246" s="37" t="s">
        <v>2879</v>
      </c>
      <c r="E1246" s="37" t="s">
        <v>2880</v>
      </c>
      <c r="F1246" s="37" t="s">
        <v>2881</v>
      </c>
      <c r="G1246" s="37" t="s">
        <v>2881</v>
      </c>
      <c r="H1246" s="37" t="s">
        <v>2881</v>
      </c>
      <c r="I1246" s="37" t="s">
        <v>92</v>
      </c>
      <c r="J1246" s="37" t="s">
        <v>90</v>
      </c>
      <c r="K1246" s="37" t="s">
        <v>90</v>
      </c>
      <c r="L1246" s="36">
        <v>3</v>
      </c>
      <c r="M1246" s="36">
        <v>3</v>
      </c>
      <c r="N1246" s="36">
        <v>3</v>
      </c>
      <c r="O1246" s="36">
        <v>4</v>
      </c>
      <c r="P1246" s="37" t="s">
        <v>292</v>
      </c>
      <c r="Q1246" s="37"/>
      <c r="R1246" s="37" t="s">
        <v>3474</v>
      </c>
    </row>
    <row r="1247" spans="1:18" ht="27.7" hidden="1" thickBot="1" x14ac:dyDescent="0.55000000000000004">
      <c r="A1247" s="36">
        <v>1470</v>
      </c>
      <c r="B1247" s="37" t="s">
        <v>3475</v>
      </c>
      <c r="C1247" s="37" t="s">
        <v>3473</v>
      </c>
      <c r="D1247" s="37" t="s">
        <v>2879</v>
      </c>
      <c r="E1247" s="37" t="s">
        <v>2880</v>
      </c>
      <c r="F1247" s="37" t="s">
        <v>2827</v>
      </c>
      <c r="G1247" s="37" t="s">
        <v>2827</v>
      </c>
      <c r="H1247" s="37" t="s">
        <v>2827</v>
      </c>
      <c r="I1247" s="37" t="s">
        <v>92</v>
      </c>
      <c r="J1247" s="37" t="s">
        <v>90</v>
      </c>
      <c r="K1247" s="37" t="s">
        <v>90</v>
      </c>
      <c r="L1247" s="36">
        <v>3</v>
      </c>
      <c r="M1247" s="36">
        <v>3</v>
      </c>
      <c r="N1247" s="36">
        <v>3</v>
      </c>
      <c r="O1247" s="36">
        <v>4</v>
      </c>
      <c r="P1247" s="37" t="s">
        <v>292</v>
      </c>
      <c r="Q1247" s="37"/>
      <c r="R1247" s="37" t="s">
        <v>3476</v>
      </c>
    </row>
    <row r="1248" spans="1:18" ht="27.7" hidden="1" thickBot="1" x14ac:dyDescent="0.55000000000000004">
      <c r="A1248" s="36">
        <v>1471</v>
      </c>
      <c r="B1248" s="37" t="s">
        <v>3477</v>
      </c>
      <c r="C1248" s="37" t="s">
        <v>3473</v>
      </c>
      <c r="D1248" s="37" t="s">
        <v>2879</v>
      </c>
      <c r="E1248" s="37" t="s">
        <v>2880</v>
      </c>
      <c r="F1248" s="37" t="s">
        <v>2827</v>
      </c>
      <c r="G1248" s="37" t="s">
        <v>2827</v>
      </c>
      <c r="H1248" s="37" t="s">
        <v>2827</v>
      </c>
      <c r="I1248" s="37" t="s">
        <v>92</v>
      </c>
      <c r="J1248" s="37" t="s">
        <v>90</v>
      </c>
      <c r="K1248" s="37" t="s">
        <v>90</v>
      </c>
      <c r="L1248" s="36">
        <v>3</v>
      </c>
      <c r="M1248" s="36">
        <v>3</v>
      </c>
      <c r="N1248" s="36">
        <v>3</v>
      </c>
      <c r="O1248" s="36">
        <v>5</v>
      </c>
      <c r="P1248" s="37" t="s">
        <v>292</v>
      </c>
      <c r="Q1248" s="37"/>
      <c r="R1248" s="37" t="s">
        <v>3478</v>
      </c>
    </row>
    <row r="1249" spans="1:18" ht="14.7" hidden="1" thickBot="1" x14ac:dyDescent="0.55000000000000004">
      <c r="A1249" s="36">
        <v>1472</v>
      </c>
      <c r="B1249" s="37" t="s">
        <v>3479</v>
      </c>
      <c r="C1249" s="37" t="s">
        <v>3480</v>
      </c>
      <c r="D1249" s="37" t="s">
        <v>3481</v>
      </c>
      <c r="E1249" s="37" t="s">
        <v>2880</v>
      </c>
      <c r="F1249" s="37" t="s">
        <v>3482</v>
      </c>
      <c r="G1249" s="37" t="s">
        <v>3482</v>
      </c>
      <c r="H1249" s="37" t="s">
        <v>3482</v>
      </c>
      <c r="I1249" s="37" t="s">
        <v>92</v>
      </c>
      <c r="J1249" s="37" t="s">
        <v>92</v>
      </c>
      <c r="K1249" s="37" t="s">
        <v>92</v>
      </c>
      <c r="L1249" s="36">
        <v>2</v>
      </c>
      <c r="M1249" s="36">
        <v>2</v>
      </c>
      <c r="N1249" s="36">
        <v>2</v>
      </c>
      <c r="O1249" s="36">
        <v>4</v>
      </c>
      <c r="P1249" s="37" t="s">
        <v>292</v>
      </c>
      <c r="Q1249" s="37"/>
      <c r="R1249" s="37" t="s">
        <v>3483</v>
      </c>
    </row>
    <row r="1250" spans="1:18" ht="14.7" hidden="1" thickBot="1" x14ac:dyDescent="0.55000000000000004">
      <c r="A1250" s="36">
        <v>1473</v>
      </c>
      <c r="B1250" s="37" t="s">
        <v>3484</v>
      </c>
      <c r="C1250" s="37" t="s">
        <v>3480</v>
      </c>
      <c r="D1250" s="37" t="s">
        <v>3481</v>
      </c>
      <c r="E1250" s="37" t="s">
        <v>2880</v>
      </c>
      <c r="F1250" s="37" t="s">
        <v>3482</v>
      </c>
      <c r="G1250" s="37" t="s">
        <v>3482</v>
      </c>
      <c r="H1250" s="37" t="s">
        <v>3482</v>
      </c>
      <c r="I1250" s="37" t="s">
        <v>92</v>
      </c>
      <c r="J1250" s="37" t="s">
        <v>92</v>
      </c>
      <c r="K1250" s="37" t="s">
        <v>90</v>
      </c>
      <c r="L1250" s="36">
        <v>2</v>
      </c>
      <c r="M1250" s="36">
        <v>2</v>
      </c>
      <c r="N1250" s="36">
        <v>2</v>
      </c>
      <c r="O1250" s="36">
        <v>4</v>
      </c>
      <c r="P1250" s="37" t="s">
        <v>292</v>
      </c>
      <c r="Q1250" s="37"/>
      <c r="R1250" s="37" t="s">
        <v>3485</v>
      </c>
    </row>
    <row r="1251" spans="1:18" ht="14.7" hidden="1" thickBot="1" x14ac:dyDescent="0.55000000000000004">
      <c r="A1251" s="36">
        <v>1474</v>
      </c>
      <c r="B1251" s="37" t="s">
        <v>3486</v>
      </c>
      <c r="C1251" s="37" t="s">
        <v>3480</v>
      </c>
      <c r="D1251" s="37" t="s">
        <v>3481</v>
      </c>
      <c r="E1251" s="37" t="s">
        <v>2880</v>
      </c>
      <c r="F1251" s="37" t="s">
        <v>3482</v>
      </c>
      <c r="G1251" s="37" t="s">
        <v>3482</v>
      </c>
      <c r="H1251" s="37" t="s">
        <v>3482</v>
      </c>
      <c r="I1251" s="37" t="s">
        <v>92</v>
      </c>
      <c r="J1251" s="37" t="s">
        <v>92</v>
      </c>
      <c r="K1251" s="37" t="s">
        <v>92</v>
      </c>
      <c r="L1251" s="36">
        <v>3</v>
      </c>
      <c r="M1251" s="36">
        <v>3</v>
      </c>
      <c r="N1251" s="36">
        <v>3</v>
      </c>
      <c r="O1251" s="36">
        <v>5</v>
      </c>
      <c r="P1251" s="37" t="s">
        <v>292</v>
      </c>
      <c r="Q1251" s="37" t="s">
        <v>3487</v>
      </c>
      <c r="R1251" s="37" t="s">
        <v>3488</v>
      </c>
    </row>
    <row r="1252" spans="1:18" ht="27.7" hidden="1" thickBot="1" x14ac:dyDescent="0.55000000000000004">
      <c r="A1252" s="36">
        <v>1475</v>
      </c>
      <c r="B1252" s="37" t="s">
        <v>3489</v>
      </c>
      <c r="C1252" s="37" t="s">
        <v>3480</v>
      </c>
      <c r="D1252" s="37" t="s">
        <v>3481</v>
      </c>
      <c r="E1252" s="37" t="s">
        <v>2880</v>
      </c>
      <c r="F1252" s="37" t="s">
        <v>3482</v>
      </c>
      <c r="G1252" s="37" t="s">
        <v>3482</v>
      </c>
      <c r="H1252" s="37" t="s">
        <v>3482</v>
      </c>
      <c r="I1252" s="37" t="s">
        <v>92</v>
      </c>
      <c r="J1252" s="37" t="s">
        <v>92</v>
      </c>
      <c r="K1252" s="37" t="s">
        <v>90</v>
      </c>
      <c r="L1252" s="36">
        <v>2</v>
      </c>
      <c r="M1252" s="36">
        <v>2</v>
      </c>
      <c r="N1252" s="36">
        <v>2</v>
      </c>
      <c r="O1252" s="36">
        <v>4</v>
      </c>
      <c r="P1252" s="37" t="s">
        <v>292</v>
      </c>
      <c r="Q1252" s="37" t="s">
        <v>3490</v>
      </c>
      <c r="R1252" s="37" t="s">
        <v>3491</v>
      </c>
    </row>
    <row r="1253" spans="1:18" ht="41.35" hidden="1" thickBot="1" x14ac:dyDescent="0.55000000000000004">
      <c r="A1253" s="36">
        <v>1476</v>
      </c>
      <c r="B1253" s="37" t="s">
        <v>3492</v>
      </c>
      <c r="C1253" s="37" t="s">
        <v>3493</v>
      </c>
      <c r="D1253" s="37" t="s">
        <v>3256</v>
      </c>
      <c r="E1253" s="37" t="s">
        <v>2880</v>
      </c>
      <c r="F1253" s="37" t="s">
        <v>3462</v>
      </c>
      <c r="G1253" s="37" t="s">
        <v>3258</v>
      </c>
      <c r="H1253" s="37" t="s">
        <v>3258</v>
      </c>
      <c r="I1253" s="37" t="s">
        <v>92</v>
      </c>
      <c r="J1253" s="37" t="s">
        <v>3259</v>
      </c>
      <c r="K1253" s="37" t="s">
        <v>92</v>
      </c>
      <c r="L1253" s="36">
        <v>2</v>
      </c>
      <c r="M1253" s="36">
        <v>2</v>
      </c>
      <c r="N1253" s="36">
        <v>2</v>
      </c>
      <c r="O1253" s="36">
        <v>5</v>
      </c>
      <c r="P1253" s="37" t="s">
        <v>292</v>
      </c>
      <c r="Q1253" s="37" t="s">
        <v>3494</v>
      </c>
      <c r="R1253" s="37" t="s">
        <v>3495</v>
      </c>
    </row>
    <row r="1254" spans="1:18" ht="27.7" hidden="1" thickBot="1" x14ac:dyDescent="0.55000000000000004">
      <c r="A1254" s="36">
        <v>1477</v>
      </c>
      <c r="B1254" s="37" t="s">
        <v>3496</v>
      </c>
      <c r="C1254" s="37" t="s">
        <v>3497</v>
      </c>
      <c r="D1254" s="37" t="s">
        <v>3481</v>
      </c>
      <c r="E1254" s="37" t="s">
        <v>2880</v>
      </c>
      <c r="F1254" s="37" t="s">
        <v>3482</v>
      </c>
      <c r="G1254" s="37" t="s">
        <v>3482</v>
      </c>
      <c r="H1254" s="37" t="s">
        <v>3482</v>
      </c>
      <c r="I1254" s="37" t="s">
        <v>92</v>
      </c>
      <c r="J1254" s="37" t="s">
        <v>92</v>
      </c>
      <c r="K1254" s="37" t="s">
        <v>90</v>
      </c>
      <c r="L1254" s="36">
        <v>3</v>
      </c>
      <c r="M1254" s="36">
        <v>3</v>
      </c>
      <c r="N1254" s="36">
        <v>3</v>
      </c>
      <c r="O1254" s="36">
        <v>5</v>
      </c>
      <c r="P1254" s="37" t="s">
        <v>292</v>
      </c>
      <c r="Q1254" s="37" t="s">
        <v>3498</v>
      </c>
      <c r="R1254" s="37" t="s">
        <v>3499</v>
      </c>
    </row>
    <row r="1255" spans="1:18" ht="27.7" hidden="1" thickBot="1" x14ac:dyDescent="0.55000000000000004">
      <c r="A1255" s="36">
        <v>1478</v>
      </c>
      <c r="B1255" s="37" t="s">
        <v>3497</v>
      </c>
      <c r="C1255" s="37" t="s">
        <v>3497</v>
      </c>
      <c r="D1255" s="37" t="s">
        <v>3481</v>
      </c>
      <c r="E1255" s="37" t="s">
        <v>2880</v>
      </c>
      <c r="F1255" s="37" t="s">
        <v>3482</v>
      </c>
      <c r="G1255" s="37" t="s">
        <v>3482</v>
      </c>
      <c r="H1255" s="37" t="s">
        <v>3482</v>
      </c>
      <c r="I1255" s="37" t="s">
        <v>92</v>
      </c>
      <c r="J1255" s="37" t="s">
        <v>92</v>
      </c>
      <c r="K1255" s="37" t="s">
        <v>90</v>
      </c>
      <c r="L1255" s="36">
        <v>3</v>
      </c>
      <c r="M1255" s="36">
        <v>3</v>
      </c>
      <c r="N1255" s="36">
        <v>3</v>
      </c>
      <c r="O1255" s="36">
        <v>5</v>
      </c>
      <c r="P1255" s="37" t="s">
        <v>292</v>
      </c>
      <c r="Q1255" s="37" t="s">
        <v>3500</v>
      </c>
      <c r="R1255" s="37" t="s">
        <v>3501</v>
      </c>
    </row>
    <row r="1256" spans="1:18" ht="27.7" hidden="1" thickBot="1" x14ac:dyDescent="0.55000000000000004">
      <c r="A1256" s="36">
        <v>1479</v>
      </c>
      <c r="B1256" s="37" t="s">
        <v>3502</v>
      </c>
      <c r="C1256" s="37" t="s">
        <v>3497</v>
      </c>
      <c r="D1256" s="37" t="s">
        <v>3481</v>
      </c>
      <c r="E1256" s="37" t="s">
        <v>2880</v>
      </c>
      <c r="F1256" s="37" t="s">
        <v>3482</v>
      </c>
      <c r="G1256" s="37" t="s">
        <v>3482</v>
      </c>
      <c r="H1256" s="37" t="s">
        <v>3482</v>
      </c>
      <c r="I1256" s="37" t="s">
        <v>92</v>
      </c>
      <c r="J1256" s="37" t="s">
        <v>92</v>
      </c>
      <c r="K1256" s="37" t="s">
        <v>90</v>
      </c>
      <c r="L1256" s="36">
        <v>2</v>
      </c>
      <c r="M1256" s="36">
        <v>2</v>
      </c>
      <c r="N1256" s="36">
        <v>2</v>
      </c>
      <c r="O1256" s="36">
        <v>4</v>
      </c>
      <c r="P1256" s="37" t="s">
        <v>292</v>
      </c>
      <c r="Q1256" s="37"/>
      <c r="R1256" s="37" t="s">
        <v>3503</v>
      </c>
    </row>
    <row r="1257" spans="1:18" ht="27.7" thickBot="1" x14ac:dyDescent="0.55000000000000004">
      <c r="A1257" s="36">
        <v>1480</v>
      </c>
      <c r="B1257" s="37" t="s">
        <v>3504</v>
      </c>
      <c r="C1257" s="37" t="s">
        <v>3071</v>
      </c>
      <c r="D1257" s="37" t="s">
        <v>2925</v>
      </c>
      <c r="E1257" s="37" t="s">
        <v>2784</v>
      </c>
      <c r="F1257" s="37" t="s">
        <v>3482</v>
      </c>
      <c r="G1257" s="37" t="s">
        <v>3482</v>
      </c>
      <c r="H1257" s="37" t="s">
        <v>3482</v>
      </c>
      <c r="I1257" s="37" t="s">
        <v>92</v>
      </c>
      <c r="J1257" s="37" t="s">
        <v>92</v>
      </c>
      <c r="K1257" s="37" t="s">
        <v>92</v>
      </c>
      <c r="L1257" s="36">
        <v>3</v>
      </c>
      <c r="M1257" s="36">
        <v>3</v>
      </c>
      <c r="N1257" s="36">
        <v>3</v>
      </c>
      <c r="O1257" s="36">
        <v>5</v>
      </c>
      <c r="P1257" s="37" t="s">
        <v>292</v>
      </c>
      <c r="Q1257" s="37" t="s">
        <v>3505</v>
      </c>
      <c r="R1257" s="37" t="s">
        <v>3506</v>
      </c>
    </row>
    <row r="1258" spans="1:18" ht="14.7" hidden="1" thickBot="1" x14ac:dyDescent="0.55000000000000004">
      <c r="A1258" s="36">
        <v>1481</v>
      </c>
      <c r="B1258" s="37" t="s">
        <v>3507</v>
      </c>
      <c r="C1258" s="37" t="s">
        <v>3508</v>
      </c>
      <c r="D1258" s="37" t="s">
        <v>3256</v>
      </c>
      <c r="E1258" s="37" t="s">
        <v>2880</v>
      </c>
      <c r="F1258" s="37" t="s">
        <v>3258</v>
      </c>
      <c r="G1258" s="37" t="s">
        <v>3258</v>
      </c>
      <c r="H1258" s="37" t="s">
        <v>3258</v>
      </c>
      <c r="I1258" s="37" t="s">
        <v>92</v>
      </c>
      <c r="J1258" s="37" t="s">
        <v>92</v>
      </c>
      <c r="K1258" s="37" t="s">
        <v>92</v>
      </c>
      <c r="L1258" s="36">
        <v>3</v>
      </c>
      <c r="M1258" s="36">
        <v>3</v>
      </c>
      <c r="N1258" s="36">
        <v>3</v>
      </c>
      <c r="O1258" s="36">
        <v>4</v>
      </c>
      <c r="P1258" s="37" t="s">
        <v>292</v>
      </c>
      <c r="Q1258" s="37"/>
      <c r="R1258" s="37" t="s">
        <v>3509</v>
      </c>
    </row>
    <row r="1259" spans="1:18" ht="27.7" hidden="1" thickBot="1" x14ac:dyDescent="0.55000000000000004">
      <c r="A1259" s="36">
        <v>1482</v>
      </c>
      <c r="B1259" s="37" t="s">
        <v>3510</v>
      </c>
      <c r="C1259" s="37" t="s">
        <v>3508</v>
      </c>
      <c r="D1259" s="37" t="s">
        <v>3256</v>
      </c>
      <c r="E1259" s="37" t="s">
        <v>2880</v>
      </c>
      <c r="F1259" s="37" t="s">
        <v>3258</v>
      </c>
      <c r="G1259" s="37" t="s">
        <v>3258</v>
      </c>
      <c r="H1259" s="37" t="s">
        <v>3258</v>
      </c>
      <c r="I1259" s="37" t="s">
        <v>92</v>
      </c>
      <c r="J1259" s="37" t="s">
        <v>92</v>
      </c>
      <c r="K1259" s="37" t="s">
        <v>92</v>
      </c>
      <c r="L1259" s="36">
        <v>3</v>
      </c>
      <c r="M1259" s="36">
        <v>3</v>
      </c>
      <c r="N1259" s="36">
        <v>3</v>
      </c>
      <c r="O1259" s="36">
        <v>4</v>
      </c>
      <c r="P1259" s="37" t="s">
        <v>292</v>
      </c>
      <c r="Q1259" s="37" t="s">
        <v>3511</v>
      </c>
      <c r="R1259" s="37" t="s">
        <v>3512</v>
      </c>
    </row>
    <row r="1260" spans="1:18" ht="27.7" thickBot="1" x14ac:dyDescent="0.55000000000000004">
      <c r="A1260" s="36">
        <v>1483</v>
      </c>
      <c r="B1260" s="37" t="s">
        <v>3513</v>
      </c>
      <c r="C1260" s="37" t="s">
        <v>2924</v>
      </c>
      <c r="D1260" s="37" t="s">
        <v>2925</v>
      </c>
      <c r="E1260" s="37" t="s">
        <v>2784</v>
      </c>
      <c r="F1260" s="37" t="s">
        <v>3258</v>
      </c>
      <c r="G1260" s="37" t="s">
        <v>3258</v>
      </c>
      <c r="H1260" s="37" t="s">
        <v>3258</v>
      </c>
      <c r="I1260" s="37" t="s">
        <v>3259</v>
      </c>
      <c r="J1260" s="37" t="s">
        <v>3259</v>
      </c>
      <c r="K1260" s="37" t="s">
        <v>3259</v>
      </c>
      <c r="L1260" s="36">
        <v>3</v>
      </c>
      <c r="M1260" s="36">
        <v>3</v>
      </c>
      <c r="N1260" s="36">
        <v>3</v>
      </c>
      <c r="O1260" s="36">
        <v>5</v>
      </c>
      <c r="P1260" s="37" t="s">
        <v>292</v>
      </c>
      <c r="Q1260" s="37"/>
      <c r="R1260" s="37" t="s">
        <v>3514</v>
      </c>
    </row>
    <row r="1261" spans="1:18" ht="27.7" thickBot="1" x14ac:dyDescent="0.55000000000000004">
      <c r="A1261" s="36">
        <v>1484</v>
      </c>
      <c r="B1261" s="37" t="s">
        <v>3515</v>
      </c>
      <c r="C1261" s="37" t="s">
        <v>2924</v>
      </c>
      <c r="D1261" s="37" t="s">
        <v>2925</v>
      </c>
      <c r="E1261" s="37" t="s">
        <v>2784</v>
      </c>
      <c r="F1261" s="37" t="s">
        <v>3258</v>
      </c>
      <c r="G1261" s="37" t="s">
        <v>3258</v>
      </c>
      <c r="H1261" s="37" t="s">
        <v>3258</v>
      </c>
      <c r="I1261" s="37" t="s">
        <v>92</v>
      </c>
      <c r="J1261" s="37" t="s">
        <v>92</v>
      </c>
      <c r="K1261" s="37" t="s">
        <v>92</v>
      </c>
      <c r="L1261" s="36">
        <v>2</v>
      </c>
      <c r="M1261" s="36">
        <v>2</v>
      </c>
      <c r="N1261" s="36">
        <v>2</v>
      </c>
      <c r="O1261" s="36">
        <v>5</v>
      </c>
      <c r="P1261" s="37" t="s">
        <v>292</v>
      </c>
      <c r="Q1261" s="37"/>
      <c r="R1261" s="37" t="s">
        <v>3516</v>
      </c>
    </row>
    <row r="1262" spans="1:18" ht="27.7" hidden="1" thickBot="1" x14ac:dyDescent="0.55000000000000004">
      <c r="A1262" s="36">
        <v>1485</v>
      </c>
      <c r="B1262" s="37" t="s">
        <v>3517</v>
      </c>
      <c r="C1262" s="37" t="s">
        <v>3518</v>
      </c>
      <c r="D1262" s="37" t="s">
        <v>3466</v>
      </c>
      <c r="E1262" s="37" t="s">
        <v>2880</v>
      </c>
      <c r="F1262" s="37" t="s">
        <v>3462</v>
      </c>
      <c r="G1262" s="37" t="s">
        <v>3462</v>
      </c>
      <c r="H1262" s="37" t="s">
        <v>3258</v>
      </c>
      <c r="I1262" s="37" t="s">
        <v>3259</v>
      </c>
      <c r="J1262" s="37" t="s">
        <v>3259</v>
      </c>
      <c r="K1262" s="37" t="s">
        <v>3259</v>
      </c>
      <c r="L1262" s="36">
        <v>2</v>
      </c>
      <c r="M1262" s="36">
        <v>2</v>
      </c>
      <c r="N1262" s="36">
        <v>2</v>
      </c>
      <c r="O1262" s="36">
        <v>4</v>
      </c>
      <c r="P1262" s="37" t="s">
        <v>292</v>
      </c>
      <c r="Q1262" s="37" t="s">
        <v>3519</v>
      </c>
      <c r="R1262" s="37" t="s">
        <v>3520</v>
      </c>
    </row>
    <row r="1263" spans="1:18" ht="27.7" hidden="1" thickBot="1" x14ac:dyDescent="0.55000000000000004">
      <c r="A1263" s="36">
        <v>1486</v>
      </c>
      <c r="B1263" s="37" t="s">
        <v>3521</v>
      </c>
      <c r="C1263" s="37" t="s">
        <v>3522</v>
      </c>
      <c r="D1263" s="37" t="s">
        <v>3466</v>
      </c>
      <c r="E1263" s="37" t="s">
        <v>2880</v>
      </c>
      <c r="F1263" s="37" t="s">
        <v>3462</v>
      </c>
      <c r="G1263" s="37" t="s">
        <v>3258</v>
      </c>
      <c r="H1263" s="37" t="s">
        <v>3258</v>
      </c>
      <c r="I1263" s="37" t="s">
        <v>3259</v>
      </c>
      <c r="J1263" s="37" t="s">
        <v>92</v>
      </c>
      <c r="K1263" s="37" t="s">
        <v>92</v>
      </c>
      <c r="L1263" s="36">
        <v>2</v>
      </c>
      <c r="M1263" s="36">
        <v>2</v>
      </c>
      <c r="N1263" s="36">
        <v>3</v>
      </c>
      <c r="O1263" s="36">
        <v>5</v>
      </c>
      <c r="P1263" s="37" t="s">
        <v>292</v>
      </c>
      <c r="Q1263" s="37"/>
      <c r="R1263" s="37" t="s">
        <v>3523</v>
      </c>
    </row>
    <row r="1264" spans="1:18" ht="27.7" hidden="1" thickBot="1" x14ac:dyDescent="0.55000000000000004">
      <c r="A1264" s="36">
        <v>1487</v>
      </c>
      <c r="B1264" s="37" t="s">
        <v>3524</v>
      </c>
      <c r="C1264" s="37" t="s">
        <v>3518</v>
      </c>
      <c r="D1264" s="37" t="s">
        <v>3466</v>
      </c>
      <c r="E1264" s="37" t="s">
        <v>2880</v>
      </c>
      <c r="F1264" s="37" t="s">
        <v>3462</v>
      </c>
      <c r="G1264" s="37" t="s">
        <v>3258</v>
      </c>
      <c r="H1264" s="37" t="s">
        <v>3258</v>
      </c>
      <c r="I1264" s="37" t="s">
        <v>3259</v>
      </c>
      <c r="J1264" s="37" t="s">
        <v>3259</v>
      </c>
      <c r="K1264" s="37" t="s">
        <v>92</v>
      </c>
      <c r="L1264" s="36">
        <v>3</v>
      </c>
      <c r="M1264" s="36">
        <v>3</v>
      </c>
      <c r="N1264" s="36">
        <v>3</v>
      </c>
      <c r="O1264" s="36">
        <v>4</v>
      </c>
      <c r="P1264" s="37" t="s">
        <v>292</v>
      </c>
      <c r="Q1264" s="37" t="s">
        <v>3525</v>
      </c>
      <c r="R1264" s="37" t="s">
        <v>3526</v>
      </c>
    </row>
    <row r="1265" spans="1:18" ht="27.7" hidden="1" thickBot="1" x14ac:dyDescent="0.55000000000000004">
      <c r="A1265" s="36">
        <v>1488</v>
      </c>
      <c r="B1265" s="37" t="s">
        <v>3527</v>
      </c>
      <c r="C1265" s="37" t="s">
        <v>3465</v>
      </c>
      <c r="D1265" s="37" t="s">
        <v>3466</v>
      </c>
      <c r="E1265" s="37" t="s">
        <v>2880</v>
      </c>
      <c r="F1265" s="37" t="s">
        <v>3462</v>
      </c>
      <c r="G1265" s="37" t="s">
        <v>3258</v>
      </c>
      <c r="H1265" s="37" t="s">
        <v>3258</v>
      </c>
      <c r="I1265" s="37" t="s">
        <v>3259</v>
      </c>
      <c r="J1265" s="37" t="s">
        <v>3259</v>
      </c>
      <c r="K1265" s="37" t="s">
        <v>92</v>
      </c>
      <c r="L1265" s="36">
        <v>2</v>
      </c>
      <c r="M1265" s="36">
        <v>2</v>
      </c>
      <c r="N1265" s="36">
        <v>2</v>
      </c>
      <c r="O1265" s="36">
        <v>4</v>
      </c>
      <c r="P1265" s="37" t="s">
        <v>292</v>
      </c>
      <c r="Q1265" s="37" t="s">
        <v>3528</v>
      </c>
      <c r="R1265" s="37" t="s">
        <v>3529</v>
      </c>
    </row>
    <row r="1266" spans="1:18" ht="27.7" hidden="1" thickBot="1" x14ac:dyDescent="0.55000000000000004">
      <c r="A1266" s="36">
        <v>1489</v>
      </c>
      <c r="B1266" s="37" t="s">
        <v>3530</v>
      </c>
      <c r="C1266" s="37" t="s">
        <v>3518</v>
      </c>
      <c r="D1266" s="37" t="s">
        <v>3466</v>
      </c>
      <c r="E1266" s="37" t="s">
        <v>2880</v>
      </c>
      <c r="F1266" s="37" t="s">
        <v>3462</v>
      </c>
      <c r="G1266" s="37" t="s">
        <v>3462</v>
      </c>
      <c r="H1266" s="37" t="s">
        <v>3258</v>
      </c>
      <c r="I1266" s="37" t="s">
        <v>3259</v>
      </c>
      <c r="J1266" s="37" t="s">
        <v>3259</v>
      </c>
      <c r="K1266" s="37" t="s">
        <v>3259</v>
      </c>
      <c r="L1266" s="36">
        <v>1</v>
      </c>
      <c r="M1266" s="36">
        <v>1</v>
      </c>
      <c r="N1266" s="36">
        <v>1</v>
      </c>
      <c r="O1266" s="36">
        <v>2</v>
      </c>
      <c r="P1266" s="37" t="s">
        <v>292</v>
      </c>
      <c r="Q1266" s="37" t="s">
        <v>3531</v>
      </c>
      <c r="R1266" s="37" t="s">
        <v>3532</v>
      </c>
    </row>
    <row r="1267" spans="1:18" ht="27.7" hidden="1" thickBot="1" x14ac:dyDescent="0.55000000000000004">
      <c r="A1267" s="36">
        <v>1490</v>
      </c>
      <c r="B1267" s="37" t="s">
        <v>3533</v>
      </c>
      <c r="C1267" s="37" t="s">
        <v>3522</v>
      </c>
      <c r="D1267" s="37" t="s">
        <v>3466</v>
      </c>
      <c r="E1267" s="37" t="s">
        <v>2880</v>
      </c>
      <c r="F1267" s="37" t="s">
        <v>3462</v>
      </c>
      <c r="G1267" s="37" t="s">
        <v>3462</v>
      </c>
      <c r="H1267" s="37" t="s">
        <v>3462</v>
      </c>
      <c r="I1267" s="37" t="s">
        <v>3259</v>
      </c>
      <c r="J1267" s="37" t="s">
        <v>3259</v>
      </c>
      <c r="K1267" s="37" t="s">
        <v>3259</v>
      </c>
      <c r="L1267" s="36">
        <v>4</v>
      </c>
      <c r="M1267" s="36">
        <v>4</v>
      </c>
      <c r="N1267" s="36">
        <v>4</v>
      </c>
      <c r="O1267" s="36">
        <v>5</v>
      </c>
      <c r="P1267" s="37" t="s">
        <v>292</v>
      </c>
      <c r="Q1267" s="37" t="s">
        <v>3534</v>
      </c>
      <c r="R1267" s="37" t="s">
        <v>3535</v>
      </c>
    </row>
    <row r="1268" spans="1:18" ht="41.35" hidden="1" thickBot="1" x14ac:dyDescent="0.55000000000000004">
      <c r="A1268" s="36">
        <v>1491</v>
      </c>
      <c r="B1268" s="37" t="s">
        <v>3522</v>
      </c>
      <c r="C1268" s="37" t="s">
        <v>3522</v>
      </c>
      <c r="D1268" s="37" t="s">
        <v>3466</v>
      </c>
      <c r="E1268" s="37" t="s">
        <v>2880</v>
      </c>
      <c r="F1268" s="37" t="s">
        <v>3462</v>
      </c>
      <c r="G1268" s="37" t="s">
        <v>3258</v>
      </c>
      <c r="H1268" s="37" t="s">
        <v>3258</v>
      </c>
      <c r="I1268" s="37" t="s">
        <v>3259</v>
      </c>
      <c r="J1268" s="37" t="s">
        <v>3259</v>
      </c>
      <c r="K1268" s="37" t="s">
        <v>92</v>
      </c>
      <c r="L1268" s="36">
        <v>4</v>
      </c>
      <c r="M1268" s="36">
        <v>4</v>
      </c>
      <c r="N1268" s="36">
        <v>5</v>
      </c>
      <c r="O1268" s="36">
        <v>6</v>
      </c>
      <c r="P1268" s="37" t="s">
        <v>292</v>
      </c>
      <c r="Q1268" s="37" t="s">
        <v>3536</v>
      </c>
      <c r="R1268" s="37" t="s">
        <v>3537</v>
      </c>
    </row>
    <row r="1269" spans="1:18" ht="27.7" hidden="1" thickBot="1" x14ac:dyDescent="0.55000000000000004">
      <c r="A1269" s="36">
        <v>1492</v>
      </c>
      <c r="B1269" s="37" t="s">
        <v>3538</v>
      </c>
      <c r="C1269" s="37" t="s">
        <v>3493</v>
      </c>
      <c r="D1269" s="37" t="s">
        <v>3256</v>
      </c>
      <c r="E1269" s="37" t="s">
        <v>2880</v>
      </c>
      <c r="F1269" s="37" t="s">
        <v>3462</v>
      </c>
      <c r="G1269" s="37" t="s">
        <v>3258</v>
      </c>
      <c r="H1269" s="37" t="s">
        <v>3258</v>
      </c>
      <c r="I1269" s="37" t="s">
        <v>92</v>
      </c>
      <c r="J1269" s="37" t="s">
        <v>3259</v>
      </c>
      <c r="K1269" s="37" t="s">
        <v>92</v>
      </c>
      <c r="L1269" s="36">
        <v>2</v>
      </c>
      <c r="M1269" s="36">
        <v>2</v>
      </c>
      <c r="N1269" s="36">
        <v>2</v>
      </c>
      <c r="O1269" s="36">
        <v>5</v>
      </c>
      <c r="P1269" s="37" t="s">
        <v>292</v>
      </c>
      <c r="Q1269" s="37" t="s">
        <v>3539</v>
      </c>
      <c r="R1269" s="37" t="s">
        <v>3540</v>
      </c>
    </row>
    <row r="1270" spans="1:18" ht="27.7" hidden="1" thickBot="1" x14ac:dyDescent="0.55000000000000004">
      <c r="A1270" s="36">
        <v>1493</v>
      </c>
      <c r="B1270" s="37" t="s">
        <v>3541</v>
      </c>
      <c r="C1270" s="37" t="s">
        <v>3518</v>
      </c>
      <c r="D1270" s="37" t="s">
        <v>3466</v>
      </c>
      <c r="E1270" s="37" t="s">
        <v>2880</v>
      </c>
      <c r="F1270" s="37" t="s">
        <v>3462</v>
      </c>
      <c r="G1270" s="37" t="s">
        <v>3462</v>
      </c>
      <c r="H1270" s="37" t="s">
        <v>3258</v>
      </c>
      <c r="I1270" s="37" t="s">
        <v>3259</v>
      </c>
      <c r="J1270" s="37" t="s">
        <v>3259</v>
      </c>
      <c r="K1270" s="37" t="s">
        <v>3259</v>
      </c>
      <c r="L1270" s="36">
        <v>1</v>
      </c>
      <c r="M1270" s="36">
        <v>1</v>
      </c>
      <c r="N1270" s="36">
        <v>1</v>
      </c>
      <c r="O1270" s="36">
        <v>2</v>
      </c>
      <c r="P1270" s="37" t="s">
        <v>292</v>
      </c>
      <c r="Q1270" s="37" t="s">
        <v>3542</v>
      </c>
      <c r="R1270" s="37" t="s">
        <v>3543</v>
      </c>
    </row>
    <row r="1271" spans="1:18" ht="27.7" hidden="1" thickBot="1" x14ac:dyDescent="0.55000000000000004">
      <c r="A1271" s="36">
        <v>1494</v>
      </c>
      <c r="B1271" s="37" t="s">
        <v>3544</v>
      </c>
      <c r="C1271" s="37" t="s">
        <v>3518</v>
      </c>
      <c r="D1271" s="37" t="s">
        <v>3466</v>
      </c>
      <c r="E1271" s="37" t="s">
        <v>2880</v>
      </c>
      <c r="F1271" s="37" t="s">
        <v>3462</v>
      </c>
      <c r="G1271" s="37" t="s">
        <v>3462</v>
      </c>
      <c r="H1271" s="37" t="s">
        <v>3258</v>
      </c>
      <c r="I1271" s="37" t="s">
        <v>3259</v>
      </c>
      <c r="J1271" s="37" t="s">
        <v>3259</v>
      </c>
      <c r="K1271" s="37" t="s">
        <v>3259</v>
      </c>
      <c r="L1271" s="36">
        <v>1</v>
      </c>
      <c r="M1271" s="36">
        <v>1</v>
      </c>
      <c r="N1271" s="36">
        <v>1</v>
      </c>
      <c r="O1271" s="36">
        <v>2</v>
      </c>
      <c r="P1271" s="37" t="s">
        <v>292</v>
      </c>
      <c r="Q1271" s="37" t="s">
        <v>3545</v>
      </c>
      <c r="R1271" s="37" t="s">
        <v>3546</v>
      </c>
    </row>
    <row r="1272" spans="1:18" ht="27.7" hidden="1" thickBot="1" x14ac:dyDescent="0.55000000000000004">
      <c r="A1272" s="36">
        <v>1495</v>
      </c>
      <c r="B1272" s="37" t="s">
        <v>3547</v>
      </c>
      <c r="C1272" s="37" t="s">
        <v>3548</v>
      </c>
      <c r="D1272" s="37" t="s">
        <v>3256</v>
      </c>
      <c r="E1272" s="37" t="s">
        <v>2880</v>
      </c>
      <c r="F1272" s="37" t="s">
        <v>3257</v>
      </c>
      <c r="G1272" s="37" t="s">
        <v>3257</v>
      </c>
      <c r="H1272" s="37" t="s">
        <v>3258</v>
      </c>
      <c r="I1272" s="37" t="s">
        <v>3259</v>
      </c>
      <c r="J1272" s="37" t="s">
        <v>3259</v>
      </c>
      <c r="K1272" s="37" t="s">
        <v>3259</v>
      </c>
      <c r="L1272" s="36">
        <v>1</v>
      </c>
      <c r="M1272" s="36">
        <v>1</v>
      </c>
      <c r="N1272" s="36">
        <v>1</v>
      </c>
      <c r="O1272" s="36">
        <v>2</v>
      </c>
      <c r="P1272" s="37" t="s">
        <v>292</v>
      </c>
      <c r="Q1272" s="37" t="s">
        <v>3549</v>
      </c>
      <c r="R1272" s="37" t="s">
        <v>3550</v>
      </c>
    </row>
    <row r="1273" spans="1:18" ht="27.7" hidden="1" thickBot="1" x14ac:dyDescent="0.55000000000000004">
      <c r="A1273" s="36">
        <v>1496</v>
      </c>
      <c r="B1273" s="37" t="s">
        <v>3551</v>
      </c>
      <c r="C1273" s="37" t="s">
        <v>3552</v>
      </c>
      <c r="D1273" s="37" t="s">
        <v>3256</v>
      </c>
      <c r="E1273" s="37" t="s">
        <v>2880</v>
      </c>
      <c r="F1273" s="37" t="s">
        <v>3258</v>
      </c>
      <c r="G1273" s="37" t="s">
        <v>3258</v>
      </c>
      <c r="H1273" s="37" t="s">
        <v>3258</v>
      </c>
      <c r="I1273" s="37" t="s">
        <v>92</v>
      </c>
      <c r="J1273" s="37" t="s">
        <v>3259</v>
      </c>
      <c r="K1273" s="37" t="s">
        <v>92</v>
      </c>
      <c r="L1273" s="36">
        <v>2</v>
      </c>
      <c r="M1273" s="36">
        <v>2</v>
      </c>
      <c r="N1273" s="36">
        <v>2</v>
      </c>
      <c r="O1273" s="36">
        <v>5</v>
      </c>
      <c r="P1273" s="37" t="s">
        <v>292</v>
      </c>
      <c r="Q1273" s="37" t="s">
        <v>3553</v>
      </c>
      <c r="R1273" s="37" t="s">
        <v>3554</v>
      </c>
    </row>
    <row r="1274" spans="1:18" ht="27.7" hidden="1" thickBot="1" x14ac:dyDescent="0.55000000000000004">
      <c r="A1274" s="36">
        <v>1497</v>
      </c>
      <c r="B1274" s="37" t="s">
        <v>3555</v>
      </c>
      <c r="C1274" s="37" t="s">
        <v>3493</v>
      </c>
      <c r="D1274" s="37" t="s">
        <v>3256</v>
      </c>
      <c r="E1274" s="37" t="s">
        <v>2880</v>
      </c>
      <c r="F1274" s="37" t="s">
        <v>3258</v>
      </c>
      <c r="G1274" s="37" t="s">
        <v>3258</v>
      </c>
      <c r="H1274" s="37" t="s">
        <v>3258</v>
      </c>
      <c r="I1274" s="37" t="s">
        <v>92</v>
      </c>
      <c r="J1274" s="37" t="s">
        <v>3259</v>
      </c>
      <c r="K1274" s="37" t="s">
        <v>92</v>
      </c>
      <c r="L1274" s="36">
        <v>3</v>
      </c>
      <c r="M1274" s="36">
        <v>3</v>
      </c>
      <c r="N1274" s="36">
        <v>3</v>
      </c>
      <c r="O1274" s="36">
        <v>5</v>
      </c>
      <c r="P1274" s="37" t="s">
        <v>292</v>
      </c>
      <c r="Q1274" s="37" t="s">
        <v>3556</v>
      </c>
      <c r="R1274" s="37" t="s">
        <v>3557</v>
      </c>
    </row>
    <row r="1275" spans="1:18" ht="14.7" hidden="1" thickBot="1" x14ac:dyDescent="0.55000000000000004">
      <c r="A1275" s="36">
        <v>1498</v>
      </c>
      <c r="B1275" s="37" t="s">
        <v>3558</v>
      </c>
      <c r="C1275" s="37" t="s">
        <v>3558</v>
      </c>
      <c r="D1275" s="37" t="s">
        <v>3256</v>
      </c>
      <c r="E1275" s="37" t="s">
        <v>2880</v>
      </c>
      <c r="F1275" s="37" t="s">
        <v>3258</v>
      </c>
      <c r="G1275" s="37" t="s">
        <v>3258</v>
      </c>
      <c r="H1275" s="37" t="s">
        <v>3258</v>
      </c>
      <c r="I1275" s="37" t="s">
        <v>92</v>
      </c>
      <c r="J1275" s="37" t="s">
        <v>3259</v>
      </c>
      <c r="K1275" s="37" t="s">
        <v>92</v>
      </c>
      <c r="L1275" s="36">
        <v>5</v>
      </c>
      <c r="M1275" s="36">
        <v>5</v>
      </c>
      <c r="N1275" s="36">
        <v>5</v>
      </c>
      <c r="O1275" s="36">
        <v>7</v>
      </c>
      <c r="P1275" s="37" t="s">
        <v>292</v>
      </c>
      <c r="Q1275" s="37" t="s">
        <v>3559</v>
      </c>
      <c r="R1275" s="37" t="s">
        <v>3560</v>
      </c>
    </row>
    <row r="1276" spans="1:18" ht="27.7" hidden="1" thickBot="1" x14ac:dyDescent="0.55000000000000004">
      <c r="A1276" s="36">
        <v>1499</v>
      </c>
      <c r="B1276" s="37" t="s">
        <v>3493</v>
      </c>
      <c r="C1276" s="37" t="s">
        <v>3493</v>
      </c>
      <c r="D1276" s="37" t="s">
        <v>3256</v>
      </c>
      <c r="E1276" s="37" t="s">
        <v>2880</v>
      </c>
      <c r="F1276" s="37" t="s">
        <v>3258</v>
      </c>
      <c r="G1276" s="37" t="s">
        <v>3258</v>
      </c>
      <c r="H1276" s="37" t="s">
        <v>3258</v>
      </c>
      <c r="I1276" s="37" t="s">
        <v>92</v>
      </c>
      <c r="J1276" s="37" t="s">
        <v>3259</v>
      </c>
      <c r="K1276" s="37" t="s">
        <v>92</v>
      </c>
      <c r="L1276" s="36">
        <v>3</v>
      </c>
      <c r="M1276" s="36">
        <v>3</v>
      </c>
      <c r="N1276" s="36">
        <v>4</v>
      </c>
      <c r="O1276" s="36">
        <v>4</v>
      </c>
      <c r="P1276" s="37" t="s">
        <v>292</v>
      </c>
      <c r="Q1276" s="37" t="s">
        <v>3561</v>
      </c>
      <c r="R1276" s="37" t="s">
        <v>3562</v>
      </c>
    </row>
    <row r="1277" spans="1:18" ht="27.7" hidden="1" thickBot="1" x14ac:dyDescent="0.55000000000000004">
      <c r="A1277" s="36">
        <v>1500</v>
      </c>
      <c r="B1277" s="37" t="s">
        <v>3563</v>
      </c>
      <c r="C1277" s="37" t="s">
        <v>3563</v>
      </c>
      <c r="D1277" s="37" t="s">
        <v>3564</v>
      </c>
      <c r="E1277" s="37" t="s">
        <v>2880</v>
      </c>
      <c r="F1277" s="37" t="s">
        <v>3258</v>
      </c>
      <c r="G1277" s="37" t="s">
        <v>3258</v>
      </c>
      <c r="H1277" s="37" t="s">
        <v>3258</v>
      </c>
      <c r="I1277" s="37" t="s">
        <v>92</v>
      </c>
      <c r="J1277" s="37" t="s">
        <v>92</v>
      </c>
      <c r="K1277" s="37" t="s">
        <v>92</v>
      </c>
      <c r="L1277" s="36">
        <v>4</v>
      </c>
      <c r="M1277" s="36">
        <v>4</v>
      </c>
      <c r="N1277" s="36">
        <v>4</v>
      </c>
      <c r="O1277" s="36">
        <v>5</v>
      </c>
      <c r="P1277" s="37" t="s">
        <v>292</v>
      </c>
      <c r="Q1277" s="37" t="s">
        <v>3565</v>
      </c>
      <c r="R1277" s="37" t="s">
        <v>3566</v>
      </c>
    </row>
    <row r="1278" spans="1:18" ht="27.7" hidden="1" thickBot="1" x14ac:dyDescent="0.55000000000000004">
      <c r="A1278" s="36">
        <v>1501</v>
      </c>
      <c r="B1278" s="37" t="s">
        <v>3567</v>
      </c>
      <c r="C1278" s="37" t="s">
        <v>3567</v>
      </c>
      <c r="D1278" s="37" t="s">
        <v>3322</v>
      </c>
      <c r="E1278" s="37" t="s">
        <v>2880</v>
      </c>
      <c r="F1278" s="37" t="s">
        <v>3324</v>
      </c>
      <c r="G1278" s="37" t="s">
        <v>3324</v>
      </c>
      <c r="H1278" s="37" t="s">
        <v>3324</v>
      </c>
      <c r="I1278" s="37" t="s">
        <v>3259</v>
      </c>
      <c r="J1278" s="37" t="s">
        <v>3259</v>
      </c>
      <c r="K1278" s="37" t="s">
        <v>92</v>
      </c>
      <c r="L1278" s="36">
        <v>1</v>
      </c>
      <c r="M1278" s="36">
        <v>1</v>
      </c>
      <c r="N1278" s="36">
        <v>1</v>
      </c>
      <c r="O1278" s="36">
        <v>5</v>
      </c>
      <c r="P1278" s="37" t="s">
        <v>292</v>
      </c>
      <c r="Q1278" s="37" t="s">
        <v>3568</v>
      </c>
      <c r="R1278" s="37" t="s">
        <v>3569</v>
      </c>
    </row>
    <row r="1279" spans="1:18" ht="14.7" hidden="1" thickBot="1" x14ac:dyDescent="0.55000000000000004">
      <c r="A1279" s="36">
        <v>1502</v>
      </c>
      <c r="B1279" s="37" t="s">
        <v>3570</v>
      </c>
      <c r="C1279" s="37" t="s">
        <v>3571</v>
      </c>
      <c r="D1279" s="37" t="s">
        <v>3322</v>
      </c>
      <c r="E1279" s="37" t="s">
        <v>2880</v>
      </c>
      <c r="F1279" s="37" t="s">
        <v>3324</v>
      </c>
      <c r="G1279" s="37" t="s">
        <v>3324</v>
      </c>
      <c r="H1279" s="37" t="s">
        <v>3324</v>
      </c>
      <c r="I1279" s="37" t="s">
        <v>92</v>
      </c>
      <c r="J1279" s="37" t="s">
        <v>92</v>
      </c>
      <c r="K1279" s="37" t="s">
        <v>92</v>
      </c>
      <c r="L1279" s="36">
        <v>2</v>
      </c>
      <c r="M1279" s="36">
        <v>2</v>
      </c>
      <c r="N1279" s="36">
        <v>2</v>
      </c>
      <c r="O1279" s="36">
        <v>4</v>
      </c>
      <c r="P1279" s="37" t="s">
        <v>292</v>
      </c>
      <c r="Q1279" s="37"/>
      <c r="R1279" s="37" t="s">
        <v>3572</v>
      </c>
    </row>
    <row r="1280" spans="1:18" ht="41.35" hidden="1" thickBot="1" x14ac:dyDescent="0.55000000000000004">
      <c r="A1280" s="36">
        <v>1503</v>
      </c>
      <c r="B1280" s="37" t="s">
        <v>3573</v>
      </c>
      <c r="C1280" s="37" t="s">
        <v>3573</v>
      </c>
      <c r="D1280" s="37" t="s">
        <v>3322</v>
      </c>
      <c r="E1280" s="37" t="s">
        <v>2880</v>
      </c>
      <c r="F1280" s="37" t="s">
        <v>3258</v>
      </c>
      <c r="G1280" s="37" t="s">
        <v>3258</v>
      </c>
      <c r="H1280" s="37" t="s">
        <v>3258</v>
      </c>
      <c r="I1280" s="37" t="s">
        <v>3259</v>
      </c>
      <c r="J1280" s="37" t="s">
        <v>92</v>
      </c>
      <c r="K1280" s="37" t="s">
        <v>92</v>
      </c>
      <c r="L1280" s="36">
        <v>1</v>
      </c>
      <c r="M1280" s="36">
        <v>1</v>
      </c>
      <c r="N1280" s="36">
        <v>1</v>
      </c>
      <c r="O1280" s="36">
        <v>5</v>
      </c>
      <c r="P1280" s="37" t="s">
        <v>292</v>
      </c>
      <c r="Q1280" s="37" t="s">
        <v>3574</v>
      </c>
      <c r="R1280" s="37" t="s">
        <v>3575</v>
      </c>
    </row>
    <row r="1281" spans="1:18" ht="27.7" hidden="1" thickBot="1" x14ac:dyDescent="0.55000000000000004">
      <c r="A1281" s="36">
        <v>1504</v>
      </c>
      <c r="B1281" s="37" t="s">
        <v>3576</v>
      </c>
      <c r="C1281" s="37" t="s">
        <v>3573</v>
      </c>
      <c r="D1281" s="37" t="s">
        <v>3322</v>
      </c>
      <c r="E1281" s="37" t="s">
        <v>2880</v>
      </c>
      <c r="F1281" s="37" t="s">
        <v>3258</v>
      </c>
      <c r="G1281" s="37" t="s">
        <v>3258</v>
      </c>
      <c r="H1281" s="37" t="s">
        <v>3258</v>
      </c>
      <c r="I1281" s="37" t="s">
        <v>3259</v>
      </c>
      <c r="J1281" s="37" t="s">
        <v>92</v>
      </c>
      <c r="K1281" s="37" t="s">
        <v>92</v>
      </c>
      <c r="L1281" s="36">
        <v>2</v>
      </c>
      <c r="M1281" s="36">
        <v>2</v>
      </c>
      <c r="N1281" s="36">
        <v>2</v>
      </c>
      <c r="O1281" s="36">
        <v>4</v>
      </c>
      <c r="P1281" s="37" t="s">
        <v>292</v>
      </c>
      <c r="Q1281" s="37" t="s">
        <v>3577</v>
      </c>
      <c r="R1281" s="37" t="s">
        <v>3578</v>
      </c>
    </row>
    <row r="1282" spans="1:18" ht="27.7" hidden="1" thickBot="1" x14ac:dyDescent="0.55000000000000004">
      <c r="A1282" s="36">
        <v>1505</v>
      </c>
      <c r="B1282" s="37" t="s">
        <v>3579</v>
      </c>
      <c r="C1282" s="37" t="s">
        <v>3580</v>
      </c>
      <c r="D1282" s="37" t="s">
        <v>3564</v>
      </c>
      <c r="E1282" s="37" t="s">
        <v>2880</v>
      </c>
      <c r="F1282" s="37" t="s">
        <v>3258</v>
      </c>
      <c r="G1282" s="37" t="s">
        <v>3258</v>
      </c>
      <c r="H1282" s="37" t="s">
        <v>3258</v>
      </c>
      <c r="I1282" s="37" t="s">
        <v>3259</v>
      </c>
      <c r="J1282" s="37" t="s">
        <v>92</v>
      </c>
      <c r="K1282" s="37" t="s">
        <v>92</v>
      </c>
      <c r="L1282" s="36">
        <v>1</v>
      </c>
      <c r="M1282" s="36">
        <v>1</v>
      </c>
      <c r="N1282" s="36">
        <v>1</v>
      </c>
      <c r="O1282" s="36">
        <v>4</v>
      </c>
      <c r="P1282" s="37" t="s">
        <v>292</v>
      </c>
      <c r="Q1282" s="37" t="s">
        <v>3581</v>
      </c>
      <c r="R1282" s="37" t="s">
        <v>3582</v>
      </c>
    </row>
    <row r="1283" spans="1:18" ht="14.7" hidden="1" thickBot="1" x14ac:dyDescent="0.55000000000000004">
      <c r="A1283" s="36">
        <v>1506</v>
      </c>
      <c r="B1283" s="37" t="s">
        <v>3580</v>
      </c>
      <c r="C1283" s="37" t="s">
        <v>3580</v>
      </c>
      <c r="D1283" s="37" t="s">
        <v>3564</v>
      </c>
      <c r="E1283" s="37" t="s">
        <v>2880</v>
      </c>
      <c r="F1283" s="37" t="s">
        <v>3258</v>
      </c>
      <c r="G1283" s="37" t="s">
        <v>3258</v>
      </c>
      <c r="H1283" s="37" t="s">
        <v>3258</v>
      </c>
      <c r="I1283" s="37" t="s">
        <v>3259</v>
      </c>
      <c r="J1283" s="37" t="s">
        <v>92</v>
      </c>
      <c r="K1283" s="37" t="s">
        <v>92</v>
      </c>
      <c r="L1283" s="36">
        <v>2</v>
      </c>
      <c r="M1283" s="36">
        <v>2</v>
      </c>
      <c r="N1283" s="36">
        <v>2</v>
      </c>
      <c r="O1283" s="36">
        <v>5</v>
      </c>
      <c r="P1283" s="37" t="s">
        <v>292</v>
      </c>
      <c r="Q1283" s="37" t="s">
        <v>3583</v>
      </c>
      <c r="R1283" s="37" t="s">
        <v>3584</v>
      </c>
    </row>
    <row r="1284" spans="1:18" ht="27.7" hidden="1" thickBot="1" x14ac:dyDescent="0.55000000000000004">
      <c r="A1284" s="36">
        <v>1507</v>
      </c>
      <c r="B1284" s="37" t="s">
        <v>3585</v>
      </c>
      <c r="C1284" s="37" t="s">
        <v>3255</v>
      </c>
      <c r="D1284" s="37" t="s">
        <v>3256</v>
      </c>
      <c r="E1284" s="37" t="s">
        <v>2880</v>
      </c>
      <c r="F1284" s="37" t="s">
        <v>3462</v>
      </c>
      <c r="G1284" s="37" t="s">
        <v>3258</v>
      </c>
      <c r="H1284" s="37" t="s">
        <v>3258</v>
      </c>
      <c r="I1284" s="37" t="s">
        <v>3259</v>
      </c>
      <c r="J1284" s="37" t="s">
        <v>3259</v>
      </c>
      <c r="K1284" s="37" t="s">
        <v>3259</v>
      </c>
      <c r="L1284" s="36">
        <v>3</v>
      </c>
      <c r="M1284" s="36">
        <v>3</v>
      </c>
      <c r="N1284" s="36">
        <v>3</v>
      </c>
      <c r="O1284" s="36">
        <v>5</v>
      </c>
      <c r="P1284" s="37" t="s">
        <v>292</v>
      </c>
      <c r="Q1284" s="37" t="s">
        <v>3586</v>
      </c>
      <c r="R1284" s="37" t="s">
        <v>3587</v>
      </c>
    </row>
    <row r="1285" spans="1:18" ht="14.7" hidden="1" thickBot="1" x14ac:dyDescent="0.55000000000000004">
      <c r="A1285" s="36">
        <v>1508</v>
      </c>
      <c r="B1285" s="37" t="s">
        <v>3588</v>
      </c>
      <c r="C1285" s="37" t="s">
        <v>3588</v>
      </c>
      <c r="D1285" s="37" t="s">
        <v>3564</v>
      </c>
      <c r="E1285" s="37" t="s">
        <v>2880</v>
      </c>
      <c r="F1285" s="37" t="s">
        <v>3258</v>
      </c>
      <c r="G1285" s="37" t="s">
        <v>3258</v>
      </c>
      <c r="H1285" s="37" t="s">
        <v>3258</v>
      </c>
      <c r="I1285" s="37" t="s">
        <v>92</v>
      </c>
      <c r="J1285" s="37" t="s">
        <v>92</v>
      </c>
      <c r="K1285" s="37" t="s">
        <v>92</v>
      </c>
      <c r="L1285" s="36">
        <v>2</v>
      </c>
      <c r="M1285" s="36">
        <v>2</v>
      </c>
      <c r="N1285" s="36">
        <v>2</v>
      </c>
      <c r="O1285" s="36">
        <v>4</v>
      </c>
      <c r="P1285" s="37" t="s">
        <v>292</v>
      </c>
      <c r="Q1285" s="37" t="s">
        <v>3589</v>
      </c>
      <c r="R1285" s="37" t="s">
        <v>3590</v>
      </c>
    </row>
    <row r="1286" spans="1:18" ht="27.7" hidden="1" thickBot="1" x14ac:dyDescent="0.55000000000000004">
      <c r="A1286" s="36">
        <v>1511</v>
      </c>
      <c r="B1286" s="37" t="s">
        <v>3458</v>
      </c>
      <c r="C1286" s="37" t="s">
        <v>3458</v>
      </c>
      <c r="D1286" s="37" t="s">
        <v>2879</v>
      </c>
      <c r="E1286" s="37" t="s">
        <v>2880</v>
      </c>
      <c r="F1286" s="37" t="s">
        <v>1980</v>
      </c>
      <c r="G1286" s="37" t="s">
        <v>1980</v>
      </c>
      <c r="H1286" s="37" t="s">
        <v>1972</v>
      </c>
      <c r="I1286" s="37" t="s">
        <v>2939</v>
      </c>
      <c r="J1286" s="37" t="s">
        <v>2939</v>
      </c>
      <c r="K1286" s="37" t="s">
        <v>2939</v>
      </c>
      <c r="L1286" s="36">
        <v>2</v>
      </c>
      <c r="M1286" s="36">
        <v>2</v>
      </c>
      <c r="N1286" s="36">
        <v>2</v>
      </c>
      <c r="O1286" s="36">
        <v>3</v>
      </c>
      <c r="P1286" s="37" t="s">
        <v>292</v>
      </c>
      <c r="Q1286" s="37"/>
      <c r="R1286" s="37" t="s">
        <v>3591</v>
      </c>
    </row>
    <row r="1287" spans="1:18" ht="14.7" hidden="1" thickBot="1" x14ac:dyDescent="0.55000000000000004">
      <c r="A1287" s="36">
        <v>1513</v>
      </c>
      <c r="B1287" s="37" t="s">
        <v>3321</v>
      </c>
      <c r="C1287" s="37" t="s">
        <v>3321</v>
      </c>
      <c r="D1287" s="37" t="s">
        <v>3322</v>
      </c>
      <c r="E1287" s="37" t="s">
        <v>2880</v>
      </c>
      <c r="F1287" s="37" t="s">
        <v>3323</v>
      </c>
      <c r="G1287" s="37" t="s">
        <v>3323</v>
      </c>
      <c r="H1287" s="37" t="s">
        <v>3324</v>
      </c>
      <c r="I1287" s="37" t="s">
        <v>115</v>
      </c>
      <c r="J1287" s="37" t="s">
        <v>115</v>
      </c>
      <c r="K1287" s="37" t="s">
        <v>92</v>
      </c>
      <c r="L1287" s="36">
        <v>3</v>
      </c>
      <c r="M1287" s="36">
        <v>3</v>
      </c>
      <c r="N1287" s="36">
        <v>3</v>
      </c>
      <c r="O1287" s="36">
        <v>4</v>
      </c>
      <c r="P1287" s="37" t="s">
        <v>292</v>
      </c>
      <c r="Q1287" s="37"/>
      <c r="R1287" s="37" t="s">
        <v>3592</v>
      </c>
    </row>
    <row r="1288" spans="1:18" ht="14.7" hidden="1" thickBot="1" x14ac:dyDescent="0.55000000000000004">
      <c r="A1288" s="36">
        <v>1514</v>
      </c>
      <c r="B1288" s="37" t="s">
        <v>3593</v>
      </c>
      <c r="C1288" s="37" t="s">
        <v>3594</v>
      </c>
      <c r="D1288" s="37" t="s">
        <v>3421</v>
      </c>
      <c r="E1288" s="37" t="s">
        <v>1785</v>
      </c>
      <c r="F1288" s="37" t="s">
        <v>3389</v>
      </c>
      <c r="G1288" s="37" t="s">
        <v>3389</v>
      </c>
      <c r="H1288" s="37" t="s">
        <v>3324</v>
      </c>
      <c r="I1288" s="37" t="s">
        <v>1465</v>
      </c>
      <c r="J1288" s="37" t="s">
        <v>1465</v>
      </c>
      <c r="K1288" s="37" t="s">
        <v>92</v>
      </c>
      <c r="L1288" s="36">
        <v>1</v>
      </c>
      <c r="M1288" s="36">
        <v>1</v>
      </c>
      <c r="N1288" s="36">
        <v>1</v>
      </c>
      <c r="O1288" s="36">
        <v>2</v>
      </c>
      <c r="P1288" s="37" t="s">
        <v>292</v>
      </c>
      <c r="Q1288" s="37"/>
      <c r="R1288" s="37" t="s">
        <v>3595</v>
      </c>
    </row>
    <row r="1289" spans="1:18" ht="27.7" hidden="1" thickBot="1" x14ac:dyDescent="0.55000000000000004">
      <c r="A1289" s="36">
        <v>1515</v>
      </c>
      <c r="B1289" s="37" t="s">
        <v>3596</v>
      </c>
      <c r="C1289" s="37" t="s">
        <v>3321</v>
      </c>
      <c r="D1289" s="37" t="s">
        <v>3322</v>
      </c>
      <c r="E1289" s="37" t="s">
        <v>2880</v>
      </c>
      <c r="F1289" s="37" t="s">
        <v>3323</v>
      </c>
      <c r="G1289" s="37" t="s">
        <v>3323</v>
      </c>
      <c r="H1289" s="37" t="s">
        <v>3389</v>
      </c>
      <c r="I1289" s="37" t="s">
        <v>115</v>
      </c>
      <c r="J1289" s="37" t="s">
        <v>115</v>
      </c>
      <c r="K1289" s="37" t="s">
        <v>92</v>
      </c>
      <c r="L1289" s="36">
        <v>2</v>
      </c>
      <c r="M1289" s="36">
        <v>2</v>
      </c>
      <c r="N1289" s="36">
        <v>2</v>
      </c>
      <c r="O1289" s="36">
        <v>3</v>
      </c>
      <c r="P1289" s="37" t="s">
        <v>292</v>
      </c>
      <c r="Q1289" s="37"/>
      <c r="R1289" s="37" t="s">
        <v>3597</v>
      </c>
    </row>
    <row r="1290" spans="1:18" ht="14.7" hidden="1" thickBot="1" x14ac:dyDescent="0.55000000000000004">
      <c r="A1290" s="36">
        <v>1516</v>
      </c>
      <c r="B1290" s="37" t="s">
        <v>3426</v>
      </c>
      <c r="C1290" s="37" t="s">
        <v>3426</v>
      </c>
      <c r="D1290" s="37" t="s">
        <v>3421</v>
      </c>
      <c r="E1290" s="37" t="s">
        <v>1785</v>
      </c>
      <c r="F1290" s="37" t="s">
        <v>3389</v>
      </c>
      <c r="G1290" s="37" t="s">
        <v>3389</v>
      </c>
      <c r="H1290" s="37" t="s">
        <v>3389</v>
      </c>
      <c r="I1290" s="37" t="s">
        <v>1465</v>
      </c>
      <c r="J1290" s="37" t="s">
        <v>1465</v>
      </c>
      <c r="K1290" s="37" t="s">
        <v>1465</v>
      </c>
      <c r="L1290" s="36">
        <v>1</v>
      </c>
      <c r="M1290" s="36">
        <v>1</v>
      </c>
      <c r="N1290" s="36">
        <v>1</v>
      </c>
      <c r="O1290" s="36">
        <v>2</v>
      </c>
      <c r="P1290" s="37" t="s">
        <v>292</v>
      </c>
      <c r="Q1290" s="37"/>
      <c r="R1290" s="37" t="s">
        <v>3598</v>
      </c>
    </row>
    <row r="1291" spans="1:18" ht="27.7" hidden="1" thickBot="1" x14ac:dyDescent="0.55000000000000004">
      <c r="A1291" s="36">
        <v>1517</v>
      </c>
      <c r="B1291" s="37" t="s">
        <v>3599</v>
      </c>
      <c r="C1291" s="37" t="s">
        <v>3420</v>
      </c>
      <c r="D1291" s="37" t="s">
        <v>3421</v>
      </c>
      <c r="E1291" s="37" t="s">
        <v>1785</v>
      </c>
      <c r="F1291" s="37" t="s">
        <v>3389</v>
      </c>
      <c r="G1291" s="37" t="s">
        <v>3389</v>
      </c>
      <c r="H1291" s="37" t="s">
        <v>3389</v>
      </c>
      <c r="I1291" s="37" t="s">
        <v>2655</v>
      </c>
      <c r="J1291" s="37" t="s">
        <v>2655</v>
      </c>
      <c r="K1291" s="37" t="s">
        <v>92</v>
      </c>
      <c r="L1291" s="36">
        <v>1</v>
      </c>
      <c r="M1291" s="36">
        <v>1</v>
      </c>
      <c r="N1291" s="36">
        <v>1</v>
      </c>
      <c r="O1291" s="36">
        <v>3</v>
      </c>
      <c r="P1291" s="37" t="s">
        <v>292</v>
      </c>
      <c r="Q1291" s="37"/>
      <c r="R1291" s="37" t="s">
        <v>3600</v>
      </c>
    </row>
    <row r="1292" spans="1:18" ht="27.7" hidden="1" thickBot="1" x14ac:dyDescent="0.55000000000000004">
      <c r="A1292" s="36">
        <v>1518</v>
      </c>
      <c r="B1292" s="37" t="s">
        <v>3601</v>
      </c>
      <c r="C1292" s="37" t="s">
        <v>3393</v>
      </c>
      <c r="D1292" s="37" t="s">
        <v>3378</v>
      </c>
      <c r="E1292" s="37" t="s">
        <v>1959</v>
      </c>
      <c r="F1292" s="37" t="s">
        <v>3388</v>
      </c>
      <c r="G1292" s="37" t="s">
        <v>3388</v>
      </c>
      <c r="H1292" s="37" t="s">
        <v>3389</v>
      </c>
      <c r="I1292" s="37" t="s">
        <v>92</v>
      </c>
      <c r="J1292" s="37" t="s">
        <v>92</v>
      </c>
      <c r="K1292" s="37" t="s">
        <v>92</v>
      </c>
      <c r="L1292" s="36">
        <v>2</v>
      </c>
      <c r="M1292" s="36">
        <v>2</v>
      </c>
      <c r="N1292" s="36">
        <v>2</v>
      </c>
      <c r="O1292" s="36">
        <v>3</v>
      </c>
      <c r="P1292" s="37" t="s">
        <v>292</v>
      </c>
      <c r="Q1292" s="37"/>
      <c r="R1292" s="37" t="s">
        <v>3602</v>
      </c>
    </row>
    <row r="1293" spans="1:18" ht="27.7" hidden="1" thickBot="1" x14ac:dyDescent="0.55000000000000004">
      <c r="A1293" s="36">
        <v>1519</v>
      </c>
      <c r="B1293" s="37" t="s">
        <v>3603</v>
      </c>
      <c r="C1293" s="37" t="s">
        <v>3393</v>
      </c>
      <c r="D1293" s="37" t="s">
        <v>3378</v>
      </c>
      <c r="E1293" s="37" t="s">
        <v>1959</v>
      </c>
      <c r="F1293" s="37" t="s">
        <v>3388</v>
      </c>
      <c r="G1293" s="37" t="s">
        <v>3388</v>
      </c>
      <c r="H1293" s="37" t="s">
        <v>3389</v>
      </c>
      <c r="I1293" s="37" t="s">
        <v>92</v>
      </c>
      <c r="J1293" s="37" t="s">
        <v>92</v>
      </c>
      <c r="K1293" s="37" t="s">
        <v>92</v>
      </c>
      <c r="L1293" s="36">
        <v>1</v>
      </c>
      <c r="M1293" s="36">
        <v>1</v>
      </c>
      <c r="N1293" s="36">
        <v>1</v>
      </c>
      <c r="O1293" s="36">
        <v>2</v>
      </c>
      <c r="P1293" s="37" t="s">
        <v>292</v>
      </c>
      <c r="Q1293" s="37"/>
      <c r="R1293" s="37" t="s">
        <v>3604</v>
      </c>
    </row>
    <row r="1294" spans="1:18" ht="27.7" hidden="1" thickBot="1" x14ac:dyDescent="0.55000000000000004">
      <c r="A1294" s="36">
        <v>1520</v>
      </c>
      <c r="B1294" s="37" t="s">
        <v>3605</v>
      </c>
      <c r="C1294" s="37" t="s">
        <v>3393</v>
      </c>
      <c r="D1294" s="37" t="s">
        <v>3378</v>
      </c>
      <c r="E1294" s="37" t="s">
        <v>1959</v>
      </c>
      <c r="F1294" s="37" t="s">
        <v>3388</v>
      </c>
      <c r="G1294" s="37" t="s">
        <v>3388</v>
      </c>
      <c r="H1294" s="37" t="s">
        <v>3389</v>
      </c>
      <c r="I1294" s="37" t="s">
        <v>92</v>
      </c>
      <c r="J1294" s="37" t="s">
        <v>92</v>
      </c>
      <c r="K1294" s="37" t="s">
        <v>92</v>
      </c>
      <c r="L1294" s="36">
        <v>2</v>
      </c>
      <c r="M1294" s="36">
        <v>2</v>
      </c>
      <c r="N1294" s="36">
        <v>2</v>
      </c>
      <c r="O1294" s="36">
        <v>2</v>
      </c>
      <c r="P1294" s="37" t="s">
        <v>292</v>
      </c>
      <c r="Q1294" s="37"/>
      <c r="R1294" s="37" t="s">
        <v>3606</v>
      </c>
    </row>
    <row r="1295" spans="1:18" ht="27.7" hidden="1" thickBot="1" x14ac:dyDescent="0.55000000000000004">
      <c r="A1295" s="36">
        <v>1521</v>
      </c>
      <c r="B1295" s="37" t="s">
        <v>3607</v>
      </c>
      <c r="C1295" s="37" t="s">
        <v>3396</v>
      </c>
      <c r="D1295" s="37" t="s">
        <v>3378</v>
      </c>
      <c r="E1295" s="37" t="s">
        <v>1959</v>
      </c>
      <c r="F1295" s="37" t="s">
        <v>3388</v>
      </c>
      <c r="G1295" s="37" t="s">
        <v>3388</v>
      </c>
      <c r="H1295" s="37" t="s">
        <v>3389</v>
      </c>
      <c r="I1295" s="37" t="s">
        <v>92</v>
      </c>
      <c r="J1295" s="37" t="s">
        <v>92</v>
      </c>
      <c r="K1295" s="37" t="s">
        <v>92</v>
      </c>
      <c r="L1295" s="36">
        <v>3</v>
      </c>
      <c r="M1295" s="36">
        <v>3</v>
      </c>
      <c r="N1295" s="36">
        <v>3</v>
      </c>
      <c r="O1295" s="36">
        <v>4</v>
      </c>
      <c r="P1295" s="37" t="s">
        <v>292</v>
      </c>
      <c r="Q1295" s="37"/>
      <c r="R1295" s="37" t="s">
        <v>3608</v>
      </c>
    </row>
    <row r="1296" spans="1:18" ht="27.7" hidden="1" thickBot="1" x14ac:dyDescent="0.55000000000000004">
      <c r="A1296" s="36">
        <v>1522</v>
      </c>
      <c r="B1296" s="37" t="s">
        <v>3609</v>
      </c>
      <c r="C1296" s="37" t="s">
        <v>3378</v>
      </c>
      <c r="D1296" s="37" t="s">
        <v>3378</v>
      </c>
      <c r="E1296" s="37" t="s">
        <v>1959</v>
      </c>
      <c r="F1296" s="37" t="s">
        <v>3388</v>
      </c>
      <c r="G1296" s="37" t="s">
        <v>3388</v>
      </c>
      <c r="H1296" s="37" t="s">
        <v>3389</v>
      </c>
      <c r="I1296" s="37" t="s">
        <v>92</v>
      </c>
      <c r="J1296" s="37" t="s">
        <v>92</v>
      </c>
      <c r="K1296" s="37" t="s">
        <v>88</v>
      </c>
      <c r="L1296" s="36">
        <v>1</v>
      </c>
      <c r="M1296" s="36">
        <v>1</v>
      </c>
      <c r="N1296" s="36">
        <v>1</v>
      </c>
      <c r="O1296" s="36">
        <v>2</v>
      </c>
      <c r="P1296" s="37" t="s">
        <v>292</v>
      </c>
      <c r="Q1296" s="37"/>
      <c r="R1296" s="37" t="s">
        <v>3610</v>
      </c>
    </row>
    <row r="1297" spans="1:18" ht="14.7" hidden="1" thickBot="1" x14ac:dyDescent="0.55000000000000004">
      <c r="A1297" s="36">
        <v>1523</v>
      </c>
      <c r="B1297" s="37" t="s">
        <v>3611</v>
      </c>
      <c r="C1297" s="37" t="s">
        <v>3378</v>
      </c>
      <c r="D1297" s="37" t="s">
        <v>3378</v>
      </c>
      <c r="E1297" s="37" t="s">
        <v>1959</v>
      </c>
      <c r="F1297" s="37" t="s">
        <v>3379</v>
      </c>
      <c r="G1297" s="37" t="s">
        <v>3379</v>
      </c>
      <c r="H1297" s="37" t="s">
        <v>3347</v>
      </c>
      <c r="I1297" s="37" t="s">
        <v>92</v>
      </c>
      <c r="J1297" s="37" t="s">
        <v>92</v>
      </c>
      <c r="K1297" s="37" t="s">
        <v>88</v>
      </c>
      <c r="L1297" s="36">
        <v>3</v>
      </c>
      <c r="M1297" s="36">
        <v>3</v>
      </c>
      <c r="N1297" s="36">
        <v>3</v>
      </c>
      <c r="O1297" s="36">
        <v>3</v>
      </c>
      <c r="P1297" s="37" t="s">
        <v>292</v>
      </c>
      <c r="Q1297" s="37"/>
      <c r="R1297" s="37" t="s">
        <v>3612</v>
      </c>
    </row>
    <row r="1298" spans="1:18" ht="27.7" hidden="1" thickBot="1" x14ac:dyDescent="0.55000000000000004">
      <c r="A1298" s="36">
        <v>1524</v>
      </c>
      <c r="B1298" s="37" t="s">
        <v>3613</v>
      </c>
      <c r="C1298" s="37" t="s">
        <v>3378</v>
      </c>
      <c r="D1298" s="37" t="s">
        <v>3378</v>
      </c>
      <c r="E1298" s="37" t="s">
        <v>1959</v>
      </c>
      <c r="F1298" s="37" t="s">
        <v>3379</v>
      </c>
      <c r="G1298" s="37" t="s">
        <v>3379</v>
      </c>
      <c r="H1298" s="37" t="s">
        <v>3347</v>
      </c>
      <c r="I1298" s="37" t="s">
        <v>92</v>
      </c>
      <c r="J1298" s="37" t="s">
        <v>92</v>
      </c>
      <c r="K1298" s="37" t="s">
        <v>88</v>
      </c>
      <c r="L1298" s="36">
        <v>1</v>
      </c>
      <c r="M1298" s="36">
        <v>1</v>
      </c>
      <c r="N1298" s="36">
        <v>1</v>
      </c>
      <c r="O1298" s="36">
        <v>2</v>
      </c>
      <c r="P1298" s="37" t="s">
        <v>292</v>
      </c>
      <c r="Q1298" s="37"/>
      <c r="R1298" s="37" t="s">
        <v>3614</v>
      </c>
    </row>
    <row r="1299" spans="1:18" ht="27.7" hidden="1" thickBot="1" x14ac:dyDescent="0.55000000000000004">
      <c r="A1299" s="36">
        <v>1525</v>
      </c>
      <c r="B1299" s="37" t="s">
        <v>3615</v>
      </c>
      <c r="C1299" s="37" t="s">
        <v>3382</v>
      </c>
      <c r="D1299" s="37" t="s">
        <v>3378</v>
      </c>
      <c r="E1299" s="37" t="s">
        <v>1959</v>
      </c>
      <c r="F1299" s="37" t="s">
        <v>3379</v>
      </c>
      <c r="G1299" s="37" t="s">
        <v>3379</v>
      </c>
      <c r="H1299" s="37" t="s">
        <v>3347</v>
      </c>
      <c r="I1299" s="37" t="s">
        <v>92</v>
      </c>
      <c r="J1299" s="37" t="s">
        <v>92</v>
      </c>
      <c r="K1299" s="37" t="s">
        <v>88</v>
      </c>
      <c r="L1299" s="36">
        <v>2</v>
      </c>
      <c r="M1299" s="36">
        <v>2</v>
      </c>
      <c r="N1299" s="36">
        <v>2</v>
      </c>
      <c r="O1299" s="36">
        <v>3</v>
      </c>
      <c r="P1299" s="37" t="s">
        <v>292</v>
      </c>
      <c r="Q1299" s="37"/>
      <c r="R1299" s="37" t="s">
        <v>3616</v>
      </c>
    </row>
    <row r="1300" spans="1:18" ht="14.7" hidden="1" thickBot="1" x14ac:dyDescent="0.55000000000000004">
      <c r="A1300" s="36">
        <v>1526</v>
      </c>
      <c r="B1300" s="37" t="s">
        <v>3617</v>
      </c>
      <c r="C1300" s="37" t="s">
        <v>3382</v>
      </c>
      <c r="D1300" s="37" t="s">
        <v>3378</v>
      </c>
      <c r="E1300" s="37" t="s">
        <v>1959</v>
      </c>
      <c r="F1300" s="37" t="s">
        <v>3379</v>
      </c>
      <c r="G1300" s="37" t="s">
        <v>3379</v>
      </c>
      <c r="H1300" s="37" t="s">
        <v>3347</v>
      </c>
      <c r="I1300" s="37" t="s">
        <v>92</v>
      </c>
      <c r="J1300" s="37" t="s">
        <v>92</v>
      </c>
      <c r="K1300" s="37" t="s">
        <v>88</v>
      </c>
      <c r="L1300" s="36">
        <v>1</v>
      </c>
      <c r="M1300" s="36">
        <v>1</v>
      </c>
      <c r="N1300" s="36">
        <v>1</v>
      </c>
      <c r="O1300" s="36">
        <v>2</v>
      </c>
      <c r="P1300" s="37" t="s">
        <v>292</v>
      </c>
      <c r="Q1300" s="37"/>
      <c r="R1300" s="37" t="s">
        <v>3618</v>
      </c>
    </row>
    <row r="1301" spans="1:18" ht="27.7" hidden="1" thickBot="1" x14ac:dyDescent="0.55000000000000004">
      <c r="A1301" s="36">
        <v>1527</v>
      </c>
      <c r="B1301" s="37" t="s">
        <v>3619</v>
      </c>
      <c r="C1301" s="37" t="s">
        <v>3382</v>
      </c>
      <c r="D1301" s="37" t="s">
        <v>3378</v>
      </c>
      <c r="E1301" s="37" t="s">
        <v>1959</v>
      </c>
      <c r="F1301" s="37" t="s">
        <v>3388</v>
      </c>
      <c r="G1301" s="37" t="s">
        <v>3388</v>
      </c>
      <c r="H1301" s="37" t="s">
        <v>3389</v>
      </c>
      <c r="I1301" s="37" t="s">
        <v>92</v>
      </c>
      <c r="J1301" s="37" t="s">
        <v>92</v>
      </c>
      <c r="K1301" s="37" t="s">
        <v>88</v>
      </c>
      <c r="L1301" s="36">
        <v>2</v>
      </c>
      <c r="M1301" s="36">
        <v>2</v>
      </c>
      <c r="N1301" s="36">
        <v>2</v>
      </c>
      <c r="O1301" s="36">
        <v>3</v>
      </c>
      <c r="P1301" s="37" t="s">
        <v>292</v>
      </c>
      <c r="Q1301" s="37"/>
      <c r="R1301" s="37" t="s">
        <v>3620</v>
      </c>
    </row>
    <row r="1302" spans="1:18" ht="27.7" hidden="1" thickBot="1" x14ac:dyDescent="0.55000000000000004">
      <c r="A1302" s="36">
        <v>1528</v>
      </c>
      <c r="B1302" s="37" t="s">
        <v>3621</v>
      </c>
      <c r="C1302" s="37" t="s">
        <v>3396</v>
      </c>
      <c r="D1302" s="37" t="s">
        <v>3378</v>
      </c>
      <c r="E1302" s="37" t="s">
        <v>1959</v>
      </c>
      <c r="F1302" s="37" t="s">
        <v>3388</v>
      </c>
      <c r="G1302" s="37" t="s">
        <v>3388</v>
      </c>
      <c r="H1302" s="37" t="s">
        <v>3389</v>
      </c>
      <c r="I1302" s="37" t="s">
        <v>92</v>
      </c>
      <c r="J1302" s="37" t="s">
        <v>92</v>
      </c>
      <c r="K1302" s="37" t="s">
        <v>92</v>
      </c>
      <c r="L1302" s="36">
        <v>1</v>
      </c>
      <c r="M1302" s="36">
        <v>1</v>
      </c>
      <c r="N1302" s="36">
        <v>1</v>
      </c>
      <c r="O1302" s="36">
        <v>3</v>
      </c>
      <c r="P1302" s="37" t="s">
        <v>292</v>
      </c>
      <c r="Q1302" s="37"/>
      <c r="R1302" s="37" t="s">
        <v>3622</v>
      </c>
    </row>
    <row r="1303" spans="1:18" ht="27.7" hidden="1" thickBot="1" x14ac:dyDescent="0.55000000000000004">
      <c r="A1303" s="36">
        <v>1530</v>
      </c>
      <c r="B1303" s="37" t="s">
        <v>3623</v>
      </c>
      <c r="C1303" s="37" t="s">
        <v>2563</v>
      </c>
      <c r="D1303" s="37" t="s">
        <v>2036</v>
      </c>
      <c r="E1303" s="37" t="s">
        <v>2037</v>
      </c>
      <c r="F1303" s="37" t="s">
        <v>2134</v>
      </c>
      <c r="G1303" s="37" t="s">
        <v>2134</v>
      </c>
      <c r="H1303" s="37" t="s">
        <v>2134</v>
      </c>
      <c r="I1303" s="37" t="s">
        <v>88</v>
      </c>
      <c r="J1303" s="37" t="s">
        <v>88</v>
      </c>
      <c r="K1303" s="37" t="s">
        <v>88</v>
      </c>
      <c r="L1303" s="36">
        <v>1</v>
      </c>
      <c r="M1303" s="36">
        <v>1</v>
      </c>
      <c r="N1303" s="36">
        <v>1</v>
      </c>
      <c r="O1303" s="36">
        <v>2</v>
      </c>
      <c r="P1303" s="37" t="s">
        <v>292</v>
      </c>
      <c r="Q1303" s="37"/>
      <c r="R1303" s="37" t="s">
        <v>3624</v>
      </c>
    </row>
    <row r="1304" spans="1:18" ht="27.7" hidden="1" thickBot="1" x14ac:dyDescent="0.55000000000000004">
      <c r="A1304" s="36">
        <v>1531</v>
      </c>
      <c r="B1304" s="37" t="s">
        <v>3625</v>
      </c>
      <c r="C1304" s="37" t="s">
        <v>2035</v>
      </c>
      <c r="D1304" s="37" t="s">
        <v>2036</v>
      </c>
      <c r="E1304" s="37" t="s">
        <v>2037</v>
      </c>
      <c r="F1304" s="37" t="s">
        <v>2030</v>
      </c>
      <c r="G1304" s="37" t="s">
        <v>2030</v>
      </c>
      <c r="H1304" s="37" t="s">
        <v>2030</v>
      </c>
      <c r="I1304" s="37" t="s">
        <v>2032</v>
      </c>
      <c r="J1304" s="37" t="s">
        <v>2032</v>
      </c>
      <c r="K1304" s="37" t="s">
        <v>2032</v>
      </c>
      <c r="L1304" s="36">
        <v>3</v>
      </c>
      <c r="M1304" s="36">
        <v>3</v>
      </c>
      <c r="N1304" s="36">
        <v>3</v>
      </c>
      <c r="O1304" s="36">
        <v>4</v>
      </c>
      <c r="P1304" s="37" t="s">
        <v>265</v>
      </c>
      <c r="Q1304" s="37"/>
      <c r="R1304" s="37" t="s">
        <v>3626</v>
      </c>
    </row>
    <row r="1305" spans="1:18" ht="27.7" hidden="1" thickBot="1" x14ac:dyDescent="0.55000000000000004">
      <c r="A1305" s="36">
        <v>1532</v>
      </c>
      <c r="B1305" s="37" t="s">
        <v>3627</v>
      </c>
      <c r="C1305" s="37" t="s">
        <v>2553</v>
      </c>
      <c r="D1305" s="37" t="s">
        <v>2547</v>
      </c>
      <c r="E1305" s="37" t="s">
        <v>2037</v>
      </c>
      <c r="F1305" s="37" t="s">
        <v>2030</v>
      </c>
      <c r="G1305" s="37" t="s">
        <v>2030</v>
      </c>
      <c r="H1305" s="37" t="s">
        <v>2030</v>
      </c>
      <c r="I1305" s="37" t="s">
        <v>88</v>
      </c>
      <c r="J1305" s="37" t="s">
        <v>88</v>
      </c>
      <c r="K1305" s="37" t="s">
        <v>88</v>
      </c>
      <c r="L1305" s="36">
        <v>3</v>
      </c>
      <c r="M1305" s="36">
        <v>3</v>
      </c>
      <c r="N1305" s="36">
        <v>3</v>
      </c>
      <c r="O1305" s="36">
        <v>4</v>
      </c>
      <c r="P1305" s="37" t="s">
        <v>265</v>
      </c>
      <c r="Q1305" s="37"/>
      <c r="R1305" s="37" t="s">
        <v>3628</v>
      </c>
    </row>
    <row r="1306" spans="1:18" ht="27.7" hidden="1" thickBot="1" x14ac:dyDescent="0.55000000000000004">
      <c r="A1306" s="36">
        <v>1533</v>
      </c>
      <c r="B1306" s="37" t="s">
        <v>3629</v>
      </c>
      <c r="C1306" s="37" t="s">
        <v>2558</v>
      </c>
      <c r="D1306" s="37" t="s">
        <v>2547</v>
      </c>
      <c r="E1306" s="37" t="s">
        <v>2037</v>
      </c>
      <c r="F1306" s="37" t="s">
        <v>2030</v>
      </c>
      <c r="G1306" s="37" t="s">
        <v>2030</v>
      </c>
      <c r="H1306" s="37" t="s">
        <v>2030</v>
      </c>
      <c r="I1306" s="37" t="s">
        <v>2452</v>
      </c>
      <c r="J1306" s="37" t="s">
        <v>2032</v>
      </c>
      <c r="K1306" s="37" t="s">
        <v>2032</v>
      </c>
      <c r="L1306" s="36">
        <v>1</v>
      </c>
      <c r="M1306" s="36">
        <v>1</v>
      </c>
      <c r="N1306" s="36">
        <v>1</v>
      </c>
      <c r="O1306" s="36">
        <v>3</v>
      </c>
      <c r="P1306" s="37" t="s">
        <v>292</v>
      </c>
      <c r="Q1306" s="37"/>
      <c r="R1306" s="37" t="s">
        <v>3630</v>
      </c>
    </row>
    <row r="1307" spans="1:18" ht="27.7" hidden="1" thickBot="1" x14ac:dyDescent="0.55000000000000004">
      <c r="A1307" s="36">
        <v>1534</v>
      </c>
      <c r="B1307" s="37" t="s">
        <v>3631</v>
      </c>
      <c r="C1307" s="37" t="s">
        <v>2558</v>
      </c>
      <c r="D1307" s="37" t="s">
        <v>2547</v>
      </c>
      <c r="E1307" s="37" t="s">
        <v>2037</v>
      </c>
      <c r="F1307" s="37" t="s">
        <v>2030</v>
      </c>
      <c r="G1307" s="37" t="s">
        <v>2030</v>
      </c>
      <c r="H1307" s="37" t="s">
        <v>2030</v>
      </c>
      <c r="I1307" s="37" t="s">
        <v>2452</v>
      </c>
      <c r="J1307" s="37" t="s">
        <v>2032</v>
      </c>
      <c r="K1307" s="37" t="s">
        <v>2032</v>
      </c>
      <c r="L1307" s="36">
        <v>1</v>
      </c>
      <c r="M1307" s="36">
        <v>1</v>
      </c>
      <c r="N1307" s="36">
        <v>1</v>
      </c>
      <c r="O1307" s="36">
        <v>3</v>
      </c>
      <c r="P1307" s="37" t="s">
        <v>292</v>
      </c>
      <c r="Q1307" s="37"/>
      <c r="R1307" s="37" t="s">
        <v>3632</v>
      </c>
    </row>
    <row r="1308" spans="1:18" ht="27.7" hidden="1" thickBot="1" x14ac:dyDescent="0.55000000000000004">
      <c r="A1308" s="36">
        <v>1535</v>
      </c>
      <c r="B1308" s="37" t="s">
        <v>3633</v>
      </c>
      <c r="C1308" s="37" t="s">
        <v>2196</v>
      </c>
      <c r="D1308" s="37" t="s">
        <v>2036</v>
      </c>
      <c r="E1308" s="37" t="s">
        <v>2037</v>
      </c>
      <c r="F1308" s="37" t="s">
        <v>2030</v>
      </c>
      <c r="G1308" s="37" t="s">
        <v>2030</v>
      </c>
      <c r="H1308" s="37" t="s">
        <v>2030</v>
      </c>
      <c r="I1308" s="37" t="s">
        <v>88</v>
      </c>
      <c r="J1308" s="37" t="s">
        <v>88</v>
      </c>
      <c r="K1308" s="37" t="s">
        <v>88</v>
      </c>
      <c r="L1308" s="36">
        <v>3</v>
      </c>
      <c r="M1308" s="36">
        <v>3</v>
      </c>
      <c r="N1308" s="36">
        <v>3</v>
      </c>
      <c r="O1308" s="36">
        <v>4</v>
      </c>
      <c r="P1308" s="37" t="s">
        <v>265</v>
      </c>
      <c r="Q1308" s="37"/>
      <c r="R1308" s="37" t="s">
        <v>3634</v>
      </c>
    </row>
    <row r="1309" spans="1:18" ht="27.7" hidden="1" thickBot="1" x14ac:dyDescent="0.55000000000000004">
      <c r="A1309" s="36">
        <v>1536</v>
      </c>
      <c r="B1309" s="37" t="s">
        <v>3635</v>
      </c>
      <c r="C1309" s="37" t="s">
        <v>2196</v>
      </c>
      <c r="D1309" s="37" t="s">
        <v>2036</v>
      </c>
      <c r="E1309" s="37" t="s">
        <v>2037</v>
      </c>
      <c r="F1309" s="37" t="s">
        <v>2030</v>
      </c>
      <c r="G1309" s="37" t="s">
        <v>2030</v>
      </c>
      <c r="H1309" s="37" t="s">
        <v>2030</v>
      </c>
      <c r="I1309" s="37" t="s">
        <v>88</v>
      </c>
      <c r="J1309" s="37" t="s">
        <v>88</v>
      </c>
      <c r="K1309" s="37" t="s">
        <v>88</v>
      </c>
      <c r="L1309" s="36">
        <v>3</v>
      </c>
      <c r="M1309" s="36">
        <v>3</v>
      </c>
      <c r="N1309" s="36">
        <v>3</v>
      </c>
      <c r="O1309" s="36">
        <v>4</v>
      </c>
      <c r="P1309" s="37" t="s">
        <v>265</v>
      </c>
      <c r="Q1309" s="37"/>
      <c r="R1309" s="37" t="s">
        <v>3636</v>
      </c>
    </row>
    <row r="1310" spans="1:18" ht="27.7" hidden="1" thickBot="1" x14ac:dyDescent="0.55000000000000004">
      <c r="A1310" s="36">
        <v>1537</v>
      </c>
      <c r="B1310" s="37" t="s">
        <v>3637</v>
      </c>
      <c r="C1310" s="37" t="s">
        <v>2071</v>
      </c>
      <c r="D1310" s="37" t="s">
        <v>1976</v>
      </c>
      <c r="E1310" s="37" t="s">
        <v>1064</v>
      </c>
      <c r="F1310" s="37" t="s">
        <v>2050</v>
      </c>
      <c r="G1310" s="37" t="s">
        <v>2050</v>
      </c>
      <c r="H1310" s="37" t="s">
        <v>2050</v>
      </c>
      <c r="I1310" s="37" t="s">
        <v>1964</v>
      </c>
      <c r="J1310" s="37" t="s">
        <v>1964</v>
      </c>
      <c r="K1310" s="37" t="s">
        <v>88</v>
      </c>
      <c r="L1310" s="36">
        <v>3</v>
      </c>
      <c r="M1310" s="36">
        <v>3</v>
      </c>
      <c r="N1310" s="36">
        <v>3</v>
      </c>
      <c r="O1310" s="36">
        <v>3</v>
      </c>
      <c r="P1310" s="37" t="s">
        <v>292</v>
      </c>
      <c r="Q1310" s="37"/>
      <c r="R1310" s="37" t="s">
        <v>3638</v>
      </c>
    </row>
    <row r="1311" spans="1:18" ht="27.7" hidden="1" thickBot="1" x14ac:dyDescent="0.55000000000000004">
      <c r="A1311" s="36">
        <v>1538</v>
      </c>
      <c r="B1311" s="37" t="s">
        <v>3639</v>
      </c>
      <c r="C1311" s="37" t="s">
        <v>2664</v>
      </c>
      <c r="D1311" s="37" t="s">
        <v>1984</v>
      </c>
      <c r="E1311" s="37" t="s">
        <v>1064</v>
      </c>
      <c r="F1311" s="37" t="s">
        <v>1972</v>
      </c>
      <c r="G1311" s="37" t="s">
        <v>1972</v>
      </c>
      <c r="H1311" s="37" t="s">
        <v>1972</v>
      </c>
      <c r="I1311" s="37" t="s">
        <v>1964</v>
      </c>
      <c r="J1311" s="37" t="s">
        <v>1964</v>
      </c>
      <c r="K1311" s="37" t="s">
        <v>1964</v>
      </c>
      <c r="L1311" s="36">
        <v>2</v>
      </c>
      <c r="M1311" s="36">
        <v>2</v>
      </c>
      <c r="N1311" s="36">
        <v>2</v>
      </c>
      <c r="O1311" s="36">
        <v>3</v>
      </c>
      <c r="P1311" s="37" t="s">
        <v>292</v>
      </c>
      <c r="Q1311" s="37"/>
      <c r="R1311" s="37" t="s">
        <v>3640</v>
      </c>
    </row>
    <row r="1312" spans="1:18" ht="27.7" hidden="1" thickBot="1" x14ac:dyDescent="0.55000000000000004">
      <c r="A1312" s="36">
        <v>1539</v>
      </c>
      <c r="B1312" s="37" t="s">
        <v>3641</v>
      </c>
      <c r="C1312" s="37" t="s">
        <v>2664</v>
      </c>
      <c r="D1312" s="37" t="s">
        <v>1984</v>
      </c>
      <c r="E1312" s="37" t="s">
        <v>1064</v>
      </c>
      <c r="F1312" s="37" t="s">
        <v>1972</v>
      </c>
      <c r="G1312" s="37" t="s">
        <v>1972</v>
      </c>
      <c r="H1312" s="37" t="s">
        <v>1972</v>
      </c>
      <c r="I1312" s="37" t="s">
        <v>92</v>
      </c>
      <c r="J1312" s="37" t="s">
        <v>92</v>
      </c>
      <c r="K1312" s="37" t="s">
        <v>88</v>
      </c>
      <c r="L1312" s="36">
        <v>2</v>
      </c>
      <c r="M1312" s="36">
        <v>2</v>
      </c>
      <c r="N1312" s="36">
        <v>2</v>
      </c>
      <c r="O1312" s="36">
        <v>3</v>
      </c>
      <c r="P1312" s="37" t="s">
        <v>292</v>
      </c>
      <c r="Q1312" s="37"/>
      <c r="R1312" s="37" t="s">
        <v>3642</v>
      </c>
    </row>
    <row r="1313" spans="1:18" ht="27.7" hidden="1" thickBot="1" x14ac:dyDescent="0.55000000000000004">
      <c r="A1313" s="36">
        <v>1540</v>
      </c>
      <c r="B1313" s="37" t="s">
        <v>3643</v>
      </c>
      <c r="C1313" s="37" t="s">
        <v>2662</v>
      </c>
      <c r="D1313" s="37" t="s">
        <v>1984</v>
      </c>
      <c r="E1313" s="37" t="s">
        <v>1064</v>
      </c>
      <c r="F1313" s="37" t="s">
        <v>1972</v>
      </c>
      <c r="G1313" s="37" t="s">
        <v>1972</v>
      </c>
      <c r="H1313" s="37" t="s">
        <v>1972</v>
      </c>
      <c r="I1313" s="37" t="s">
        <v>1964</v>
      </c>
      <c r="J1313" s="37" t="s">
        <v>1964</v>
      </c>
      <c r="K1313" s="37" t="s">
        <v>1964</v>
      </c>
      <c r="L1313" s="36">
        <v>2</v>
      </c>
      <c r="M1313" s="36">
        <v>2</v>
      </c>
      <c r="N1313" s="36">
        <v>2</v>
      </c>
      <c r="O1313" s="36">
        <v>3</v>
      </c>
      <c r="P1313" s="37" t="s">
        <v>292</v>
      </c>
      <c r="Q1313" s="37"/>
      <c r="R1313" s="37" t="s">
        <v>3644</v>
      </c>
    </row>
    <row r="1314" spans="1:18" ht="27.7" hidden="1" thickBot="1" x14ac:dyDescent="0.55000000000000004">
      <c r="A1314" s="36">
        <v>1541</v>
      </c>
      <c r="B1314" s="37" t="s">
        <v>3645</v>
      </c>
      <c r="C1314" s="37" t="s">
        <v>1983</v>
      </c>
      <c r="D1314" s="37" t="s">
        <v>1984</v>
      </c>
      <c r="E1314" s="37" t="s">
        <v>1064</v>
      </c>
      <c r="F1314" s="37" t="s">
        <v>1972</v>
      </c>
      <c r="G1314" s="37" t="s">
        <v>1972</v>
      </c>
      <c r="H1314" s="37" t="s">
        <v>1972</v>
      </c>
      <c r="I1314" s="37" t="s">
        <v>1964</v>
      </c>
      <c r="J1314" s="37" t="s">
        <v>1964</v>
      </c>
      <c r="K1314" s="37" t="s">
        <v>1964</v>
      </c>
      <c r="L1314" s="36">
        <v>2</v>
      </c>
      <c r="M1314" s="36">
        <v>2</v>
      </c>
      <c r="N1314" s="36">
        <v>2</v>
      </c>
      <c r="O1314" s="36">
        <v>3</v>
      </c>
      <c r="P1314" s="37" t="s">
        <v>292</v>
      </c>
      <c r="Q1314" s="37"/>
      <c r="R1314" s="37" t="s">
        <v>3646</v>
      </c>
    </row>
    <row r="1315" spans="1:18" ht="27.7" hidden="1" thickBot="1" x14ac:dyDescent="0.55000000000000004">
      <c r="A1315" s="36">
        <v>1542</v>
      </c>
      <c r="B1315" s="37" t="s">
        <v>3647</v>
      </c>
      <c r="C1315" s="37" t="s">
        <v>1983</v>
      </c>
      <c r="D1315" s="37" t="s">
        <v>1984</v>
      </c>
      <c r="E1315" s="37" t="s">
        <v>1064</v>
      </c>
      <c r="F1315" s="37" t="s">
        <v>1972</v>
      </c>
      <c r="G1315" s="37" t="s">
        <v>1972</v>
      </c>
      <c r="H1315" s="37" t="s">
        <v>1972</v>
      </c>
      <c r="I1315" s="37" t="s">
        <v>1964</v>
      </c>
      <c r="J1315" s="37" t="s">
        <v>1964</v>
      </c>
      <c r="K1315" s="37" t="s">
        <v>1964</v>
      </c>
      <c r="L1315" s="36">
        <v>2</v>
      </c>
      <c r="M1315" s="36">
        <v>2</v>
      </c>
      <c r="N1315" s="36">
        <v>2</v>
      </c>
      <c r="O1315" s="36">
        <v>4</v>
      </c>
      <c r="P1315" s="37" t="s">
        <v>292</v>
      </c>
      <c r="Q1315" s="37"/>
      <c r="R1315" s="37" t="s">
        <v>3648</v>
      </c>
    </row>
    <row r="1316" spans="1:18" ht="27.7" hidden="1" thickBot="1" x14ac:dyDescent="0.55000000000000004">
      <c r="A1316" s="36">
        <v>1543</v>
      </c>
      <c r="B1316" s="37" t="s">
        <v>3649</v>
      </c>
      <c r="C1316" s="37" t="s">
        <v>2953</v>
      </c>
      <c r="D1316" s="37" t="s">
        <v>1971</v>
      </c>
      <c r="E1316" s="37" t="s">
        <v>1959</v>
      </c>
      <c r="F1316" s="37" t="s">
        <v>1980</v>
      </c>
      <c r="G1316" s="37" t="s">
        <v>1980</v>
      </c>
      <c r="H1316" s="37" t="s">
        <v>1972</v>
      </c>
      <c r="I1316" s="37" t="s">
        <v>92</v>
      </c>
      <c r="J1316" s="37" t="s">
        <v>92</v>
      </c>
      <c r="K1316" s="37" t="s">
        <v>92</v>
      </c>
      <c r="L1316" s="36">
        <v>3</v>
      </c>
      <c r="M1316" s="36">
        <v>3</v>
      </c>
      <c r="N1316" s="36">
        <v>3</v>
      </c>
      <c r="O1316" s="36">
        <v>3</v>
      </c>
      <c r="P1316" s="37" t="s">
        <v>292</v>
      </c>
      <c r="Q1316" s="37"/>
      <c r="R1316" s="37" t="s">
        <v>3650</v>
      </c>
    </row>
    <row r="1317" spans="1:18" ht="27.7" hidden="1" thickBot="1" x14ac:dyDescent="0.55000000000000004">
      <c r="A1317" s="36">
        <v>1544</v>
      </c>
      <c r="B1317" s="37" t="s">
        <v>3651</v>
      </c>
      <c r="C1317" s="37" t="s">
        <v>2953</v>
      </c>
      <c r="D1317" s="37" t="s">
        <v>1971</v>
      </c>
      <c r="E1317" s="37" t="s">
        <v>1959</v>
      </c>
      <c r="F1317" s="37" t="s">
        <v>1980</v>
      </c>
      <c r="G1317" s="37" t="s">
        <v>1980</v>
      </c>
      <c r="H1317" s="37" t="s">
        <v>1972</v>
      </c>
      <c r="I1317" s="37" t="s">
        <v>92</v>
      </c>
      <c r="J1317" s="37" t="s">
        <v>92</v>
      </c>
      <c r="K1317" s="37" t="s">
        <v>92</v>
      </c>
      <c r="L1317" s="36">
        <v>3</v>
      </c>
      <c r="M1317" s="36">
        <v>3</v>
      </c>
      <c r="N1317" s="36">
        <v>3</v>
      </c>
      <c r="O1317" s="36">
        <v>4</v>
      </c>
      <c r="P1317" s="37" t="s">
        <v>292</v>
      </c>
      <c r="Q1317" s="37"/>
      <c r="R1317" s="37" t="s">
        <v>3652</v>
      </c>
    </row>
    <row r="1318" spans="1:18" ht="27.7" hidden="1" thickBot="1" x14ac:dyDescent="0.55000000000000004">
      <c r="A1318" s="36">
        <v>1545</v>
      </c>
      <c r="B1318" s="37" t="s">
        <v>3653</v>
      </c>
      <c r="C1318" s="37" t="s">
        <v>1979</v>
      </c>
      <c r="D1318" s="37" t="s">
        <v>1971</v>
      </c>
      <c r="E1318" s="37" t="s">
        <v>1959</v>
      </c>
      <c r="F1318" s="37" t="s">
        <v>1980</v>
      </c>
      <c r="G1318" s="37" t="s">
        <v>1980</v>
      </c>
      <c r="H1318" s="37" t="s">
        <v>1840</v>
      </c>
      <c r="I1318" s="37" t="s">
        <v>1964</v>
      </c>
      <c r="J1318" s="37" t="s">
        <v>1964</v>
      </c>
      <c r="K1318" s="37" t="s">
        <v>1964</v>
      </c>
      <c r="L1318" s="36">
        <v>2</v>
      </c>
      <c r="M1318" s="36">
        <v>2</v>
      </c>
      <c r="N1318" s="36">
        <v>2</v>
      </c>
      <c r="O1318" s="36">
        <v>3</v>
      </c>
      <c r="P1318" s="37" t="s">
        <v>292</v>
      </c>
      <c r="Q1318" s="37"/>
      <c r="R1318" s="37" t="s">
        <v>3654</v>
      </c>
    </row>
    <row r="1319" spans="1:18" ht="27.7" hidden="1" thickBot="1" x14ac:dyDescent="0.55000000000000004">
      <c r="A1319" s="36">
        <v>1546</v>
      </c>
      <c r="B1319" s="37" t="s">
        <v>3655</v>
      </c>
      <c r="C1319" s="37" t="s">
        <v>3346</v>
      </c>
      <c r="D1319" s="37" t="s">
        <v>1971</v>
      </c>
      <c r="E1319" s="37" t="s">
        <v>1959</v>
      </c>
      <c r="F1319" s="37" t="s">
        <v>1980</v>
      </c>
      <c r="G1319" s="37" t="s">
        <v>1980</v>
      </c>
      <c r="H1319" s="37" t="s">
        <v>3347</v>
      </c>
      <c r="I1319" s="37" t="s">
        <v>2939</v>
      </c>
      <c r="J1319" s="37" t="s">
        <v>2939</v>
      </c>
      <c r="K1319" s="37" t="s">
        <v>2939</v>
      </c>
      <c r="L1319" s="36">
        <v>3</v>
      </c>
      <c r="M1319" s="36">
        <v>3</v>
      </c>
      <c r="N1319" s="36">
        <v>3</v>
      </c>
      <c r="O1319" s="36">
        <v>5</v>
      </c>
      <c r="P1319" s="37" t="s">
        <v>292</v>
      </c>
      <c r="Q1319" s="37"/>
      <c r="R1319" s="37" t="s">
        <v>3656</v>
      </c>
    </row>
    <row r="1320" spans="1:18" ht="27.7" hidden="1" thickBot="1" x14ac:dyDescent="0.55000000000000004">
      <c r="A1320" s="36">
        <v>1547</v>
      </c>
      <c r="B1320" s="37" t="s">
        <v>3657</v>
      </c>
      <c r="C1320" s="37" t="s">
        <v>2953</v>
      </c>
      <c r="D1320" s="37" t="s">
        <v>1971</v>
      </c>
      <c r="E1320" s="37" t="s">
        <v>1959</v>
      </c>
      <c r="F1320" s="37" t="s">
        <v>1980</v>
      </c>
      <c r="G1320" s="37" t="s">
        <v>1980</v>
      </c>
      <c r="H1320" s="37" t="s">
        <v>1972</v>
      </c>
      <c r="I1320" s="37" t="s">
        <v>92</v>
      </c>
      <c r="J1320" s="37" t="s">
        <v>92</v>
      </c>
      <c r="K1320" s="37" t="s">
        <v>92</v>
      </c>
      <c r="L1320" s="36">
        <v>3</v>
      </c>
      <c r="M1320" s="36">
        <v>3</v>
      </c>
      <c r="N1320" s="36">
        <v>3</v>
      </c>
      <c r="O1320" s="36">
        <v>3</v>
      </c>
      <c r="P1320" s="37" t="s">
        <v>292</v>
      </c>
      <c r="Q1320" s="37"/>
      <c r="R1320" s="37" t="s">
        <v>3658</v>
      </c>
    </row>
    <row r="1321" spans="1:18" ht="27.7" hidden="1" thickBot="1" x14ac:dyDescent="0.55000000000000004">
      <c r="A1321" s="36">
        <v>1548</v>
      </c>
      <c r="B1321" s="37" t="s">
        <v>3659</v>
      </c>
      <c r="C1321" s="37" t="s">
        <v>3346</v>
      </c>
      <c r="D1321" s="37" t="s">
        <v>1971</v>
      </c>
      <c r="E1321" s="37" t="s">
        <v>1959</v>
      </c>
      <c r="F1321" s="37" t="s">
        <v>1980</v>
      </c>
      <c r="G1321" s="37" t="s">
        <v>1980</v>
      </c>
      <c r="H1321" s="37" t="s">
        <v>3347</v>
      </c>
      <c r="I1321" s="37" t="s">
        <v>2939</v>
      </c>
      <c r="J1321" s="37" t="s">
        <v>2939</v>
      </c>
      <c r="K1321" s="37" t="s">
        <v>2939</v>
      </c>
      <c r="L1321" s="36">
        <v>3</v>
      </c>
      <c r="M1321" s="36">
        <v>3</v>
      </c>
      <c r="N1321" s="36">
        <v>3</v>
      </c>
      <c r="O1321" s="36">
        <v>4</v>
      </c>
      <c r="P1321" s="37" t="s">
        <v>292</v>
      </c>
      <c r="Q1321" s="37"/>
      <c r="R1321" s="37" t="s">
        <v>3660</v>
      </c>
    </row>
    <row r="1322" spans="1:18" ht="14.7" hidden="1" thickBot="1" x14ac:dyDescent="0.55000000000000004">
      <c r="A1322" s="36">
        <v>1550</v>
      </c>
      <c r="B1322" s="37" t="s">
        <v>3661</v>
      </c>
      <c r="C1322" s="37" t="s">
        <v>3580</v>
      </c>
      <c r="D1322" s="37" t="s">
        <v>3564</v>
      </c>
      <c r="E1322" s="37" t="s">
        <v>2880</v>
      </c>
      <c r="F1322" s="37" t="s">
        <v>3258</v>
      </c>
      <c r="G1322" s="37" t="s">
        <v>3258</v>
      </c>
      <c r="H1322" s="37" t="s">
        <v>3258</v>
      </c>
      <c r="I1322" s="37" t="s">
        <v>3259</v>
      </c>
      <c r="J1322" s="37" t="s">
        <v>92</v>
      </c>
      <c r="K1322" s="37" t="s">
        <v>92</v>
      </c>
      <c r="L1322" s="36">
        <v>2</v>
      </c>
      <c r="M1322" s="36">
        <v>2</v>
      </c>
      <c r="N1322" s="36">
        <v>2</v>
      </c>
      <c r="O1322" s="36">
        <v>4</v>
      </c>
      <c r="P1322" s="37" t="s">
        <v>292</v>
      </c>
      <c r="Q1322" s="37" t="s">
        <v>3662</v>
      </c>
      <c r="R1322" s="37" t="s">
        <v>3663</v>
      </c>
    </row>
    <row r="1323" spans="1:18" ht="41.35" hidden="1" thickBot="1" x14ac:dyDescent="0.55000000000000004">
      <c r="A1323" s="36">
        <v>1551</v>
      </c>
      <c r="B1323" s="37" t="s">
        <v>3664</v>
      </c>
      <c r="C1323" s="37" t="s">
        <v>3480</v>
      </c>
      <c r="D1323" s="37" t="s">
        <v>3481</v>
      </c>
      <c r="E1323" s="37" t="s">
        <v>2880</v>
      </c>
      <c r="F1323" s="37" t="s">
        <v>3462</v>
      </c>
      <c r="G1323" s="37" t="s">
        <v>3462</v>
      </c>
      <c r="H1323" s="37" t="s">
        <v>3258</v>
      </c>
      <c r="I1323" s="37" t="s">
        <v>3259</v>
      </c>
      <c r="J1323" s="37" t="s">
        <v>3259</v>
      </c>
      <c r="K1323" s="37" t="s">
        <v>92</v>
      </c>
      <c r="L1323" s="36">
        <v>3</v>
      </c>
      <c r="M1323" s="36">
        <v>3</v>
      </c>
      <c r="N1323" s="36">
        <v>3</v>
      </c>
      <c r="O1323" s="36">
        <v>3</v>
      </c>
      <c r="P1323" s="37" t="s">
        <v>292</v>
      </c>
      <c r="Q1323" s="37" t="s">
        <v>3665</v>
      </c>
      <c r="R1323" s="37" t="s">
        <v>3666</v>
      </c>
    </row>
    <row r="1324" spans="1:18" ht="27.7" hidden="1" thickBot="1" x14ac:dyDescent="0.55000000000000004">
      <c r="A1324" s="36">
        <v>1552</v>
      </c>
      <c r="B1324" s="37" t="s">
        <v>3667</v>
      </c>
      <c r="C1324" s="37" t="s">
        <v>3552</v>
      </c>
      <c r="D1324" s="37" t="s">
        <v>3256</v>
      </c>
      <c r="E1324" s="37" t="s">
        <v>2880</v>
      </c>
      <c r="F1324" s="37" t="s">
        <v>3258</v>
      </c>
      <c r="G1324" s="37" t="s">
        <v>3258</v>
      </c>
      <c r="H1324" s="37" t="s">
        <v>3258</v>
      </c>
      <c r="I1324" s="37" t="s">
        <v>92</v>
      </c>
      <c r="J1324" s="37" t="s">
        <v>3259</v>
      </c>
      <c r="K1324" s="37" t="s">
        <v>92</v>
      </c>
      <c r="L1324" s="36">
        <v>1</v>
      </c>
      <c r="M1324" s="36">
        <v>1</v>
      </c>
      <c r="N1324" s="36">
        <v>1</v>
      </c>
      <c r="O1324" s="36">
        <v>3</v>
      </c>
      <c r="P1324" s="37" t="s">
        <v>292</v>
      </c>
      <c r="Q1324" s="37" t="s">
        <v>3668</v>
      </c>
      <c r="R1324" s="37" t="s">
        <v>3669</v>
      </c>
    </row>
    <row r="1325" spans="1:18" ht="27.7" hidden="1" thickBot="1" x14ac:dyDescent="0.55000000000000004">
      <c r="A1325" s="36">
        <v>1553</v>
      </c>
      <c r="B1325" s="37" t="s">
        <v>3670</v>
      </c>
      <c r="C1325" s="37" t="s">
        <v>3588</v>
      </c>
      <c r="D1325" s="37" t="s">
        <v>3564</v>
      </c>
      <c r="E1325" s="37" t="s">
        <v>2880</v>
      </c>
      <c r="F1325" s="37" t="s">
        <v>3258</v>
      </c>
      <c r="G1325" s="37" t="s">
        <v>3258</v>
      </c>
      <c r="H1325" s="37" t="s">
        <v>3258</v>
      </c>
      <c r="I1325" s="37" t="s">
        <v>3259</v>
      </c>
      <c r="J1325" s="37" t="s">
        <v>3259</v>
      </c>
      <c r="K1325" s="37" t="s">
        <v>3259</v>
      </c>
      <c r="L1325" s="36">
        <v>2</v>
      </c>
      <c r="M1325" s="36">
        <v>2</v>
      </c>
      <c r="N1325" s="36">
        <v>2</v>
      </c>
      <c r="O1325" s="36">
        <v>4</v>
      </c>
      <c r="P1325" s="37" t="s">
        <v>292</v>
      </c>
      <c r="Q1325" s="37" t="s">
        <v>3671</v>
      </c>
      <c r="R1325" s="37" t="s">
        <v>3672</v>
      </c>
    </row>
    <row r="1326" spans="1:18" ht="14.7" hidden="1" thickBot="1" x14ac:dyDescent="0.55000000000000004">
      <c r="A1326" s="36">
        <v>1554</v>
      </c>
      <c r="B1326" s="37" t="s">
        <v>3673</v>
      </c>
      <c r="C1326" s="37" t="s">
        <v>3588</v>
      </c>
      <c r="D1326" s="37" t="s">
        <v>3564</v>
      </c>
      <c r="E1326" s="37" t="s">
        <v>2880</v>
      </c>
      <c r="F1326" s="37" t="s">
        <v>3258</v>
      </c>
      <c r="G1326" s="37" t="s">
        <v>3258</v>
      </c>
      <c r="H1326" s="37" t="s">
        <v>3258</v>
      </c>
      <c r="I1326" s="37" t="s">
        <v>3259</v>
      </c>
      <c r="J1326" s="37" t="s">
        <v>92</v>
      </c>
      <c r="K1326" s="37" t="s">
        <v>92</v>
      </c>
      <c r="L1326" s="36">
        <v>1</v>
      </c>
      <c r="M1326" s="36">
        <v>1</v>
      </c>
      <c r="N1326" s="36">
        <v>1</v>
      </c>
      <c r="O1326" s="36">
        <v>2</v>
      </c>
      <c r="P1326" s="37" t="s">
        <v>292</v>
      </c>
      <c r="Q1326" s="37" t="s">
        <v>3674</v>
      </c>
      <c r="R1326" s="37" t="s">
        <v>3675</v>
      </c>
    </row>
    <row r="1327" spans="1:18" ht="27.7" hidden="1" thickBot="1" x14ac:dyDescent="0.55000000000000004">
      <c r="A1327" s="36">
        <v>1555</v>
      </c>
      <c r="B1327" s="37" t="s">
        <v>3676</v>
      </c>
      <c r="C1327" s="37" t="s">
        <v>3563</v>
      </c>
      <c r="D1327" s="37" t="s">
        <v>3564</v>
      </c>
      <c r="E1327" s="37" t="s">
        <v>2880</v>
      </c>
      <c r="F1327" s="37" t="s">
        <v>3258</v>
      </c>
      <c r="G1327" s="37" t="s">
        <v>3258</v>
      </c>
      <c r="H1327" s="37" t="s">
        <v>3258</v>
      </c>
      <c r="I1327" s="37" t="s">
        <v>3259</v>
      </c>
      <c r="J1327" s="37" t="s">
        <v>3259</v>
      </c>
      <c r="K1327" s="37" t="s">
        <v>3259</v>
      </c>
      <c r="L1327" s="36">
        <v>1</v>
      </c>
      <c r="M1327" s="36">
        <v>1</v>
      </c>
      <c r="N1327" s="36">
        <v>1</v>
      </c>
      <c r="O1327" s="36">
        <v>3</v>
      </c>
      <c r="P1327" s="37" t="s">
        <v>292</v>
      </c>
      <c r="Q1327" s="37" t="s">
        <v>3677</v>
      </c>
      <c r="R1327" s="37" t="s">
        <v>3678</v>
      </c>
    </row>
    <row r="1328" spans="1:18" ht="41.35" hidden="1" thickBot="1" x14ac:dyDescent="0.55000000000000004">
      <c r="A1328" s="36">
        <v>1556</v>
      </c>
      <c r="B1328" s="37" t="s">
        <v>3679</v>
      </c>
      <c r="C1328" s="37" t="s">
        <v>3558</v>
      </c>
      <c r="D1328" s="37" t="s">
        <v>3256</v>
      </c>
      <c r="E1328" s="37" t="s">
        <v>2880</v>
      </c>
      <c r="F1328" s="37" t="s">
        <v>3258</v>
      </c>
      <c r="G1328" s="37" t="s">
        <v>3258</v>
      </c>
      <c r="H1328" s="37" t="s">
        <v>3258</v>
      </c>
      <c r="I1328" s="37" t="s">
        <v>92</v>
      </c>
      <c r="J1328" s="37" t="s">
        <v>3259</v>
      </c>
      <c r="K1328" s="37" t="s">
        <v>92</v>
      </c>
      <c r="L1328" s="36">
        <v>1</v>
      </c>
      <c r="M1328" s="36">
        <v>1</v>
      </c>
      <c r="N1328" s="36">
        <v>2</v>
      </c>
      <c r="O1328" s="36">
        <v>4</v>
      </c>
      <c r="P1328" s="37" t="s">
        <v>292</v>
      </c>
      <c r="Q1328" s="37" t="s">
        <v>3680</v>
      </c>
      <c r="R1328" s="37" t="s">
        <v>3681</v>
      </c>
    </row>
    <row r="1329" spans="1:18" ht="27.7" hidden="1" thickBot="1" x14ac:dyDescent="0.55000000000000004">
      <c r="A1329" s="36">
        <v>1557</v>
      </c>
      <c r="B1329" s="37" t="s">
        <v>3682</v>
      </c>
      <c r="C1329" s="37" t="s">
        <v>3558</v>
      </c>
      <c r="D1329" s="37" t="s">
        <v>3256</v>
      </c>
      <c r="E1329" s="37" t="s">
        <v>2880</v>
      </c>
      <c r="F1329" s="37" t="s">
        <v>3258</v>
      </c>
      <c r="G1329" s="37" t="s">
        <v>3258</v>
      </c>
      <c r="H1329" s="37" t="s">
        <v>3258</v>
      </c>
      <c r="I1329" s="37" t="s">
        <v>92</v>
      </c>
      <c r="J1329" s="37" t="s">
        <v>3259</v>
      </c>
      <c r="K1329" s="37" t="s">
        <v>92</v>
      </c>
      <c r="L1329" s="36">
        <v>2</v>
      </c>
      <c r="M1329" s="36">
        <v>2</v>
      </c>
      <c r="N1329" s="36">
        <v>2</v>
      </c>
      <c r="O1329" s="36">
        <v>5</v>
      </c>
      <c r="P1329" s="37" t="s">
        <v>292</v>
      </c>
      <c r="Q1329" s="37" t="s">
        <v>3683</v>
      </c>
      <c r="R1329" s="37" t="s">
        <v>3684</v>
      </c>
    </row>
    <row r="1330" spans="1:18" ht="14.7" hidden="1" thickBot="1" x14ac:dyDescent="0.55000000000000004">
      <c r="A1330" s="36">
        <v>1558</v>
      </c>
      <c r="B1330" s="37" t="s">
        <v>3685</v>
      </c>
      <c r="C1330" s="37" t="s">
        <v>3548</v>
      </c>
      <c r="D1330" s="37" t="s">
        <v>3256</v>
      </c>
      <c r="E1330" s="37" t="s">
        <v>2880</v>
      </c>
      <c r="F1330" s="37" t="s">
        <v>3257</v>
      </c>
      <c r="G1330" s="37" t="s">
        <v>3257</v>
      </c>
      <c r="H1330" s="37" t="s">
        <v>3258</v>
      </c>
      <c r="I1330" s="37" t="s">
        <v>3259</v>
      </c>
      <c r="J1330" s="37" t="s">
        <v>3259</v>
      </c>
      <c r="K1330" s="37" t="s">
        <v>92</v>
      </c>
      <c r="L1330" s="36">
        <v>2</v>
      </c>
      <c r="M1330" s="36">
        <v>2</v>
      </c>
      <c r="N1330" s="36">
        <v>2</v>
      </c>
      <c r="O1330" s="36">
        <v>2</v>
      </c>
      <c r="P1330" s="37" t="s">
        <v>292</v>
      </c>
      <c r="Q1330" s="37" t="s">
        <v>3686</v>
      </c>
      <c r="R1330" s="37" t="s">
        <v>3687</v>
      </c>
    </row>
    <row r="1331" spans="1:18" ht="14.7" hidden="1" thickBot="1" x14ac:dyDescent="0.55000000000000004">
      <c r="A1331" s="36">
        <v>1559</v>
      </c>
      <c r="B1331" s="37" t="s">
        <v>3688</v>
      </c>
      <c r="C1331" s="37" t="s">
        <v>3255</v>
      </c>
      <c r="D1331" s="37" t="s">
        <v>3256</v>
      </c>
      <c r="E1331" s="37" t="s">
        <v>2880</v>
      </c>
      <c r="F1331" s="37" t="s">
        <v>3257</v>
      </c>
      <c r="G1331" s="37" t="s">
        <v>3258</v>
      </c>
      <c r="H1331" s="37" t="s">
        <v>3258</v>
      </c>
      <c r="I1331" s="37" t="s">
        <v>3259</v>
      </c>
      <c r="J1331" s="37" t="s">
        <v>3259</v>
      </c>
      <c r="K1331" s="37" t="s">
        <v>3259</v>
      </c>
      <c r="L1331" s="36">
        <v>1</v>
      </c>
      <c r="M1331" s="36">
        <v>1</v>
      </c>
      <c r="N1331" s="36">
        <v>1</v>
      </c>
      <c r="O1331" s="36">
        <v>2</v>
      </c>
      <c r="P1331" s="37" t="s">
        <v>292</v>
      </c>
      <c r="Q1331" s="37" t="s">
        <v>3689</v>
      </c>
      <c r="R1331" s="37" t="s">
        <v>3690</v>
      </c>
    </row>
    <row r="1332" spans="1:18" ht="41.35" hidden="1" thickBot="1" x14ac:dyDescent="0.55000000000000004">
      <c r="A1332" s="36">
        <v>1560</v>
      </c>
      <c r="B1332" s="37" t="s">
        <v>3691</v>
      </c>
      <c r="C1332" s="37" t="s">
        <v>1137</v>
      </c>
      <c r="D1332" s="37" t="s">
        <v>1133</v>
      </c>
      <c r="E1332" s="37" t="s">
        <v>877</v>
      </c>
      <c r="F1332" s="37" t="s">
        <v>872</v>
      </c>
      <c r="G1332" s="37" t="s">
        <v>872</v>
      </c>
      <c r="H1332" s="37" t="s">
        <v>872</v>
      </c>
      <c r="I1332" s="37" t="s">
        <v>105</v>
      </c>
      <c r="J1332" s="37" t="s">
        <v>105</v>
      </c>
      <c r="K1332" s="37" t="s">
        <v>105</v>
      </c>
      <c r="L1332" s="36">
        <v>2</v>
      </c>
      <c r="M1332" s="36">
        <v>2</v>
      </c>
      <c r="N1332" s="36">
        <v>2</v>
      </c>
      <c r="O1332" s="36">
        <v>3</v>
      </c>
      <c r="P1332" s="37" t="s">
        <v>265</v>
      </c>
      <c r="Q1332" s="37"/>
      <c r="R1332" s="37" t="s">
        <v>3692</v>
      </c>
    </row>
    <row r="1333" spans="1:18" ht="27.7" hidden="1" thickBot="1" x14ac:dyDescent="0.55000000000000004">
      <c r="A1333" s="36">
        <v>1561</v>
      </c>
      <c r="B1333" s="37" t="s">
        <v>3693</v>
      </c>
      <c r="C1333" s="37" t="s">
        <v>3493</v>
      </c>
      <c r="D1333" s="37" t="s">
        <v>3256</v>
      </c>
      <c r="E1333" s="37" t="s">
        <v>2880</v>
      </c>
      <c r="F1333" s="37" t="s">
        <v>3462</v>
      </c>
      <c r="G1333" s="37" t="s">
        <v>3258</v>
      </c>
      <c r="H1333" s="37" t="s">
        <v>3258</v>
      </c>
      <c r="I1333" s="37" t="s">
        <v>92</v>
      </c>
      <c r="J1333" s="37" t="s">
        <v>3259</v>
      </c>
      <c r="K1333" s="37" t="s">
        <v>92</v>
      </c>
      <c r="L1333" s="36">
        <v>2</v>
      </c>
      <c r="M1333" s="36">
        <v>2</v>
      </c>
      <c r="N1333" s="36">
        <v>2</v>
      </c>
      <c r="O1333" s="36">
        <v>4</v>
      </c>
      <c r="P1333" s="37" t="s">
        <v>292</v>
      </c>
      <c r="Q1333" s="37" t="s">
        <v>3694</v>
      </c>
      <c r="R1333" s="37" t="s">
        <v>3695</v>
      </c>
    </row>
    <row r="1334" spans="1:18" ht="27.7" hidden="1" thickBot="1" x14ac:dyDescent="0.55000000000000004">
      <c r="A1334" s="36">
        <v>1562</v>
      </c>
      <c r="B1334" s="37" t="s">
        <v>3696</v>
      </c>
      <c r="C1334" s="37" t="s">
        <v>3522</v>
      </c>
      <c r="D1334" s="37" t="s">
        <v>3466</v>
      </c>
      <c r="E1334" s="37" t="s">
        <v>2880</v>
      </c>
      <c r="F1334" s="37" t="s">
        <v>3462</v>
      </c>
      <c r="G1334" s="37" t="s">
        <v>3258</v>
      </c>
      <c r="H1334" s="37" t="s">
        <v>3258</v>
      </c>
      <c r="I1334" s="37" t="s">
        <v>3259</v>
      </c>
      <c r="J1334" s="37" t="s">
        <v>3259</v>
      </c>
      <c r="K1334" s="37" t="s">
        <v>92</v>
      </c>
      <c r="L1334" s="36">
        <v>1</v>
      </c>
      <c r="M1334" s="36">
        <v>1</v>
      </c>
      <c r="N1334" s="36">
        <v>1</v>
      </c>
      <c r="O1334" s="36">
        <v>3</v>
      </c>
      <c r="P1334" s="37" t="s">
        <v>292</v>
      </c>
      <c r="Q1334" s="37"/>
      <c r="R1334" s="37" t="s">
        <v>3697</v>
      </c>
    </row>
    <row r="1335" spans="1:18" ht="27.7" hidden="1" thickBot="1" x14ac:dyDescent="0.55000000000000004">
      <c r="A1335" s="36">
        <v>1563</v>
      </c>
      <c r="B1335" s="37" t="s">
        <v>3698</v>
      </c>
      <c r="C1335" s="37" t="s">
        <v>3522</v>
      </c>
      <c r="D1335" s="37" t="s">
        <v>3466</v>
      </c>
      <c r="E1335" s="37" t="s">
        <v>2880</v>
      </c>
      <c r="F1335" s="37" t="s">
        <v>3462</v>
      </c>
      <c r="G1335" s="37" t="s">
        <v>3258</v>
      </c>
      <c r="H1335" s="37" t="s">
        <v>3258</v>
      </c>
      <c r="I1335" s="37" t="s">
        <v>3259</v>
      </c>
      <c r="J1335" s="37" t="s">
        <v>3259</v>
      </c>
      <c r="K1335" s="37" t="s">
        <v>92</v>
      </c>
      <c r="L1335" s="36">
        <v>2</v>
      </c>
      <c r="M1335" s="36">
        <v>2</v>
      </c>
      <c r="N1335" s="36">
        <v>2</v>
      </c>
      <c r="O1335" s="36">
        <v>4</v>
      </c>
      <c r="P1335" s="37" t="s">
        <v>292</v>
      </c>
      <c r="Q1335" s="37" t="s">
        <v>3699</v>
      </c>
      <c r="R1335" s="37" t="s">
        <v>3700</v>
      </c>
    </row>
    <row r="1336" spans="1:18" ht="27.7" hidden="1" thickBot="1" x14ac:dyDescent="0.55000000000000004">
      <c r="A1336" s="36">
        <v>1564</v>
      </c>
      <c r="B1336" s="37" t="s">
        <v>3701</v>
      </c>
      <c r="C1336" s="37" t="s">
        <v>3548</v>
      </c>
      <c r="D1336" s="37" t="s">
        <v>3256</v>
      </c>
      <c r="E1336" s="37" t="s">
        <v>2880</v>
      </c>
      <c r="F1336" s="37" t="s">
        <v>3257</v>
      </c>
      <c r="G1336" s="37" t="s">
        <v>3257</v>
      </c>
      <c r="H1336" s="37" t="s">
        <v>3258</v>
      </c>
      <c r="I1336" s="37" t="s">
        <v>3259</v>
      </c>
      <c r="J1336" s="37" t="s">
        <v>3259</v>
      </c>
      <c r="K1336" s="37" t="s">
        <v>3259</v>
      </c>
      <c r="L1336" s="36">
        <v>1</v>
      </c>
      <c r="M1336" s="36">
        <v>1</v>
      </c>
      <c r="N1336" s="36">
        <v>1</v>
      </c>
      <c r="O1336" s="36">
        <v>2</v>
      </c>
      <c r="P1336" s="37" t="s">
        <v>292</v>
      </c>
      <c r="Q1336" s="37" t="s">
        <v>3702</v>
      </c>
      <c r="R1336" s="37" t="s">
        <v>3703</v>
      </c>
    </row>
    <row r="1337" spans="1:18" ht="27.7" hidden="1" thickBot="1" x14ac:dyDescent="0.55000000000000004">
      <c r="A1337" s="36">
        <v>1565</v>
      </c>
      <c r="B1337" s="37" t="s">
        <v>3704</v>
      </c>
      <c r="C1337" s="37" t="s">
        <v>3518</v>
      </c>
      <c r="D1337" s="37" t="s">
        <v>3466</v>
      </c>
      <c r="E1337" s="37" t="s">
        <v>2880</v>
      </c>
      <c r="F1337" s="37" t="s">
        <v>3462</v>
      </c>
      <c r="G1337" s="37" t="s">
        <v>3462</v>
      </c>
      <c r="H1337" s="37" t="s">
        <v>3258</v>
      </c>
      <c r="I1337" s="37" t="s">
        <v>3259</v>
      </c>
      <c r="J1337" s="37" t="s">
        <v>3259</v>
      </c>
      <c r="K1337" s="37" t="s">
        <v>3259</v>
      </c>
      <c r="L1337" s="36">
        <v>1</v>
      </c>
      <c r="M1337" s="36">
        <v>1</v>
      </c>
      <c r="N1337" s="36">
        <v>1</v>
      </c>
      <c r="O1337" s="36">
        <v>2</v>
      </c>
      <c r="P1337" s="37" t="s">
        <v>292</v>
      </c>
      <c r="Q1337" s="37" t="s">
        <v>3705</v>
      </c>
      <c r="R1337" s="37" t="s">
        <v>3706</v>
      </c>
    </row>
    <row r="1338" spans="1:18" ht="27.7" hidden="1" thickBot="1" x14ac:dyDescent="0.55000000000000004">
      <c r="A1338" s="36">
        <v>1566</v>
      </c>
      <c r="B1338" s="37" t="s">
        <v>3707</v>
      </c>
      <c r="C1338" s="37" t="s">
        <v>3493</v>
      </c>
      <c r="D1338" s="37" t="s">
        <v>3256</v>
      </c>
      <c r="E1338" s="37" t="s">
        <v>2880</v>
      </c>
      <c r="F1338" s="37" t="s">
        <v>3462</v>
      </c>
      <c r="G1338" s="37" t="s">
        <v>3258</v>
      </c>
      <c r="H1338" s="37" t="s">
        <v>3258</v>
      </c>
      <c r="I1338" s="37" t="s">
        <v>3259</v>
      </c>
      <c r="J1338" s="37" t="s">
        <v>3259</v>
      </c>
      <c r="K1338" s="37" t="s">
        <v>92</v>
      </c>
      <c r="L1338" s="36">
        <v>1</v>
      </c>
      <c r="M1338" s="36">
        <v>1</v>
      </c>
      <c r="N1338" s="36">
        <v>1</v>
      </c>
      <c r="O1338" s="36">
        <v>3</v>
      </c>
      <c r="P1338" s="37" t="s">
        <v>292</v>
      </c>
      <c r="Q1338" s="37" t="s">
        <v>3708</v>
      </c>
      <c r="R1338" s="37" t="s">
        <v>3709</v>
      </c>
    </row>
    <row r="1339" spans="1:18" ht="27.7" hidden="1" thickBot="1" x14ac:dyDescent="0.55000000000000004">
      <c r="A1339" s="36">
        <v>1567</v>
      </c>
      <c r="B1339" s="37" t="s">
        <v>3710</v>
      </c>
      <c r="C1339" s="37" t="s">
        <v>3563</v>
      </c>
      <c r="D1339" s="37" t="s">
        <v>3564</v>
      </c>
      <c r="E1339" s="37" t="s">
        <v>2880</v>
      </c>
      <c r="F1339" s="37" t="s">
        <v>3258</v>
      </c>
      <c r="G1339" s="37" t="s">
        <v>3258</v>
      </c>
      <c r="H1339" s="37" t="s">
        <v>3258</v>
      </c>
      <c r="I1339" s="37" t="s">
        <v>3259</v>
      </c>
      <c r="J1339" s="37" t="s">
        <v>3259</v>
      </c>
      <c r="K1339" s="37" t="s">
        <v>3259</v>
      </c>
      <c r="L1339" s="36">
        <v>1</v>
      </c>
      <c r="M1339" s="36">
        <v>1</v>
      </c>
      <c r="N1339" s="36">
        <v>1</v>
      </c>
      <c r="O1339" s="36">
        <v>3</v>
      </c>
      <c r="P1339" s="37" t="s">
        <v>292</v>
      </c>
      <c r="Q1339" s="37" t="s">
        <v>3711</v>
      </c>
      <c r="R1339" s="37" t="s">
        <v>3712</v>
      </c>
    </row>
    <row r="1340" spans="1:18" ht="14.7" hidden="1" thickBot="1" x14ac:dyDescent="0.55000000000000004">
      <c r="A1340" s="36">
        <v>1568</v>
      </c>
      <c r="B1340" s="37" t="s">
        <v>3713</v>
      </c>
      <c r="C1340" s="37" t="s">
        <v>3321</v>
      </c>
      <c r="D1340" s="37" t="s">
        <v>3322</v>
      </c>
      <c r="E1340" s="37" t="s">
        <v>2880</v>
      </c>
      <c r="F1340" s="37" t="s">
        <v>3323</v>
      </c>
      <c r="G1340" s="37" t="s">
        <v>3323</v>
      </c>
      <c r="H1340" s="37" t="s">
        <v>3324</v>
      </c>
      <c r="I1340" s="37" t="s">
        <v>115</v>
      </c>
      <c r="J1340" s="37" t="s">
        <v>115</v>
      </c>
      <c r="K1340" s="37" t="s">
        <v>92</v>
      </c>
      <c r="L1340" s="36">
        <v>1</v>
      </c>
      <c r="M1340" s="36">
        <v>1</v>
      </c>
      <c r="N1340" s="36">
        <v>1</v>
      </c>
      <c r="O1340" s="36">
        <v>4</v>
      </c>
      <c r="P1340" s="37" t="s">
        <v>292</v>
      </c>
      <c r="Q1340" s="37"/>
      <c r="R1340" s="37" t="s">
        <v>3714</v>
      </c>
    </row>
    <row r="1341" spans="1:18" ht="27.7" hidden="1" thickBot="1" x14ac:dyDescent="0.55000000000000004">
      <c r="A1341" s="36">
        <v>1569</v>
      </c>
      <c r="B1341" s="37" t="s">
        <v>3715</v>
      </c>
      <c r="C1341" s="37" t="s">
        <v>3571</v>
      </c>
      <c r="D1341" s="37" t="s">
        <v>3322</v>
      </c>
      <c r="E1341" s="37" t="s">
        <v>2880</v>
      </c>
      <c r="F1341" s="37" t="s">
        <v>3324</v>
      </c>
      <c r="G1341" s="37" t="s">
        <v>3324</v>
      </c>
      <c r="H1341" s="37" t="s">
        <v>3324</v>
      </c>
      <c r="I1341" s="37" t="s">
        <v>92</v>
      </c>
      <c r="J1341" s="37" t="s">
        <v>92</v>
      </c>
      <c r="K1341" s="37" t="s">
        <v>92</v>
      </c>
      <c r="L1341" s="36">
        <v>1</v>
      </c>
      <c r="M1341" s="36">
        <v>1</v>
      </c>
      <c r="N1341" s="36">
        <v>1</v>
      </c>
      <c r="O1341" s="36">
        <v>5</v>
      </c>
      <c r="P1341" s="37" t="s">
        <v>292</v>
      </c>
      <c r="Q1341" s="37" t="s">
        <v>3716</v>
      </c>
      <c r="R1341" s="37" t="s">
        <v>3717</v>
      </c>
    </row>
    <row r="1342" spans="1:18" ht="55" hidden="1" thickBot="1" x14ac:dyDescent="0.55000000000000004">
      <c r="A1342" s="36">
        <v>1570</v>
      </c>
      <c r="B1342" s="37" t="s">
        <v>3718</v>
      </c>
      <c r="C1342" s="37" t="s">
        <v>3567</v>
      </c>
      <c r="D1342" s="37" t="s">
        <v>3322</v>
      </c>
      <c r="E1342" s="37" t="s">
        <v>2880</v>
      </c>
      <c r="F1342" s="37" t="s">
        <v>3324</v>
      </c>
      <c r="G1342" s="37" t="s">
        <v>3324</v>
      </c>
      <c r="H1342" s="37" t="s">
        <v>3389</v>
      </c>
      <c r="I1342" s="37" t="s">
        <v>92</v>
      </c>
      <c r="J1342" s="37" t="s">
        <v>92</v>
      </c>
      <c r="K1342" s="37" t="s">
        <v>92</v>
      </c>
      <c r="L1342" s="36">
        <v>1</v>
      </c>
      <c r="M1342" s="36">
        <v>1</v>
      </c>
      <c r="N1342" s="36">
        <v>1</v>
      </c>
      <c r="O1342" s="36">
        <v>2</v>
      </c>
      <c r="P1342" s="37" t="s">
        <v>292</v>
      </c>
      <c r="Q1342" s="37" t="s">
        <v>3719</v>
      </c>
      <c r="R1342" s="37" t="s">
        <v>3720</v>
      </c>
    </row>
    <row r="1343" spans="1:18" ht="41.35" hidden="1" thickBot="1" x14ac:dyDescent="0.55000000000000004">
      <c r="A1343" s="36">
        <v>1571</v>
      </c>
      <c r="B1343" s="37" t="s">
        <v>3721</v>
      </c>
      <c r="C1343" s="37" t="s">
        <v>3567</v>
      </c>
      <c r="D1343" s="37" t="s">
        <v>3322</v>
      </c>
      <c r="E1343" s="37" t="s">
        <v>2880</v>
      </c>
      <c r="F1343" s="37" t="s">
        <v>3324</v>
      </c>
      <c r="G1343" s="37" t="s">
        <v>3324</v>
      </c>
      <c r="H1343" s="37" t="s">
        <v>3389</v>
      </c>
      <c r="I1343" s="37" t="s">
        <v>92</v>
      </c>
      <c r="J1343" s="37" t="s">
        <v>92</v>
      </c>
      <c r="K1343" s="37" t="s">
        <v>92</v>
      </c>
      <c r="L1343" s="36">
        <v>1</v>
      </c>
      <c r="M1343" s="36">
        <v>1</v>
      </c>
      <c r="N1343" s="36">
        <v>1</v>
      </c>
      <c r="O1343" s="36">
        <v>2</v>
      </c>
      <c r="P1343" s="37" t="s">
        <v>292</v>
      </c>
      <c r="Q1343" s="37" t="s">
        <v>3722</v>
      </c>
      <c r="R1343" s="37" t="s">
        <v>3723</v>
      </c>
    </row>
    <row r="1344" spans="1:18" ht="41.35" hidden="1" thickBot="1" x14ac:dyDescent="0.55000000000000004">
      <c r="A1344" s="36">
        <v>1572</v>
      </c>
      <c r="B1344" s="37" t="s">
        <v>3724</v>
      </c>
      <c r="C1344" s="37" t="s">
        <v>3548</v>
      </c>
      <c r="D1344" s="37" t="s">
        <v>3256</v>
      </c>
      <c r="E1344" s="37" t="s">
        <v>2880</v>
      </c>
      <c r="F1344" s="37" t="s">
        <v>3257</v>
      </c>
      <c r="G1344" s="37" t="s">
        <v>3257</v>
      </c>
      <c r="H1344" s="37" t="s">
        <v>3389</v>
      </c>
      <c r="I1344" s="37" t="s">
        <v>3259</v>
      </c>
      <c r="J1344" s="37" t="s">
        <v>3259</v>
      </c>
      <c r="K1344" s="37" t="s">
        <v>3259</v>
      </c>
      <c r="L1344" s="36">
        <v>1</v>
      </c>
      <c r="M1344" s="36">
        <v>1</v>
      </c>
      <c r="N1344" s="36">
        <v>1</v>
      </c>
      <c r="O1344" s="36">
        <v>2</v>
      </c>
      <c r="P1344" s="37" t="s">
        <v>292</v>
      </c>
      <c r="Q1344" s="37" t="s">
        <v>3725</v>
      </c>
      <c r="R1344" s="37" t="s">
        <v>3726</v>
      </c>
    </row>
    <row r="1345" spans="1:18" ht="27.7" hidden="1" thickBot="1" x14ac:dyDescent="0.55000000000000004">
      <c r="A1345" s="36">
        <v>1573</v>
      </c>
      <c r="B1345" s="37" t="s">
        <v>3727</v>
      </c>
      <c r="C1345" s="37" t="s">
        <v>3567</v>
      </c>
      <c r="D1345" s="37" t="s">
        <v>3322</v>
      </c>
      <c r="E1345" s="37" t="s">
        <v>2880</v>
      </c>
      <c r="F1345" s="37" t="s">
        <v>3257</v>
      </c>
      <c r="G1345" s="37" t="s">
        <v>3257</v>
      </c>
      <c r="H1345" s="37" t="s">
        <v>3258</v>
      </c>
      <c r="I1345" s="37" t="s">
        <v>3259</v>
      </c>
      <c r="J1345" s="37" t="s">
        <v>3259</v>
      </c>
      <c r="K1345" s="37" t="s">
        <v>92</v>
      </c>
      <c r="L1345" s="36">
        <v>2</v>
      </c>
      <c r="M1345" s="36">
        <v>2</v>
      </c>
      <c r="N1345" s="36">
        <v>2</v>
      </c>
      <c r="O1345" s="36">
        <v>3</v>
      </c>
      <c r="P1345" s="37" t="s">
        <v>292</v>
      </c>
      <c r="Q1345" s="37" t="s">
        <v>3728</v>
      </c>
      <c r="R1345" s="37" t="s">
        <v>3729</v>
      </c>
    </row>
    <row r="1346" spans="1:18" ht="41.35" hidden="1" thickBot="1" x14ac:dyDescent="0.55000000000000004">
      <c r="A1346" s="36">
        <v>1574</v>
      </c>
      <c r="B1346" s="37" t="s">
        <v>3730</v>
      </c>
      <c r="C1346" s="37" t="s">
        <v>1137</v>
      </c>
      <c r="D1346" s="37" t="s">
        <v>1133</v>
      </c>
      <c r="E1346" s="37" t="s">
        <v>877</v>
      </c>
      <c r="F1346" s="37" t="s">
        <v>872</v>
      </c>
      <c r="G1346" s="37" t="s">
        <v>872</v>
      </c>
      <c r="H1346" s="37" t="s">
        <v>872</v>
      </c>
      <c r="I1346" s="37" t="s">
        <v>105</v>
      </c>
      <c r="J1346" s="37" t="s">
        <v>105</v>
      </c>
      <c r="K1346" s="37" t="s">
        <v>105</v>
      </c>
      <c r="L1346" s="36">
        <v>3</v>
      </c>
      <c r="M1346" s="36">
        <v>3</v>
      </c>
      <c r="N1346" s="36">
        <v>3</v>
      </c>
      <c r="O1346" s="36">
        <v>3</v>
      </c>
      <c r="P1346" s="37" t="s">
        <v>265</v>
      </c>
      <c r="Q1346" s="37"/>
      <c r="R1346" s="37" t="s">
        <v>3731</v>
      </c>
    </row>
    <row r="1347" spans="1:18" ht="14.7" hidden="1" thickBot="1" x14ac:dyDescent="0.55000000000000004">
      <c r="A1347" s="36">
        <v>1575</v>
      </c>
      <c r="B1347" s="37" t="s">
        <v>3732</v>
      </c>
      <c r="C1347" s="37" t="s">
        <v>3573</v>
      </c>
      <c r="D1347" s="37" t="s">
        <v>3322</v>
      </c>
      <c r="E1347" s="37" t="s">
        <v>2880</v>
      </c>
      <c r="F1347" s="37" t="s">
        <v>3324</v>
      </c>
      <c r="G1347" s="37" t="s">
        <v>3258</v>
      </c>
      <c r="H1347" s="37" t="s">
        <v>3258</v>
      </c>
      <c r="I1347" s="37" t="s">
        <v>3259</v>
      </c>
      <c r="J1347" s="37" t="s">
        <v>3259</v>
      </c>
      <c r="K1347" s="37" t="s">
        <v>92</v>
      </c>
      <c r="L1347" s="36">
        <v>2</v>
      </c>
      <c r="M1347" s="36">
        <v>2</v>
      </c>
      <c r="N1347" s="36">
        <v>2</v>
      </c>
      <c r="O1347" s="36">
        <v>4</v>
      </c>
      <c r="P1347" s="37" t="s">
        <v>292</v>
      </c>
      <c r="Q1347" s="37" t="s">
        <v>3733</v>
      </c>
      <c r="R1347" s="37" t="s">
        <v>3734</v>
      </c>
    </row>
    <row r="1348" spans="1:18" ht="41.35" hidden="1" thickBot="1" x14ac:dyDescent="0.55000000000000004">
      <c r="A1348" s="36">
        <v>1576</v>
      </c>
      <c r="B1348" s="37" t="s">
        <v>3735</v>
      </c>
      <c r="C1348" s="37" t="s">
        <v>1137</v>
      </c>
      <c r="D1348" s="37" t="s">
        <v>1133</v>
      </c>
      <c r="E1348" s="37" t="s">
        <v>877</v>
      </c>
      <c r="F1348" s="37" t="s">
        <v>872</v>
      </c>
      <c r="G1348" s="37" t="s">
        <v>872</v>
      </c>
      <c r="H1348" s="37" t="s">
        <v>872</v>
      </c>
      <c r="I1348" s="37" t="s">
        <v>105</v>
      </c>
      <c r="J1348" s="37" t="s">
        <v>105</v>
      </c>
      <c r="K1348" s="37" t="s">
        <v>105</v>
      </c>
      <c r="L1348" s="36">
        <v>3</v>
      </c>
      <c r="M1348" s="36">
        <v>3</v>
      </c>
      <c r="N1348" s="36">
        <v>3</v>
      </c>
      <c r="O1348" s="36">
        <v>4</v>
      </c>
      <c r="P1348" s="37" t="s">
        <v>265</v>
      </c>
      <c r="Q1348" s="37" t="s">
        <v>3736</v>
      </c>
      <c r="R1348" s="37" t="s">
        <v>3737</v>
      </c>
    </row>
    <row r="1349" spans="1:18" ht="41.35" hidden="1" thickBot="1" x14ac:dyDescent="0.55000000000000004">
      <c r="A1349" s="36">
        <v>1577</v>
      </c>
      <c r="B1349" s="37" t="s">
        <v>3738</v>
      </c>
      <c r="C1349" s="37" t="s">
        <v>1132</v>
      </c>
      <c r="D1349" s="37" t="s">
        <v>1133</v>
      </c>
      <c r="E1349" s="37" t="s">
        <v>877</v>
      </c>
      <c r="F1349" s="37" t="s">
        <v>872</v>
      </c>
      <c r="G1349" s="37" t="s">
        <v>872</v>
      </c>
      <c r="H1349" s="37" t="s">
        <v>872</v>
      </c>
      <c r="I1349" s="37" t="s">
        <v>105</v>
      </c>
      <c r="J1349" s="37" t="s">
        <v>105</v>
      </c>
      <c r="K1349" s="37" t="s">
        <v>105</v>
      </c>
      <c r="L1349" s="36">
        <v>3</v>
      </c>
      <c r="M1349" s="36">
        <v>3</v>
      </c>
      <c r="N1349" s="36">
        <v>3</v>
      </c>
      <c r="O1349" s="36">
        <v>3</v>
      </c>
      <c r="P1349" s="37" t="s">
        <v>265</v>
      </c>
      <c r="Q1349" s="37"/>
      <c r="R1349" s="37" t="s">
        <v>3739</v>
      </c>
    </row>
    <row r="1350" spans="1:18" ht="14.7" hidden="1" thickBot="1" x14ac:dyDescent="0.55000000000000004">
      <c r="A1350" s="36">
        <v>1578</v>
      </c>
      <c r="B1350" s="37" t="s">
        <v>3740</v>
      </c>
      <c r="C1350" s="37" t="s">
        <v>3571</v>
      </c>
      <c r="D1350" s="37" t="s">
        <v>3322</v>
      </c>
      <c r="E1350" s="37" t="s">
        <v>2880</v>
      </c>
      <c r="F1350" s="37" t="s">
        <v>3324</v>
      </c>
      <c r="G1350" s="37" t="s">
        <v>3324</v>
      </c>
      <c r="H1350" s="37" t="s">
        <v>3324</v>
      </c>
      <c r="I1350" s="37" t="s">
        <v>92</v>
      </c>
      <c r="J1350" s="37" t="s">
        <v>92</v>
      </c>
      <c r="K1350" s="37" t="s">
        <v>92</v>
      </c>
      <c r="L1350" s="36">
        <v>2</v>
      </c>
      <c r="M1350" s="36">
        <v>2</v>
      </c>
      <c r="N1350" s="36">
        <v>2</v>
      </c>
      <c r="O1350" s="36">
        <v>3</v>
      </c>
      <c r="P1350" s="37" t="s">
        <v>292</v>
      </c>
      <c r="Q1350" s="37"/>
      <c r="R1350" s="37" t="s">
        <v>3741</v>
      </c>
    </row>
    <row r="1351" spans="1:18" ht="27.7" hidden="1" thickBot="1" x14ac:dyDescent="0.55000000000000004">
      <c r="A1351" s="36">
        <v>1579</v>
      </c>
      <c r="B1351" s="37" t="s">
        <v>3742</v>
      </c>
      <c r="C1351" s="37" t="s">
        <v>3552</v>
      </c>
      <c r="D1351" s="37" t="s">
        <v>3256</v>
      </c>
      <c r="E1351" s="37" t="s">
        <v>2880</v>
      </c>
      <c r="F1351" s="37" t="s">
        <v>3258</v>
      </c>
      <c r="G1351" s="37" t="s">
        <v>3258</v>
      </c>
      <c r="H1351" s="37" t="s">
        <v>3258</v>
      </c>
      <c r="I1351" s="37" t="s">
        <v>92</v>
      </c>
      <c r="J1351" s="37" t="s">
        <v>3259</v>
      </c>
      <c r="K1351" s="37" t="s">
        <v>92</v>
      </c>
      <c r="L1351" s="36">
        <v>4</v>
      </c>
      <c r="M1351" s="36">
        <v>4</v>
      </c>
      <c r="N1351" s="36">
        <v>4</v>
      </c>
      <c r="O1351" s="36">
        <v>6</v>
      </c>
      <c r="P1351" s="37" t="s">
        <v>292</v>
      </c>
      <c r="Q1351" s="37" t="s">
        <v>3743</v>
      </c>
      <c r="R1351" s="37" t="s">
        <v>3744</v>
      </c>
    </row>
    <row r="1352" spans="1:18" ht="27.7" hidden="1" thickBot="1" x14ac:dyDescent="0.55000000000000004">
      <c r="A1352" s="36">
        <v>1581</v>
      </c>
      <c r="B1352" s="37" t="s">
        <v>3745</v>
      </c>
      <c r="C1352" s="37" t="s">
        <v>1439</v>
      </c>
      <c r="D1352" s="37" t="s">
        <v>1440</v>
      </c>
      <c r="E1352" s="37" t="s">
        <v>1079</v>
      </c>
      <c r="F1352" s="37" t="s">
        <v>1441</v>
      </c>
      <c r="G1352" s="37" t="s">
        <v>1441</v>
      </c>
      <c r="H1352" s="37" t="s">
        <v>1441</v>
      </c>
      <c r="I1352" s="37" t="s">
        <v>944</v>
      </c>
      <c r="J1352" s="37" t="s">
        <v>944</v>
      </c>
      <c r="K1352" s="37" t="s">
        <v>944</v>
      </c>
      <c r="L1352" s="36">
        <v>1</v>
      </c>
      <c r="M1352" s="36">
        <v>1</v>
      </c>
      <c r="N1352" s="36">
        <v>1</v>
      </c>
      <c r="O1352" s="36">
        <v>3</v>
      </c>
      <c r="P1352" s="37" t="s">
        <v>292</v>
      </c>
      <c r="Q1352" s="37"/>
      <c r="R1352" s="37" t="s">
        <v>3746</v>
      </c>
    </row>
    <row r="1353" spans="1:18" ht="27.7" hidden="1" thickBot="1" x14ac:dyDescent="0.55000000000000004">
      <c r="A1353" s="36">
        <v>1582</v>
      </c>
      <c r="B1353" s="37" t="s">
        <v>3747</v>
      </c>
      <c r="C1353" s="37" t="s">
        <v>1439</v>
      </c>
      <c r="D1353" s="37" t="s">
        <v>1440</v>
      </c>
      <c r="E1353" s="37" t="s">
        <v>1079</v>
      </c>
      <c r="F1353" s="37" t="s">
        <v>1441</v>
      </c>
      <c r="G1353" s="37" t="s">
        <v>1441</v>
      </c>
      <c r="H1353" s="37" t="s">
        <v>1441</v>
      </c>
      <c r="I1353" s="37" t="s">
        <v>944</v>
      </c>
      <c r="J1353" s="37" t="s">
        <v>944</v>
      </c>
      <c r="K1353" s="37" t="s">
        <v>105</v>
      </c>
      <c r="L1353" s="36">
        <v>1</v>
      </c>
      <c r="M1353" s="36">
        <v>1</v>
      </c>
      <c r="N1353" s="36">
        <v>3</v>
      </c>
      <c r="O1353" s="36">
        <v>4</v>
      </c>
      <c r="P1353" s="37" t="s">
        <v>292</v>
      </c>
      <c r="Q1353" s="37"/>
      <c r="R1353" s="37" t="s">
        <v>3748</v>
      </c>
    </row>
    <row r="1354" spans="1:18" ht="27.7" hidden="1" thickBot="1" x14ac:dyDescent="0.55000000000000004">
      <c r="A1354" s="36">
        <v>1583</v>
      </c>
      <c r="B1354" s="37" t="s">
        <v>3749</v>
      </c>
      <c r="C1354" s="37" t="s">
        <v>1740</v>
      </c>
      <c r="D1354" s="37" t="s">
        <v>1440</v>
      </c>
      <c r="E1354" s="37" t="s">
        <v>1079</v>
      </c>
      <c r="F1354" s="37" t="s">
        <v>1441</v>
      </c>
      <c r="G1354" s="37" t="s">
        <v>1441</v>
      </c>
      <c r="H1354" s="37" t="s">
        <v>1441</v>
      </c>
      <c r="I1354" s="37" t="s">
        <v>944</v>
      </c>
      <c r="J1354" s="37" t="s">
        <v>944</v>
      </c>
      <c r="K1354" s="37" t="s">
        <v>105</v>
      </c>
      <c r="L1354" s="36">
        <v>1</v>
      </c>
      <c r="M1354" s="36">
        <v>1</v>
      </c>
      <c r="N1354" s="36">
        <v>1</v>
      </c>
      <c r="O1354" s="36">
        <v>4</v>
      </c>
      <c r="P1354" s="37" t="s">
        <v>292</v>
      </c>
      <c r="Q1354" s="37" t="s">
        <v>3750</v>
      </c>
      <c r="R1354" s="37" t="s">
        <v>3751</v>
      </c>
    </row>
    <row r="1355" spans="1:18" ht="27.7" hidden="1" thickBot="1" x14ac:dyDescent="0.55000000000000004">
      <c r="A1355" s="36">
        <v>1584</v>
      </c>
      <c r="B1355" s="37" t="s">
        <v>3752</v>
      </c>
      <c r="C1355" s="37" t="s">
        <v>1736</v>
      </c>
      <c r="D1355" s="37" t="s">
        <v>1440</v>
      </c>
      <c r="E1355" s="37" t="s">
        <v>1079</v>
      </c>
      <c r="F1355" s="37" t="s">
        <v>1441</v>
      </c>
      <c r="G1355" s="37" t="s">
        <v>1441</v>
      </c>
      <c r="H1355" s="37" t="s">
        <v>1441</v>
      </c>
      <c r="I1355" s="37" t="s">
        <v>944</v>
      </c>
      <c r="J1355" s="37" t="s">
        <v>944</v>
      </c>
      <c r="K1355" s="37" t="s">
        <v>105</v>
      </c>
      <c r="L1355" s="36">
        <v>1</v>
      </c>
      <c r="M1355" s="36">
        <v>1</v>
      </c>
      <c r="N1355" s="36">
        <v>1</v>
      </c>
      <c r="O1355" s="36">
        <v>2</v>
      </c>
      <c r="P1355" s="37" t="s">
        <v>292</v>
      </c>
      <c r="Q1355" s="37" t="s">
        <v>3753</v>
      </c>
      <c r="R1355" s="37" t="s">
        <v>3754</v>
      </c>
    </row>
    <row r="1356" spans="1:18" ht="27.7" hidden="1" thickBot="1" x14ac:dyDescent="0.55000000000000004">
      <c r="A1356" s="36">
        <v>1585</v>
      </c>
      <c r="B1356" s="37" t="s">
        <v>3755</v>
      </c>
      <c r="C1356" s="37" t="s">
        <v>1736</v>
      </c>
      <c r="D1356" s="37" t="s">
        <v>1440</v>
      </c>
      <c r="E1356" s="37" t="s">
        <v>1079</v>
      </c>
      <c r="F1356" s="37" t="s">
        <v>1441</v>
      </c>
      <c r="G1356" s="37" t="s">
        <v>1441</v>
      </c>
      <c r="H1356" s="37" t="s">
        <v>1441</v>
      </c>
      <c r="I1356" s="37" t="s">
        <v>944</v>
      </c>
      <c r="J1356" s="37" t="s">
        <v>944</v>
      </c>
      <c r="K1356" s="37" t="s">
        <v>105</v>
      </c>
      <c r="L1356" s="36">
        <v>1</v>
      </c>
      <c r="M1356" s="36">
        <v>1</v>
      </c>
      <c r="N1356" s="36">
        <v>1</v>
      </c>
      <c r="O1356" s="36">
        <v>2</v>
      </c>
      <c r="P1356" s="37" t="s">
        <v>292</v>
      </c>
      <c r="Q1356" s="37"/>
      <c r="R1356" s="37" t="s">
        <v>3756</v>
      </c>
    </row>
    <row r="1357" spans="1:18" ht="27.7" hidden="1" thickBot="1" x14ac:dyDescent="0.55000000000000004">
      <c r="A1357" s="36">
        <v>1586</v>
      </c>
      <c r="B1357" s="37" t="s">
        <v>3757</v>
      </c>
      <c r="C1357" s="37" t="s">
        <v>1439</v>
      </c>
      <c r="D1357" s="37" t="s">
        <v>1440</v>
      </c>
      <c r="E1357" s="37" t="s">
        <v>1079</v>
      </c>
      <c r="F1357" s="37" t="s">
        <v>1441</v>
      </c>
      <c r="G1357" s="37" t="s">
        <v>1441</v>
      </c>
      <c r="H1357" s="37" t="s">
        <v>1441</v>
      </c>
      <c r="I1357" s="37" t="s">
        <v>944</v>
      </c>
      <c r="J1357" s="37" t="s">
        <v>944</v>
      </c>
      <c r="K1357" s="37" t="s">
        <v>105</v>
      </c>
      <c r="L1357" s="36">
        <v>1</v>
      </c>
      <c r="M1357" s="36">
        <v>1</v>
      </c>
      <c r="N1357" s="36">
        <v>1</v>
      </c>
      <c r="O1357" s="36">
        <v>2</v>
      </c>
      <c r="P1357" s="37" t="s">
        <v>292</v>
      </c>
      <c r="Q1357" s="37" t="s">
        <v>3758</v>
      </c>
      <c r="R1357" s="37" t="s">
        <v>3759</v>
      </c>
    </row>
    <row r="1358" spans="1:18" ht="27.7" hidden="1" thickBot="1" x14ac:dyDescent="0.55000000000000004">
      <c r="A1358" s="36">
        <v>1587</v>
      </c>
      <c r="B1358" s="37" t="s">
        <v>3760</v>
      </c>
      <c r="C1358" s="37" t="s">
        <v>1254</v>
      </c>
      <c r="D1358" s="37" t="s">
        <v>1078</v>
      </c>
      <c r="E1358" s="37" t="s">
        <v>1079</v>
      </c>
      <c r="F1358" s="37" t="s">
        <v>3761</v>
      </c>
      <c r="G1358" s="37" t="s">
        <v>3761</v>
      </c>
      <c r="H1358" s="37" t="s">
        <v>3761</v>
      </c>
      <c r="I1358" s="37" t="s">
        <v>944</v>
      </c>
      <c r="J1358" s="37" t="s">
        <v>944</v>
      </c>
      <c r="K1358" s="37" t="s">
        <v>944</v>
      </c>
      <c r="L1358" s="36">
        <v>1</v>
      </c>
      <c r="M1358" s="36">
        <v>2</v>
      </c>
      <c r="N1358" s="36">
        <v>2</v>
      </c>
      <c r="O1358" s="36">
        <v>3</v>
      </c>
      <c r="P1358" s="37" t="s">
        <v>292</v>
      </c>
      <c r="Q1358" s="37"/>
      <c r="R1358" s="37" t="s">
        <v>3762</v>
      </c>
    </row>
    <row r="1359" spans="1:18" ht="27.7" hidden="1" thickBot="1" x14ac:dyDescent="0.55000000000000004">
      <c r="A1359" s="36">
        <v>1588</v>
      </c>
      <c r="B1359" s="37" t="s">
        <v>3763</v>
      </c>
      <c r="C1359" s="37" t="s">
        <v>1078</v>
      </c>
      <c r="D1359" s="37" t="s">
        <v>1078</v>
      </c>
      <c r="E1359" s="37" t="s">
        <v>1079</v>
      </c>
      <c r="F1359" s="37" t="s">
        <v>3761</v>
      </c>
      <c r="G1359" s="37" t="s">
        <v>3761</v>
      </c>
      <c r="H1359" s="37" t="s">
        <v>3761</v>
      </c>
      <c r="I1359" s="37" t="s">
        <v>944</v>
      </c>
      <c r="J1359" s="37" t="s">
        <v>944</v>
      </c>
      <c r="K1359" s="37" t="s">
        <v>944</v>
      </c>
      <c r="L1359" s="36">
        <v>1</v>
      </c>
      <c r="M1359" s="36">
        <v>1</v>
      </c>
      <c r="N1359" s="36">
        <v>1</v>
      </c>
      <c r="O1359" s="36">
        <v>2</v>
      </c>
      <c r="P1359" s="37" t="s">
        <v>292</v>
      </c>
      <c r="Q1359" s="37"/>
      <c r="R1359" s="37" t="s">
        <v>3764</v>
      </c>
    </row>
    <row r="1360" spans="1:18" ht="41.35" hidden="1" thickBot="1" x14ac:dyDescent="0.55000000000000004">
      <c r="A1360" s="36">
        <v>1589</v>
      </c>
      <c r="B1360" s="37" t="s">
        <v>3765</v>
      </c>
      <c r="C1360" s="37" t="s">
        <v>1104</v>
      </c>
      <c r="D1360" s="37" t="s">
        <v>519</v>
      </c>
      <c r="E1360" s="37" t="s">
        <v>502</v>
      </c>
      <c r="F1360" s="37" t="s">
        <v>3761</v>
      </c>
      <c r="G1360" s="37" t="s">
        <v>3761</v>
      </c>
      <c r="H1360" s="37" t="s">
        <v>3761</v>
      </c>
      <c r="I1360" s="37" t="s">
        <v>944</v>
      </c>
      <c r="J1360" s="37" t="s">
        <v>944</v>
      </c>
      <c r="K1360" s="37" t="s">
        <v>944</v>
      </c>
      <c r="L1360" s="36">
        <v>1</v>
      </c>
      <c r="M1360" s="36">
        <v>2</v>
      </c>
      <c r="N1360" s="36">
        <v>2</v>
      </c>
      <c r="O1360" s="36">
        <v>3</v>
      </c>
      <c r="P1360" s="37" t="s">
        <v>292</v>
      </c>
      <c r="Q1360" s="37"/>
      <c r="R1360" s="37" t="s">
        <v>3766</v>
      </c>
    </row>
    <row r="1361" spans="1:18" ht="27.7" hidden="1" thickBot="1" x14ac:dyDescent="0.55000000000000004">
      <c r="A1361" s="36">
        <v>1590</v>
      </c>
      <c r="B1361" s="37" t="s">
        <v>3767</v>
      </c>
      <c r="C1361" s="37" t="s">
        <v>1262</v>
      </c>
      <c r="D1361" s="37" t="s">
        <v>1262</v>
      </c>
      <c r="E1361" s="37" t="s">
        <v>1079</v>
      </c>
      <c r="F1361" s="37" t="s">
        <v>1274</v>
      </c>
      <c r="G1361" s="37" t="s">
        <v>1274</v>
      </c>
      <c r="H1361" s="37" t="s">
        <v>1274</v>
      </c>
      <c r="I1361" s="37" t="s">
        <v>1264</v>
      </c>
      <c r="J1361" s="37" t="s">
        <v>1264</v>
      </c>
      <c r="K1361" s="37" t="s">
        <v>1264</v>
      </c>
      <c r="L1361" s="36">
        <v>1</v>
      </c>
      <c r="M1361" s="36">
        <v>1</v>
      </c>
      <c r="N1361" s="36">
        <v>1</v>
      </c>
      <c r="O1361" s="36">
        <v>3</v>
      </c>
      <c r="P1361" s="37" t="s">
        <v>292</v>
      </c>
      <c r="Q1361" s="37"/>
      <c r="R1361" s="37" t="s">
        <v>3768</v>
      </c>
    </row>
    <row r="1362" spans="1:18" ht="27.7" hidden="1" thickBot="1" x14ac:dyDescent="0.55000000000000004">
      <c r="A1362" s="36">
        <v>1591</v>
      </c>
      <c r="B1362" s="37" t="s">
        <v>3769</v>
      </c>
      <c r="C1362" s="37" t="s">
        <v>1409</v>
      </c>
      <c r="D1362" s="37" t="s">
        <v>1262</v>
      </c>
      <c r="E1362" s="37" t="s">
        <v>1079</v>
      </c>
      <c r="F1362" s="37" t="s">
        <v>1278</v>
      </c>
      <c r="G1362" s="37" t="s">
        <v>1278</v>
      </c>
      <c r="H1362" s="37" t="s">
        <v>1278</v>
      </c>
      <c r="I1362" s="37" t="s">
        <v>1264</v>
      </c>
      <c r="J1362" s="37" t="s">
        <v>1264</v>
      </c>
      <c r="K1362" s="37" t="s">
        <v>1264</v>
      </c>
      <c r="L1362" s="36">
        <v>1</v>
      </c>
      <c r="M1362" s="36">
        <v>1</v>
      </c>
      <c r="N1362" s="36">
        <v>1</v>
      </c>
      <c r="O1362" s="36">
        <v>2</v>
      </c>
      <c r="P1362" s="37" t="s">
        <v>292</v>
      </c>
      <c r="Q1362" s="37"/>
      <c r="R1362" s="37" t="s">
        <v>3770</v>
      </c>
    </row>
    <row r="1363" spans="1:18" ht="27.7" hidden="1" thickBot="1" x14ac:dyDescent="0.55000000000000004">
      <c r="A1363" s="36">
        <v>1592</v>
      </c>
      <c r="B1363" s="37" t="s">
        <v>3771</v>
      </c>
      <c r="C1363" s="37" t="s">
        <v>1282</v>
      </c>
      <c r="D1363" s="37" t="s">
        <v>1262</v>
      </c>
      <c r="E1363" s="37" t="s">
        <v>1079</v>
      </c>
      <c r="F1363" s="37" t="s">
        <v>1287</v>
      </c>
      <c r="G1363" s="37" t="s">
        <v>1287</v>
      </c>
      <c r="H1363" s="37" t="s">
        <v>1287</v>
      </c>
      <c r="I1363" s="37" t="s">
        <v>1003</v>
      </c>
      <c r="J1363" s="37" t="s">
        <v>1003</v>
      </c>
      <c r="K1363" s="37" t="s">
        <v>1003</v>
      </c>
      <c r="L1363" s="36">
        <v>1</v>
      </c>
      <c r="M1363" s="36">
        <v>1</v>
      </c>
      <c r="N1363" s="36">
        <v>1</v>
      </c>
      <c r="O1363" s="36">
        <v>3</v>
      </c>
      <c r="P1363" s="37" t="s">
        <v>292</v>
      </c>
      <c r="Q1363" s="37"/>
      <c r="R1363" s="37" t="s">
        <v>3772</v>
      </c>
    </row>
    <row r="1364" spans="1:18" ht="27.7" hidden="1" thickBot="1" x14ac:dyDescent="0.55000000000000004">
      <c r="A1364" s="36">
        <v>1593</v>
      </c>
      <c r="B1364" s="37" t="s">
        <v>3773</v>
      </c>
      <c r="C1364" s="37" t="s">
        <v>1277</v>
      </c>
      <c r="D1364" s="37" t="s">
        <v>1262</v>
      </c>
      <c r="E1364" s="37" t="s">
        <v>1079</v>
      </c>
      <c r="F1364" s="37" t="s">
        <v>1278</v>
      </c>
      <c r="G1364" s="37" t="s">
        <v>1278</v>
      </c>
      <c r="H1364" s="37" t="s">
        <v>1278</v>
      </c>
      <c r="I1364" s="37" t="s">
        <v>1264</v>
      </c>
      <c r="J1364" s="37" t="s">
        <v>1264</v>
      </c>
      <c r="K1364" s="37" t="s">
        <v>1264</v>
      </c>
      <c r="L1364" s="36">
        <v>1</v>
      </c>
      <c r="M1364" s="36">
        <v>1</v>
      </c>
      <c r="N1364" s="36">
        <v>1</v>
      </c>
      <c r="O1364" s="36">
        <v>3</v>
      </c>
      <c r="P1364" s="37" t="s">
        <v>292</v>
      </c>
      <c r="Q1364" s="37"/>
      <c r="R1364" s="37" t="s">
        <v>3774</v>
      </c>
    </row>
    <row r="1365" spans="1:18" ht="27.7" hidden="1" thickBot="1" x14ac:dyDescent="0.55000000000000004">
      <c r="A1365" s="36">
        <v>1594</v>
      </c>
      <c r="B1365" s="37" t="s">
        <v>3775</v>
      </c>
      <c r="C1365" s="37" t="s">
        <v>1409</v>
      </c>
      <c r="D1365" s="37" t="s">
        <v>1262</v>
      </c>
      <c r="E1365" s="37" t="s">
        <v>1079</v>
      </c>
      <c r="F1365" s="37" t="s">
        <v>1278</v>
      </c>
      <c r="G1365" s="37" t="s">
        <v>1278</v>
      </c>
      <c r="H1365" s="37" t="s">
        <v>1278</v>
      </c>
      <c r="I1365" s="37" t="s">
        <v>1264</v>
      </c>
      <c r="J1365" s="37" t="s">
        <v>1264</v>
      </c>
      <c r="K1365" s="37" t="s">
        <v>1264</v>
      </c>
      <c r="L1365" s="36">
        <v>1</v>
      </c>
      <c r="M1365" s="36">
        <v>1</v>
      </c>
      <c r="N1365" s="36">
        <v>1</v>
      </c>
      <c r="O1365" s="36">
        <v>4</v>
      </c>
      <c r="P1365" s="37" t="s">
        <v>292</v>
      </c>
      <c r="Q1365" s="37"/>
      <c r="R1365" s="37" t="s">
        <v>3776</v>
      </c>
    </row>
    <row r="1366" spans="1:18" ht="27.7" hidden="1" thickBot="1" x14ac:dyDescent="0.55000000000000004">
      <c r="A1366" s="36">
        <v>1595</v>
      </c>
      <c r="B1366" s="37" t="s">
        <v>3777</v>
      </c>
      <c r="C1366" s="37" t="s">
        <v>1409</v>
      </c>
      <c r="D1366" s="37" t="s">
        <v>1262</v>
      </c>
      <c r="E1366" s="37" t="s">
        <v>1079</v>
      </c>
      <c r="F1366" s="37" t="s">
        <v>1278</v>
      </c>
      <c r="G1366" s="37" t="s">
        <v>1278</v>
      </c>
      <c r="H1366" s="37" t="s">
        <v>1278</v>
      </c>
      <c r="I1366" s="37" t="s">
        <v>1264</v>
      </c>
      <c r="J1366" s="37" t="s">
        <v>1264</v>
      </c>
      <c r="K1366" s="37" t="s">
        <v>1264</v>
      </c>
      <c r="L1366" s="36">
        <v>1</v>
      </c>
      <c r="M1366" s="36">
        <v>1</v>
      </c>
      <c r="N1366" s="36">
        <v>1</v>
      </c>
      <c r="O1366" s="36">
        <v>3</v>
      </c>
      <c r="P1366" s="37" t="s">
        <v>292</v>
      </c>
      <c r="Q1366" s="37"/>
      <c r="R1366" s="37" t="s">
        <v>3778</v>
      </c>
    </row>
    <row r="1367" spans="1:18" ht="27.7" hidden="1" thickBot="1" x14ac:dyDescent="0.55000000000000004">
      <c r="A1367" s="36">
        <v>1596</v>
      </c>
      <c r="B1367" s="37" t="s">
        <v>1283</v>
      </c>
      <c r="C1367" s="37" t="s">
        <v>1282</v>
      </c>
      <c r="D1367" s="37" t="s">
        <v>1262</v>
      </c>
      <c r="E1367" s="37" t="s">
        <v>1079</v>
      </c>
      <c r="F1367" s="37" t="s">
        <v>1287</v>
      </c>
      <c r="G1367" s="37" t="s">
        <v>1287</v>
      </c>
      <c r="H1367" s="37" t="s">
        <v>1287</v>
      </c>
      <c r="I1367" s="37" t="s">
        <v>1003</v>
      </c>
      <c r="J1367" s="37" t="s">
        <v>1003</v>
      </c>
      <c r="K1367" s="37" t="s">
        <v>1003</v>
      </c>
      <c r="L1367" s="36">
        <v>2</v>
      </c>
      <c r="M1367" s="36">
        <v>2</v>
      </c>
      <c r="N1367" s="36">
        <v>2</v>
      </c>
      <c r="O1367" s="36">
        <v>5</v>
      </c>
      <c r="P1367" s="37" t="s">
        <v>292</v>
      </c>
      <c r="Q1367" s="37"/>
      <c r="R1367" s="37" t="s">
        <v>3779</v>
      </c>
    </row>
    <row r="1368" spans="1:18" ht="27.7" hidden="1" thickBot="1" x14ac:dyDescent="0.55000000000000004">
      <c r="A1368" s="36">
        <v>1597</v>
      </c>
      <c r="B1368" s="37" t="s">
        <v>3780</v>
      </c>
      <c r="C1368" s="37" t="s">
        <v>1262</v>
      </c>
      <c r="D1368" s="37" t="s">
        <v>1262</v>
      </c>
      <c r="E1368" s="37" t="s">
        <v>1079</v>
      </c>
      <c r="F1368" s="37" t="s">
        <v>1274</v>
      </c>
      <c r="G1368" s="37" t="s">
        <v>1274</v>
      </c>
      <c r="H1368" s="37" t="s">
        <v>1274</v>
      </c>
      <c r="I1368" s="37" t="s">
        <v>1264</v>
      </c>
      <c r="J1368" s="37" t="s">
        <v>1264</v>
      </c>
      <c r="K1368" s="37" t="s">
        <v>1264</v>
      </c>
      <c r="L1368" s="36">
        <v>1</v>
      </c>
      <c r="M1368" s="36">
        <v>1</v>
      </c>
      <c r="N1368" s="36">
        <v>1</v>
      </c>
      <c r="O1368" s="36">
        <v>3</v>
      </c>
      <c r="P1368" s="37" t="s">
        <v>292</v>
      </c>
      <c r="Q1368" s="37"/>
      <c r="R1368" s="37" t="s">
        <v>3781</v>
      </c>
    </row>
    <row r="1369" spans="1:18" ht="27.7" hidden="1" thickBot="1" x14ac:dyDescent="0.55000000000000004">
      <c r="A1369" s="36">
        <v>1598</v>
      </c>
      <c r="B1369" s="37" t="s">
        <v>3782</v>
      </c>
      <c r="C1369" s="37" t="s">
        <v>1282</v>
      </c>
      <c r="D1369" s="37" t="s">
        <v>1297</v>
      </c>
      <c r="E1369" s="37" t="s">
        <v>260</v>
      </c>
      <c r="F1369" s="37" t="s">
        <v>1287</v>
      </c>
      <c r="G1369" s="37" t="s">
        <v>1287</v>
      </c>
      <c r="H1369" s="37" t="s">
        <v>1287</v>
      </c>
      <c r="I1369" s="37" t="s">
        <v>1003</v>
      </c>
      <c r="J1369" s="37" t="s">
        <v>1003</v>
      </c>
      <c r="K1369" s="37" t="s">
        <v>1003</v>
      </c>
      <c r="L1369" s="36">
        <v>1</v>
      </c>
      <c r="M1369" s="36">
        <v>1</v>
      </c>
      <c r="N1369" s="36">
        <v>1</v>
      </c>
      <c r="O1369" s="36">
        <v>3</v>
      </c>
      <c r="P1369" s="37" t="s">
        <v>292</v>
      </c>
      <c r="Q1369" s="37"/>
      <c r="R1369" s="37" t="s">
        <v>3783</v>
      </c>
    </row>
    <row r="1370" spans="1:18" ht="27.7" hidden="1" thickBot="1" x14ac:dyDescent="0.55000000000000004">
      <c r="A1370" s="36">
        <v>1599</v>
      </c>
      <c r="B1370" s="37" t="s">
        <v>3784</v>
      </c>
      <c r="C1370" s="37" t="s">
        <v>3785</v>
      </c>
      <c r="D1370" s="37" t="s">
        <v>1286</v>
      </c>
      <c r="E1370" s="37" t="s">
        <v>260</v>
      </c>
      <c r="F1370" s="37" t="s">
        <v>1306</v>
      </c>
      <c r="G1370" s="37" t="s">
        <v>1306</v>
      </c>
      <c r="H1370" s="37" t="s">
        <v>1306</v>
      </c>
      <c r="I1370" s="37" t="s">
        <v>1003</v>
      </c>
      <c r="J1370" s="37" t="s">
        <v>1003</v>
      </c>
      <c r="K1370" s="37" t="s">
        <v>1003</v>
      </c>
      <c r="L1370" s="36">
        <v>1</v>
      </c>
      <c r="M1370" s="36">
        <v>1</v>
      </c>
      <c r="N1370" s="36">
        <v>1</v>
      </c>
      <c r="O1370" s="36">
        <v>2</v>
      </c>
      <c r="P1370" s="37" t="s">
        <v>292</v>
      </c>
      <c r="Q1370" s="37"/>
      <c r="R1370" s="37" t="s">
        <v>3786</v>
      </c>
    </row>
    <row r="1371" spans="1:18" ht="27.7" hidden="1" thickBot="1" x14ac:dyDescent="0.55000000000000004">
      <c r="A1371" s="36">
        <v>1600</v>
      </c>
      <c r="B1371" s="37" t="s">
        <v>3787</v>
      </c>
      <c r="C1371" s="37" t="s">
        <v>3788</v>
      </c>
      <c r="D1371" s="37" t="s">
        <v>1286</v>
      </c>
      <c r="E1371" s="37" t="s">
        <v>260</v>
      </c>
      <c r="F1371" s="37" t="s">
        <v>1306</v>
      </c>
      <c r="G1371" s="37" t="s">
        <v>1306</v>
      </c>
      <c r="H1371" s="37" t="s">
        <v>1306</v>
      </c>
      <c r="I1371" s="37" t="s">
        <v>1003</v>
      </c>
      <c r="J1371" s="37" t="s">
        <v>1003</v>
      </c>
      <c r="K1371" s="37" t="s">
        <v>1003</v>
      </c>
      <c r="L1371" s="36">
        <v>1</v>
      </c>
      <c r="M1371" s="36">
        <v>1</v>
      </c>
      <c r="N1371" s="36">
        <v>1</v>
      </c>
      <c r="O1371" s="36">
        <v>2</v>
      </c>
      <c r="P1371" s="37" t="s">
        <v>292</v>
      </c>
      <c r="Q1371" s="37"/>
      <c r="R1371" s="37" t="s">
        <v>3789</v>
      </c>
    </row>
    <row r="1372" spans="1:18" ht="27.7" hidden="1" thickBot="1" x14ac:dyDescent="0.55000000000000004">
      <c r="A1372" s="36">
        <v>1601</v>
      </c>
      <c r="B1372" s="37" t="s">
        <v>3790</v>
      </c>
      <c r="C1372" s="37" t="s">
        <v>3788</v>
      </c>
      <c r="D1372" s="37" t="s">
        <v>1286</v>
      </c>
      <c r="E1372" s="37" t="s">
        <v>260</v>
      </c>
      <c r="F1372" s="37" t="s">
        <v>1306</v>
      </c>
      <c r="G1372" s="37" t="s">
        <v>1306</v>
      </c>
      <c r="H1372" s="37" t="s">
        <v>1306</v>
      </c>
      <c r="I1372" s="37" t="s">
        <v>1003</v>
      </c>
      <c r="J1372" s="37" t="s">
        <v>1003</v>
      </c>
      <c r="K1372" s="37" t="s">
        <v>1003</v>
      </c>
      <c r="L1372" s="36">
        <v>1</v>
      </c>
      <c r="M1372" s="36">
        <v>1</v>
      </c>
      <c r="N1372" s="36">
        <v>1</v>
      </c>
      <c r="O1372" s="36">
        <v>1</v>
      </c>
      <c r="P1372" s="37" t="s">
        <v>292</v>
      </c>
      <c r="Q1372" s="37"/>
      <c r="R1372" s="37" t="s">
        <v>3791</v>
      </c>
    </row>
    <row r="1373" spans="1:18" ht="27.7" hidden="1" thickBot="1" x14ac:dyDescent="0.55000000000000004">
      <c r="A1373" s="36">
        <v>1602</v>
      </c>
      <c r="B1373" s="37" t="s">
        <v>3792</v>
      </c>
      <c r="C1373" s="37" t="s">
        <v>1325</v>
      </c>
      <c r="D1373" s="37" t="s">
        <v>1286</v>
      </c>
      <c r="E1373" s="37" t="s">
        <v>260</v>
      </c>
      <c r="F1373" s="37" t="s">
        <v>1306</v>
      </c>
      <c r="G1373" s="37" t="s">
        <v>1306</v>
      </c>
      <c r="H1373" s="37" t="s">
        <v>1306</v>
      </c>
      <c r="I1373" s="37" t="s">
        <v>1003</v>
      </c>
      <c r="J1373" s="37" t="s">
        <v>1003</v>
      </c>
      <c r="K1373" s="37" t="s">
        <v>1003</v>
      </c>
      <c r="L1373" s="36">
        <v>2</v>
      </c>
      <c r="M1373" s="36">
        <v>2</v>
      </c>
      <c r="N1373" s="36">
        <v>2</v>
      </c>
      <c r="O1373" s="36">
        <v>3</v>
      </c>
      <c r="P1373" s="37" t="s">
        <v>292</v>
      </c>
      <c r="Q1373" s="37"/>
      <c r="R1373" s="37" t="s">
        <v>3793</v>
      </c>
    </row>
    <row r="1374" spans="1:18" ht="27.7" hidden="1" thickBot="1" x14ac:dyDescent="0.55000000000000004">
      <c r="A1374" s="36">
        <v>1603</v>
      </c>
      <c r="B1374" s="37" t="s">
        <v>3794</v>
      </c>
      <c r="C1374" s="37" t="s">
        <v>1325</v>
      </c>
      <c r="D1374" s="37" t="s">
        <v>1286</v>
      </c>
      <c r="E1374" s="37" t="s">
        <v>260</v>
      </c>
      <c r="F1374" s="37" t="s">
        <v>1306</v>
      </c>
      <c r="G1374" s="37" t="s">
        <v>1306</v>
      </c>
      <c r="H1374" s="37" t="s">
        <v>1306</v>
      </c>
      <c r="I1374" s="37" t="s">
        <v>1003</v>
      </c>
      <c r="J1374" s="37" t="s">
        <v>1003</v>
      </c>
      <c r="K1374" s="37" t="s">
        <v>1003</v>
      </c>
      <c r="L1374" s="36">
        <v>1</v>
      </c>
      <c r="M1374" s="36">
        <v>1</v>
      </c>
      <c r="N1374" s="36">
        <v>1</v>
      </c>
      <c r="O1374" s="36">
        <v>1</v>
      </c>
      <c r="P1374" s="37" t="s">
        <v>292</v>
      </c>
      <c r="Q1374" s="37"/>
      <c r="R1374" s="37" t="s">
        <v>3795</v>
      </c>
    </row>
    <row r="1375" spans="1:18" ht="27.7" hidden="1" thickBot="1" x14ac:dyDescent="0.55000000000000004">
      <c r="A1375" s="36">
        <v>1604</v>
      </c>
      <c r="B1375" s="37" t="s">
        <v>3796</v>
      </c>
      <c r="C1375" s="37" t="s">
        <v>1321</v>
      </c>
      <c r="D1375" s="37" t="s">
        <v>1001</v>
      </c>
      <c r="E1375" s="37" t="s">
        <v>260</v>
      </c>
      <c r="F1375" s="37" t="s">
        <v>1002</v>
      </c>
      <c r="G1375" s="37" t="s">
        <v>1002</v>
      </c>
      <c r="H1375" s="37" t="s">
        <v>1002</v>
      </c>
      <c r="I1375" s="37" t="s">
        <v>1003</v>
      </c>
      <c r="J1375" s="37" t="s">
        <v>1003</v>
      </c>
      <c r="K1375" s="37" t="s">
        <v>1003</v>
      </c>
      <c r="L1375" s="36">
        <v>1</v>
      </c>
      <c r="M1375" s="36">
        <v>1</v>
      </c>
      <c r="N1375" s="36">
        <v>1</v>
      </c>
      <c r="O1375" s="36">
        <v>1</v>
      </c>
      <c r="P1375" s="37" t="s">
        <v>292</v>
      </c>
      <c r="Q1375" s="37"/>
      <c r="R1375" s="37" t="s">
        <v>3797</v>
      </c>
    </row>
    <row r="1376" spans="1:18" ht="27.7" hidden="1" thickBot="1" x14ac:dyDescent="0.55000000000000004">
      <c r="A1376" s="36">
        <v>1605</v>
      </c>
      <c r="B1376" s="37" t="s">
        <v>3798</v>
      </c>
      <c r="C1376" s="37" t="s">
        <v>3785</v>
      </c>
      <c r="D1376" s="37" t="s">
        <v>1286</v>
      </c>
      <c r="E1376" s="37" t="s">
        <v>260</v>
      </c>
      <c r="F1376" s="37" t="s">
        <v>1306</v>
      </c>
      <c r="G1376" s="37" t="s">
        <v>1306</v>
      </c>
      <c r="H1376" s="37" t="s">
        <v>1306</v>
      </c>
      <c r="I1376" s="37" t="s">
        <v>1003</v>
      </c>
      <c r="J1376" s="37" t="s">
        <v>1003</v>
      </c>
      <c r="K1376" s="37" t="s">
        <v>1003</v>
      </c>
      <c r="L1376" s="36">
        <v>1</v>
      </c>
      <c r="M1376" s="36">
        <v>1</v>
      </c>
      <c r="N1376" s="36">
        <v>1</v>
      </c>
      <c r="O1376" s="36">
        <v>2</v>
      </c>
      <c r="P1376" s="37" t="s">
        <v>292</v>
      </c>
      <c r="Q1376" s="37"/>
      <c r="R1376" s="37" t="s">
        <v>3799</v>
      </c>
    </row>
    <row r="1377" spans="1:18" ht="27.7" hidden="1" thickBot="1" x14ac:dyDescent="0.55000000000000004">
      <c r="A1377" s="36">
        <v>1606</v>
      </c>
      <c r="B1377" s="37" t="s">
        <v>3800</v>
      </c>
      <c r="C1377" s="37" t="s">
        <v>1309</v>
      </c>
      <c r="D1377" s="37" t="s">
        <v>1286</v>
      </c>
      <c r="E1377" s="37" t="s">
        <v>260</v>
      </c>
      <c r="F1377" s="37" t="s">
        <v>1306</v>
      </c>
      <c r="G1377" s="37" t="s">
        <v>1306</v>
      </c>
      <c r="H1377" s="37" t="s">
        <v>1306</v>
      </c>
      <c r="I1377" s="37" t="s">
        <v>1003</v>
      </c>
      <c r="J1377" s="37" t="s">
        <v>1003</v>
      </c>
      <c r="K1377" s="37" t="s">
        <v>1003</v>
      </c>
      <c r="L1377" s="36">
        <v>2</v>
      </c>
      <c r="M1377" s="36">
        <v>2</v>
      </c>
      <c r="N1377" s="36">
        <v>2</v>
      </c>
      <c r="O1377" s="36">
        <v>4</v>
      </c>
      <c r="P1377" s="37" t="s">
        <v>292</v>
      </c>
      <c r="Q1377" s="37"/>
      <c r="R1377" s="37" t="s">
        <v>3801</v>
      </c>
    </row>
    <row r="1378" spans="1:18" ht="27.7" hidden="1" thickBot="1" x14ac:dyDescent="0.55000000000000004">
      <c r="A1378" s="36">
        <v>1607</v>
      </c>
      <c r="B1378" s="37" t="s">
        <v>3802</v>
      </c>
      <c r="C1378" s="37" t="s">
        <v>3785</v>
      </c>
      <c r="D1378" s="37" t="s">
        <v>1286</v>
      </c>
      <c r="E1378" s="37" t="s">
        <v>260</v>
      </c>
      <c r="F1378" s="37" t="s">
        <v>1306</v>
      </c>
      <c r="G1378" s="37" t="s">
        <v>1306</v>
      </c>
      <c r="H1378" s="37" t="s">
        <v>1306</v>
      </c>
      <c r="I1378" s="37" t="s">
        <v>1003</v>
      </c>
      <c r="J1378" s="37" t="s">
        <v>1003</v>
      </c>
      <c r="K1378" s="37" t="s">
        <v>1003</v>
      </c>
      <c r="L1378" s="36">
        <v>1</v>
      </c>
      <c r="M1378" s="36">
        <v>1</v>
      </c>
      <c r="N1378" s="36">
        <v>1</v>
      </c>
      <c r="O1378" s="36">
        <v>2</v>
      </c>
      <c r="P1378" s="37" t="s">
        <v>292</v>
      </c>
      <c r="Q1378" s="37"/>
      <c r="R1378" s="37" t="s">
        <v>3803</v>
      </c>
    </row>
    <row r="1379" spans="1:18" ht="27.7" hidden="1" thickBot="1" x14ac:dyDescent="0.55000000000000004">
      <c r="A1379" s="36">
        <v>1608</v>
      </c>
      <c r="B1379" s="37" t="s">
        <v>3804</v>
      </c>
      <c r="C1379" s="37" t="s">
        <v>642</v>
      </c>
      <c r="D1379" s="37" t="s">
        <v>635</v>
      </c>
      <c r="E1379" s="37" t="s">
        <v>486</v>
      </c>
      <c r="F1379" s="37" t="s">
        <v>487</v>
      </c>
      <c r="G1379" s="37" t="s">
        <v>488</v>
      </c>
      <c r="H1379" s="37" t="s">
        <v>488</v>
      </c>
      <c r="I1379" s="37" t="s">
        <v>105</v>
      </c>
      <c r="J1379" s="37" t="s">
        <v>105</v>
      </c>
      <c r="K1379" s="37" t="s">
        <v>105</v>
      </c>
      <c r="L1379" s="36">
        <v>2</v>
      </c>
      <c r="M1379" s="36">
        <v>2</v>
      </c>
      <c r="N1379" s="36">
        <v>2</v>
      </c>
      <c r="O1379" s="36">
        <v>4</v>
      </c>
      <c r="P1379" s="37" t="s">
        <v>292</v>
      </c>
      <c r="Q1379" s="37"/>
      <c r="R1379" s="37" t="s">
        <v>3805</v>
      </c>
    </row>
    <row r="1380" spans="1:18" ht="27.7" hidden="1" thickBot="1" x14ac:dyDescent="0.55000000000000004">
      <c r="A1380" s="36">
        <v>1609</v>
      </c>
      <c r="B1380" s="37" t="s">
        <v>3806</v>
      </c>
      <c r="C1380" s="37" t="s">
        <v>642</v>
      </c>
      <c r="D1380" s="37" t="s">
        <v>635</v>
      </c>
      <c r="E1380" s="37" t="s">
        <v>486</v>
      </c>
      <c r="F1380" s="37" t="s">
        <v>487</v>
      </c>
      <c r="G1380" s="37" t="s">
        <v>488</v>
      </c>
      <c r="H1380" s="37" t="s">
        <v>488</v>
      </c>
      <c r="I1380" s="37" t="s">
        <v>105</v>
      </c>
      <c r="J1380" s="37" t="s">
        <v>105</v>
      </c>
      <c r="K1380" s="37" t="s">
        <v>105</v>
      </c>
      <c r="L1380" s="36">
        <v>2</v>
      </c>
      <c r="M1380" s="36">
        <v>2</v>
      </c>
      <c r="N1380" s="36">
        <v>2</v>
      </c>
      <c r="O1380" s="36">
        <v>4</v>
      </c>
      <c r="P1380" s="37" t="s">
        <v>292</v>
      </c>
      <c r="Q1380" s="37"/>
      <c r="R1380" s="37" t="s">
        <v>3807</v>
      </c>
    </row>
    <row r="1381" spans="1:18" ht="14.7" hidden="1" thickBot="1" x14ac:dyDescent="0.55000000000000004">
      <c r="A1381" s="36">
        <v>1610</v>
      </c>
      <c r="B1381" s="37" t="s">
        <v>3808</v>
      </c>
      <c r="C1381" s="37" t="s">
        <v>889</v>
      </c>
      <c r="D1381" s="37" t="s">
        <v>635</v>
      </c>
      <c r="E1381" s="37" t="s">
        <v>486</v>
      </c>
      <c r="F1381" s="37" t="s">
        <v>871</v>
      </c>
      <c r="G1381" s="37" t="s">
        <v>872</v>
      </c>
      <c r="H1381" s="37" t="s">
        <v>872</v>
      </c>
      <c r="I1381" s="37" t="s">
        <v>105</v>
      </c>
      <c r="J1381" s="37" t="s">
        <v>105</v>
      </c>
      <c r="K1381" s="37" t="s">
        <v>105</v>
      </c>
      <c r="L1381" s="36">
        <v>3</v>
      </c>
      <c r="M1381" s="36">
        <v>3</v>
      </c>
      <c r="N1381" s="36">
        <v>3</v>
      </c>
      <c r="O1381" s="36">
        <v>4</v>
      </c>
      <c r="P1381" s="37" t="s">
        <v>292</v>
      </c>
      <c r="Q1381" s="37"/>
      <c r="R1381" s="37" t="s">
        <v>3809</v>
      </c>
    </row>
    <row r="1382" spans="1:18" ht="27.7" hidden="1" thickBot="1" x14ac:dyDescent="0.55000000000000004">
      <c r="A1382" s="36">
        <v>1611</v>
      </c>
      <c r="B1382" s="37" t="s">
        <v>3810</v>
      </c>
      <c r="C1382" s="37" t="s">
        <v>3811</v>
      </c>
      <c r="D1382" s="37" t="s">
        <v>635</v>
      </c>
      <c r="E1382" s="37" t="s">
        <v>486</v>
      </c>
      <c r="F1382" s="37" t="s">
        <v>487</v>
      </c>
      <c r="G1382" s="37" t="s">
        <v>488</v>
      </c>
      <c r="H1382" s="37" t="s">
        <v>488</v>
      </c>
      <c r="I1382" s="37" t="s">
        <v>105</v>
      </c>
      <c r="J1382" s="37" t="s">
        <v>105</v>
      </c>
      <c r="K1382" s="37" t="s">
        <v>105</v>
      </c>
      <c r="L1382" s="36">
        <v>3</v>
      </c>
      <c r="M1382" s="36">
        <v>3</v>
      </c>
      <c r="N1382" s="36">
        <v>3</v>
      </c>
      <c r="O1382" s="36">
        <v>4</v>
      </c>
      <c r="P1382" s="37" t="s">
        <v>292</v>
      </c>
      <c r="Q1382" s="37"/>
      <c r="R1382" s="37" t="s">
        <v>3812</v>
      </c>
    </row>
    <row r="1383" spans="1:18" ht="27.7" hidden="1" thickBot="1" x14ac:dyDescent="0.55000000000000004">
      <c r="A1383" s="36">
        <v>1612</v>
      </c>
      <c r="B1383" s="37" t="s">
        <v>3813</v>
      </c>
      <c r="C1383" s="37" t="s">
        <v>884</v>
      </c>
      <c r="D1383" s="37" t="s">
        <v>876</v>
      </c>
      <c r="E1383" s="37" t="s">
        <v>877</v>
      </c>
      <c r="F1383" s="37" t="s">
        <v>871</v>
      </c>
      <c r="G1383" s="37" t="s">
        <v>872</v>
      </c>
      <c r="H1383" s="37" t="s">
        <v>872</v>
      </c>
      <c r="I1383" s="37" t="s">
        <v>105</v>
      </c>
      <c r="J1383" s="37" t="s">
        <v>105</v>
      </c>
      <c r="K1383" s="37" t="s">
        <v>105</v>
      </c>
      <c r="L1383" s="36">
        <v>3</v>
      </c>
      <c r="M1383" s="36">
        <v>3</v>
      </c>
      <c r="N1383" s="36">
        <v>3</v>
      </c>
      <c r="O1383" s="36">
        <v>3</v>
      </c>
      <c r="P1383" s="37" t="s">
        <v>292</v>
      </c>
      <c r="Q1383" s="37" t="s">
        <v>3813</v>
      </c>
      <c r="R1383" s="37" t="s">
        <v>3814</v>
      </c>
    </row>
    <row r="1384" spans="1:18" ht="41.35" hidden="1" thickBot="1" x14ac:dyDescent="0.55000000000000004">
      <c r="A1384" s="36">
        <v>1613</v>
      </c>
      <c r="B1384" s="37" t="s">
        <v>3815</v>
      </c>
      <c r="C1384" s="37" t="s">
        <v>1115</v>
      </c>
      <c r="D1384" s="37" t="s">
        <v>1110</v>
      </c>
      <c r="E1384" s="37" t="s">
        <v>502</v>
      </c>
      <c r="F1384" s="37" t="s">
        <v>515</v>
      </c>
      <c r="G1384" s="37" t="s">
        <v>515</v>
      </c>
      <c r="H1384" s="37" t="s">
        <v>515</v>
      </c>
      <c r="I1384" s="37" t="s">
        <v>105</v>
      </c>
      <c r="J1384" s="37" t="s">
        <v>105</v>
      </c>
      <c r="K1384" s="37" t="s">
        <v>105</v>
      </c>
      <c r="L1384" s="36">
        <v>3</v>
      </c>
      <c r="M1384" s="36">
        <v>3</v>
      </c>
      <c r="N1384" s="36">
        <v>3</v>
      </c>
      <c r="O1384" s="36">
        <v>3</v>
      </c>
      <c r="P1384" s="37" t="s">
        <v>292</v>
      </c>
      <c r="Q1384" s="37"/>
      <c r="R1384" s="37" t="s">
        <v>3816</v>
      </c>
    </row>
    <row r="1385" spans="1:18" ht="27.7" hidden="1" thickBot="1" x14ac:dyDescent="0.55000000000000004">
      <c r="A1385" s="36">
        <v>1614</v>
      </c>
      <c r="B1385" s="37" t="s">
        <v>3817</v>
      </c>
      <c r="C1385" s="37" t="s">
        <v>642</v>
      </c>
      <c r="D1385" s="37" t="s">
        <v>635</v>
      </c>
      <c r="E1385" s="37" t="s">
        <v>486</v>
      </c>
      <c r="F1385" s="37" t="s">
        <v>487</v>
      </c>
      <c r="G1385" s="37" t="s">
        <v>488</v>
      </c>
      <c r="H1385" s="37" t="s">
        <v>488</v>
      </c>
      <c r="I1385" s="37" t="s">
        <v>105</v>
      </c>
      <c r="J1385" s="37" t="s">
        <v>105</v>
      </c>
      <c r="K1385" s="37" t="s">
        <v>105</v>
      </c>
      <c r="L1385" s="36">
        <v>3</v>
      </c>
      <c r="M1385" s="36">
        <v>3</v>
      </c>
      <c r="N1385" s="36">
        <v>3</v>
      </c>
      <c r="O1385" s="36">
        <v>4</v>
      </c>
      <c r="P1385" s="37" t="s">
        <v>292</v>
      </c>
      <c r="Q1385" s="37"/>
      <c r="R1385" s="37" t="s">
        <v>3818</v>
      </c>
    </row>
    <row r="1386" spans="1:18" ht="27.7" hidden="1" thickBot="1" x14ac:dyDescent="0.55000000000000004">
      <c r="A1386" s="36">
        <v>1615</v>
      </c>
      <c r="B1386" s="37" t="s">
        <v>3819</v>
      </c>
      <c r="C1386" s="37" t="s">
        <v>642</v>
      </c>
      <c r="D1386" s="37" t="s">
        <v>635</v>
      </c>
      <c r="E1386" s="37" t="s">
        <v>486</v>
      </c>
      <c r="F1386" s="37" t="s">
        <v>487</v>
      </c>
      <c r="G1386" s="37" t="s">
        <v>488</v>
      </c>
      <c r="H1386" s="37" t="s">
        <v>488</v>
      </c>
      <c r="I1386" s="37" t="s">
        <v>105</v>
      </c>
      <c r="J1386" s="37" t="s">
        <v>105</v>
      </c>
      <c r="K1386" s="37" t="s">
        <v>105</v>
      </c>
      <c r="L1386" s="36">
        <v>2</v>
      </c>
      <c r="M1386" s="36">
        <v>2</v>
      </c>
      <c r="N1386" s="36">
        <v>2</v>
      </c>
      <c r="O1386" s="36">
        <v>3</v>
      </c>
      <c r="P1386" s="37" t="s">
        <v>292</v>
      </c>
      <c r="Q1386" s="37"/>
      <c r="R1386" s="37" t="s">
        <v>3820</v>
      </c>
    </row>
    <row r="1387" spans="1:18" ht="41.35" hidden="1" thickBot="1" x14ac:dyDescent="0.55000000000000004">
      <c r="A1387" s="36">
        <v>1616</v>
      </c>
      <c r="B1387" s="37" t="s">
        <v>3821</v>
      </c>
      <c r="C1387" s="37" t="s">
        <v>258</v>
      </c>
      <c r="D1387" s="37" t="s">
        <v>259</v>
      </c>
      <c r="E1387" s="37" t="s">
        <v>260</v>
      </c>
      <c r="F1387" s="37" t="s">
        <v>261</v>
      </c>
      <c r="G1387" s="37" t="s">
        <v>262</v>
      </c>
      <c r="H1387" s="37" t="s">
        <v>262</v>
      </c>
      <c r="I1387" s="37" t="s">
        <v>105</v>
      </c>
      <c r="J1387" s="37" t="s">
        <v>264</v>
      </c>
      <c r="K1387" s="37" t="s">
        <v>105</v>
      </c>
      <c r="L1387" s="36">
        <v>1</v>
      </c>
      <c r="M1387" s="36">
        <v>1</v>
      </c>
      <c r="N1387" s="36">
        <v>1</v>
      </c>
      <c r="O1387" s="36">
        <v>1</v>
      </c>
      <c r="P1387" s="37" t="s">
        <v>265</v>
      </c>
      <c r="Q1387" s="37"/>
      <c r="R1387" s="37" t="s">
        <v>3822</v>
      </c>
    </row>
    <row r="1388" spans="1:18" ht="41.35" hidden="1" thickBot="1" x14ac:dyDescent="0.55000000000000004">
      <c r="A1388" s="36">
        <v>1617</v>
      </c>
      <c r="B1388" s="37" t="s">
        <v>3823</v>
      </c>
      <c r="C1388" s="37" t="s">
        <v>258</v>
      </c>
      <c r="D1388" s="37" t="s">
        <v>259</v>
      </c>
      <c r="E1388" s="37" t="s">
        <v>260</v>
      </c>
      <c r="F1388" s="37" t="s">
        <v>261</v>
      </c>
      <c r="G1388" s="37" t="s">
        <v>262</v>
      </c>
      <c r="H1388" s="37" t="s">
        <v>263</v>
      </c>
      <c r="I1388" s="37" t="s">
        <v>105</v>
      </c>
      <c r="J1388" s="37" t="s">
        <v>264</v>
      </c>
      <c r="K1388" s="37" t="s">
        <v>105</v>
      </c>
      <c r="L1388" s="36">
        <v>1</v>
      </c>
      <c r="M1388" s="36">
        <v>1</v>
      </c>
      <c r="N1388" s="36">
        <v>2</v>
      </c>
      <c r="O1388" s="36">
        <v>2</v>
      </c>
      <c r="P1388" s="37" t="s">
        <v>292</v>
      </c>
      <c r="Q1388" s="37"/>
      <c r="R1388" s="37" t="s">
        <v>3824</v>
      </c>
    </row>
    <row r="1389" spans="1:18" ht="27.7" hidden="1" thickBot="1" x14ac:dyDescent="0.55000000000000004">
      <c r="A1389" s="36">
        <v>1620</v>
      </c>
      <c r="B1389" s="37" t="s">
        <v>3825</v>
      </c>
      <c r="C1389" s="37" t="s">
        <v>3826</v>
      </c>
      <c r="D1389" s="37" t="s">
        <v>259</v>
      </c>
      <c r="E1389" s="37" t="s">
        <v>260</v>
      </c>
      <c r="F1389" s="37" t="s">
        <v>262</v>
      </c>
      <c r="G1389" s="37" t="s">
        <v>262</v>
      </c>
      <c r="H1389" s="37" t="s">
        <v>263</v>
      </c>
      <c r="I1389" s="37" t="s">
        <v>264</v>
      </c>
      <c r="J1389" s="37" t="s">
        <v>264</v>
      </c>
      <c r="K1389" s="37" t="s">
        <v>105</v>
      </c>
      <c r="L1389" s="36">
        <v>1</v>
      </c>
      <c r="M1389" s="36">
        <v>1</v>
      </c>
      <c r="N1389" s="36">
        <v>2</v>
      </c>
      <c r="O1389" s="36">
        <v>3</v>
      </c>
      <c r="P1389" s="37" t="s">
        <v>292</v>
      </c>
      <c r="Q1389" s="37"/>
      <c r="R1389" s="37" t="s">
        <v>3827</v>
      </c>
    </row>
    <row r="1390" spans="1:18" ht="27.7" hidden="1" thickBot="1" x14ac:dyDescent="0.55000000000000004">
      <c r="A1390" s="36">
        <v>1621</v>
      </c>
      <c r="B1390" s="37" t="s">
        <v>3828</v>
      </c>
      <c r="C1390" s="37" t="s">
        <v>3826</v>
      </c>
      <c r="D1390" s="37" t="s">
        <v>259</v>
      </c>
      <c r="E1390" s="37" t="s">
        <v>260</v>
      </c>
      <c r="F1390" s="37" t="s">
        <v>262</v>
      </c>
      <c r="G1390" s="37" t="s">
        <v>262</v>
      </c>
      <c r="H1390" s="37" t="s">
        <v>263</v>
      </c>
      <c r="I1390" s="37" t="s">
        <v>264</v>
      </c>
      <c r="J1390" s="37" t="s">
        <v>264</v>
      </c>
      <c r="K1390" s="37" t="s">
        <v>105</v>
      </c>
      <c r="L1390" s="36">
        <v>1</v>
      </c>
      <c r="M1390" s="36">
        <v>1</v>
      </c>
      <c r="N1390" s="36">
        <v>1</v>
      </c>
      <c r="O1390" s="36">
        <v>1</v>
      </c>
      <c r="P1390" s="37" t="s">
        <v>292</v>
      </c>
      <c r="Q1390" s="37"/>
      <c r="R1390" s="37" t="s">
        <v>3829</v>
      </c>
    </row>
    <row r="1391" spans="1:18" ht="27.7" hidden="1" thickBot="1" x14ac:dyDescent="0.55000000000000004">
      <c r="A1391" s="36">
        <v>1622</v>
      </c>
      <c r="B1391" s="37" t="s">
        <v>3830</v>
      </c>
      <c r="C1391" s="37" t="s">
        <v>970</v>
      </c>
      <c r="D1391" s="37" t="s">
        <v>259</v>
      </c>
      <c r="E1391" s="37" t="s">
        <v>260</v>
      </c>
      <c r="F1391" s="37" t="s">
        <v>262</v>
      </c>
      <c r="G1391" s="37" t="s">
        <v>262</v>
      </c>
      <c r="H1391" s="37" t="s">
        <v>263</v>
      </c>
      <c r="I1391" s="37" t="s">
        <v>264</v>
      </c>
      <c r="J1391" s="37" t="s">
        <v>264</v>
      </c>
      <c r="K1391" s="37" t="s">
        <v>105</v>
      </c>
      <c r="L1391" s="36">
        <v>1</v>
      </c>
      <c r="M1391" s="36">
        <v>1</v>
      </c>
      <c r="N1391" s="36">
        <v>2</v>
      </c>
      <c r="O1391" s="36">
        <v>2</v>
      </c>
      <c r="P1391" s="37" t="s">
        <v>265</v>
      </c>
      <c r="Q1391" s="37"/>
      <c r="R1391" s="37" t="s">
        <v>3831</v>
      </c>
    </row>
    <row r="1392" spans="1:18" ht="27.7" hidden="1" thickBot="1" x14ac:dyDescent="0.55000000000000004">
      <c r="A1392" s="36">
        <v>1623</v>
      </c>
      <c r="B1392" s="37" t="s">
        <v>3832</v>
      </c>
      <c r="C1392" s="37" t="s">
        <v>970</v>
      </c>
      <c r="D1392" s="37" t="s">
        <v>259</v>
      </c>
      <c r="E1392" s="37" t="s">
        <v>260</v>
      </c>
      <c r="F1392" s="37" t="s">
        <v>262</v>
      </c>
      <c r="G1392" s="37" t="s">
        <v>262</v>
      </c>
      <c r="H1392" s="37" t="s">
        <v>263</v>
      </c>
      <c r="I1392" s="37" t="s">
        <v>264</v>
      </c>
      <c r="J1392" s="37" t="s">
        <v>264</v>
      </c>
      <c r="K1392" s="37" t="s">
        <v>105</v>
      </c>
      <c r="L1392" s="36">
        <v>1</v>
      </c>
      <c r="M1392" s="36">
        <v>1</v>
      </c>
      <c r="N1392" s="36">
        <v>2</v>
      </c>
      <c r="O1392" s="36">
        <v>2</v>
      </c>
      <c r="P1392" s="37" t="s">
        <v>265</v>
      </c>
      <c r="Q1392" s="37"/>
      <c r="R1392" s="37" t="s">
        <v>3833</v>
      </c>
    </row>
    <row r="1393" spans="1:18" ht="27.7" hidden="1" thickBot="1" x14ac:dyDescent="0.55000000000000004">
      <c r="A1393" s="36">
        <v>1624</v>
      </c>
      <c r="B1393" s="37" t="s">
        <v>3834</v>
      </c>
      <c r="C1393" s="37" t="s">
        <v>970</v>
      </c>
      <c r="D1393" s="37" t="s">
        <v>259</v>
      </c>
      <c r="E1393" s="37" t="s">
        <v>260</v>
      </c>
      <c r="F1393" s="37" t="s">
        <v>262</v>
      </c>
      <c r="G1393" s="37" t="s">
        <v>262</v>
      </c>
      <c r="H1393" s="37" t="s">
        <v>263</v>
      </c>
      <c r="I1393" s="37" t="s">
        <v>264</v>
      </c>
      <c r="J1393" s="37" t="s">
        <v>264</v>
      </c>
      <c r="K1393" s="37" t="s">
        <v>105</v>
      </c>
      <c r="L1393" s="36">
        <v>1</v>
      </c>
      <c r="M1393" s="36">
        <v>1</v>
      </c>
      <c r="N1393" s="36">
        <v>2</v>
      </c>
      <c r="O1393" s="36">
        <v>2</v>
      </c>
      <c r="P1393" s="37" t="s">
        <v>265</v>
      </c>
      <c r="Q1393" s="37"/>
      <c r="R1393" s="37" t="s">
        <v>3835</v>
      </c>
    </row>
    <row r="1394" spans="1:18" ht="27.7" hidden="1" thickBot="1" x14ac:dyDescent="0.55000000000000004">
      <c r="A1394" s="36">
        <v>1625</v>
      </c>
      <c r="B1394" s="37" t="s">
        <v>3836</v>
      </c>
      <c r="C1394" s="37" t="s">
        <v>970</v>
      </c>
      <c r="D1394" s="37" t="s">
        <v>259</v>
      </c>
      <c r="E1394" s="37" t="s">
        <v>260</v>
      </c>
      <c r="F1394" s="37" t="s">
        <v>262</v>
      </c>
      <c r="G1394" s="37" t="s">
        <v>262</v>
      </c>
      <c r="H1394" s="37" t="s">
        <v>263</v>
      </c>
      <c r="I1394" s="37" t="s">
        <v>264</v>
      </c>
      <c r="J1394" s="37" t="s">
        <v>264</v>
      </c>
      <c r="K1394" s="37" t="s">
        <v>105</v>
      </c>
      <c r="L1394" s="36">
        <v>1</v>
      </c>
      <c r="M1394" s="36">
        <v>1</v>
      </c>
      <c r="N1394" s="36">
        <v>2</v>
      </c>
      <c r="O1394" s="36">
        <v>2</v>
      </c>
      <c r="P1394" s="37" t="s">
        <v>265</v>
      </c>
      <c r="Q1394" s="37"/>
      <c r="R1394" s="37" t="s">
        <v>3837</v>
      </c>
    </row>
    <row r="1395" spans="1:18" ht="27.7" hidden="1" thickBot="1" x14ac:dyDescent="0.55000000000000004">
      <c r="A1395" s="36">
        <v>1631</v>
      </c>
      <c r="B1395" s="37" t="s">
        <v>3838</v>
      </c>
      <c r="C1395" s="37" t="s">
        <v>1762</v>
      </c>
      <c r="D1395" s="37" t="s">
        <v>1432</v>
      </c>
      <c r="E1395" s="37" t="s">
        <v>1374</v>
      </c>
      <c r="F1395" s="37" t="s">
        <v>1758</v>
      </c>
      <c r="G1395" s="37" t="s">
        <v>1387</v>
      </c>
      <c r="H1395" s="37" t="s">
        <v>1387</v>
      </c>
      <c r="I1395" s="37" t="s">
        <v>944</v>
      </c>
      <c r="J1395" s="37" t="s">
        <v>944</v>
      </c>
      <c r="K1395" s="37" t="s">
        <v>1165</v>
      </c>
      <c r="L1395" s="36">
        <v>1</v>
      </c>
      <c r="M1395" s="36">
        <v>1</v>
      </c>
      <c r="N1395" s="36">
        <v>3</v>
      </c>
      <c r="O1395" s="36">
        <v>4</v>
      </c>
      <c r="P1395" s="37" t="s">
        <v>292</v>
      </c>
      <c r="Q1395" s="37"/>
      <c r="R1395" s="37" t="s">
        <v>3839</v>
      </c>
    </row>
    <row r="1396" spans="1:18" ht="27.7" hidden="1" thickBot="1" x14ac:dyDescent="0.55000000000000004">
      <c r="A1396" s="36">
        <v>1632</v>
      </c>
      <c r="B1396" s="37" t="s">
        <v>3840</v>
      </c>
      <c r="C1396" s="37" t="s">
        <v>3841</v>
      </c>
      <c r="D1396" s="37" t="s">
        <v>1432</v>
      </c>
      <c r="E1396" s="37" t="s">
        <v>1374</v>
      </c>
      <c r="F1396" s="37" t="s">
        <v>1758</v>
      </c>
      <c r="G1396" s="37" t="s">
        <v>1387</v>
      </c>
      <c r="H1396" s="37" t="s">
        <v>1387</v>
      </c>
      <c r="I1396" s="37" t="s">
        <v>944</v>
      </c>
      <c r="J1396" s="37" t="s">
        <v>944</v>
      </c>
      <c r="K1396" s="37" t="s">
        <v>1165</v>
      </c>
      <c r="L1396" s="36">
        <v>1</v>
      </c>
      <c r="M1396" s="36">
        <v>1</v>
      </c>
      <c r="N1396" s="36">
        <v>2</v>
      </c>
      <c r="O1396" s="36">
        <v>3</v>
      </c>
      <c r="P1396" s="37" t="s">
        <v>292</v>
      </c>
      <c r="Q1396" s="37"/>
      <c r="R1396" s="37" t="s">
        <v>3842</v>
      </c>
    </row>
    <row r="1397" spans="1:18" ht="27.7" hidden="1" thickBot="1" x14ac:dyDescent="0.55000000000000004">
      <c r="A1397" s="36">
        <v>1633</v>
      </c>
      <c r="B1397" s="37" t="s">
        <v>3843</v>
      </c>
      <c r="C1397" s="37" t="s">
        <v>1431</v>
      </c>
      <c r="D1397" s="37" t="s">
        <v>1432</v>
      </c>
      <c r="E1397" s="37" t="s">
        <v>1374</v>
      </c>
      <c r="F1397" s="37" t="s">
        <v>1758</v>
      </c>
      <c r="G1397" s="37" t="s">
        <v>1387</v>
      </c>
      <c r="H1397" s="37" t="s">
        <v>1387</v>
      </c>
      <c r="I1397" s="37" t="s">
        <v>944</v>
      </c>
      <c r="J1397" s="37" t="s">
        <v>944</v>
      </c>
      <c r="K1397" s="37" t="s">
        <v>1165</v>
      </c>
      <c r="L1397" s="36">
        <v>1</v>
      </c>
      <c r="M1397" s="36">
        <v>1</v>
      </c>
      <c r="N1397" s="36">
        <v>3</v>
      </c>
      <c r="O1397" s="36">
        <v>4</v>
      </c>
      <c r="P1397" s="37" t="s">
        <v>292</v>
      </c>
      <c r="Q1397" s="37"/>
      <c r="R1397" s="37" t="s">
        <v>3844</v>
      </c>
    </row>
    <row r="1398" spans="1:18" ht="27.7" hidden="1" thickBot="1" x14ac:dyDescent="0.55000000000000004">
      <c r="A1398" s="36">
        <v>1634</v>
      </c>
      <c r="B1398" s="37" t="s">
        <v>3845</v>
      </c>
      <c r="C1398" s="37" t="s">
        <v>3845</v>
      </c>
      <c r="D1398" s="37" t="s">
        <v>1808</v>
      </c>
      <c r="E1398" s="37" t="s">
        <v>1374</v>
      </c>
      <c r="F1398" s="37" t="s">
        <v>1758</v>
      </c>
      <c r="G1398" s="37" t="s">
        <v>1387</v>
      </c>
      <c r="H1398" s="37" t="s">
        <v>1387</v>
      </c>
      <c r="I1398" s="37" t="s">
        <v>944</v>
      </c>
      <c r="J1398" s="37" t="s">
        <v>944</v>
      </c>
      <c r="K1398" s="37" t="s">
        <v>1165</v>
      </c>
      <c r="L1398" s="36">
        <v>1</v>
      </c>
      <c r="M1398" s="36">
        <v>1</v>
      </c>
      <c r="N1398" s="36">
        <v>1</v>
      </c>
      <c r="O1398" s="36">
        <v>1</v>
      </c>
      <c r="P1398" s="37" t="s">
        <v>292</v>
      </c>
      <c r="Q1398" s="37"/>
      <c r="R1398" s="37" t="s">
        <v>3846</v>
      </c>
    </row>
    <row r="1399" spans="1:18" ht="27.7" hidden="1" thickBot="1" x14ac:dyDescent="0.55000000000000004">
      <c r="A1399" s="36">
        <v>1635</v>
      </c>
      <c r="B1399" s="37" t="s">
        <v>3847</v>
      </c>
      <c r="C1399" s="37" t="s">
        <v>3841</v>
      </c>
      <c r="D1399" s="37" t="s">
        <v>1432</v>
      </c>
      <c r="E1399" s="37" t="s">
        <v>1374</v>
      </c>
      <c r="F1399" s="37" t="s">
        <v>1758</v>
      </c>
      <c r="G1399" s="37" t="s">
        <v>1387</v>
      </c>
      <c r="H1399" s="37" t="s">
        <v>1387</v>
      </c>
      <c r="I1399" s="37" t="s">
        <v>944</v>
      </c>
      <c r="J1399" s="37" t="s">
        <v>944</v>
      </c>
      <c r="K1399" s="37" t="s">
        <v>1165</v>
      </c>
      <c r="L1399" s="36">
        <v>1</v>
      </c>
      <c r="M1399" s="36">
        <v>3</v>
      </c>
      <c r="N1399" s="36">
        <v>5</v>
      </c>
      <c r="O1399" s="36">
        <v>1</v>
      </c>
      <c r="P1399" s="37" t="s">
        <v>292</v>
      </c>
      <c r="Q1399" s="37"/>
      <c r="R1399" s="37" t="s">
        <v>3848</v>
      </c>
    </row>
    <row r="1400" spans="1:18" ht="27.7" hidden="1" thickBot="1" x14ac:dyDescent="0.55000000000000004">
      <c r="A1400" s="36">
        <v>1636</v>
      </c>
      <c r="B1400" s="37" t="s">
        <v>3849</v>
      </c>
      <c r="C1400" s="37" t="s">
        <v>1762</v>
      </c>
      <c r="D1400" s="37" t="s">
        <v>1432</v>
      </c>
      <c r="E1400" s="37" t="s">
        <v>1374</v>
      </c>
      <c r="F1400" s="37" t="s">
        <v>1758</v>
      </c>
      <c r="G1400" s="37" t="s">
        <v>1387</v>
      </c>
      <c r="H1400" s="37" t="s">
        <v>1387</v>
      </c>
      <c r="I1400" s="37" t="s">
        <v>944</v>
      </c>
      <c r="J1400" s="37" t="s">
        <v>944</v>
      </c>
      <c r="K1400" s="37" t="s">
        <v>1165</v>
      </c>
      <c r="L1400" s="36">
        <v>1</v>
      </c>
      <c r="M1400" s="36">
        <v>1</v>
      </c>
      <c r="N1400" s="36">
        <v>3</v>
      </c>
      <c r="O1400" s="36">
        <v>4</v>
      </c>
      <c r="P1400" s="37" t="s">
        <v>292</v>
      </c>
      <c r="Q1400" s="37"/>
      <c r="R1400" s="37" t="s">
        <v>3850</v>
      </c>
    </row>
    <row r="1401" spans="1:18" ht="27.7" hidden="1" thickBot="1" x14ac:dyDescent="0.55000000000000004">
      <c r="A1401" s="36">
        <v>1637</v>
      </c>
      <c r="B1401" s="37" t="s">
        <v>3851</v>
      </c>
      <c r="C1401" s="37" t="s">
        <v>1762</v>
      </c>
      <c r="D1401" s="37" t="s">
        <v>1432</v>
      </c>
      <c r="E1401" s="37" t="s">
        <v>1374</v>
      </c>
      <c r="F1401" s="37" t="s">
        <v>1758</v>
      </c>
      <c r="G1401" s="37" t="s">
        <v>1387</v>
      </c>
      <c r="H1401" s="37" t="s">
        <v>1387</v>
      </c>
      <c r="I1401" s="37" t="s">
        <v>944</v>
      </c>
      <c r="J1401" s="37" t="s">
        <v>944</v>
      </c>
      <c r="K1401" s="37" t="s">
        <v>1165</v>
      </c>
      <c r="L1401" s="36">
        <v>1</v>
      </c>
      <c r="M1401" s="36">
        <v>1</v>
      </c>
      <c r="N1401" s="36">
        <v>1</v>
      </c>
      <c r="O1401" s="36">
        <v>3</v>
      </c>
      <c r="P1401" s="37" t="s">
        <v>292</v>
      </c>
      <c r="Q1401" s="37"/>
      <c r="R1401" s="37" t="s">
        <v>3852</v>
      </c>
    </row>
    <row r="1402" spans="1:18" ht="27.7" hidden="1" thickBot="1" x14ac:dyDescent="0.55000000000000004">
      <c r="A1402" s="36">
        <v>1638</v>
      </c>
      <c r="B1402" s="37" t="s">
        <v>3853</v>
      </c>
      <c r="C1402" s="37" t="s">
        <v>1777</v>
      </c>
      <c r="D1402" s="37" t="s">
        <v>1694</v>
      </c>
      <c r="E1402" s="37" t="s">
        <v>1483</v>
      </c>
      <c r="F1402" s="37" t="s">
        <v>1758</v>
      </c>
      <c r="G1402" s="37" t="s">
        <v>1387</v>
      </c>
      <c r="H1402" s="37" t="s">
        <v>1387</v>
      </c>
      <c r="I1402" s="37" t="s">
        <v>944</v>
      </c>
      <c r="J1402" s="37" t="s">
        <v>944</v>
      </c>
      <c r="K1402" s="37" t="s">
        <v>1165</v>
      </c>
      <c r="L1402" s="36">
        <v>1</v>
      </c>
      <c r="M1402" s="36">
        <v>4</v>
      </c>
      <c r="N1402" s="36">
        <v>4</v>
      </c>
      <c r="O1402" s="36">
        <v>5</v>
      </c>
      <c r="P1402" s="37" t="s">
        <v>292</v>
      </c>
      <c r="Q1402" s="37"/>
      <c r="R1402" s="37" t="s">
        <v>3854</v>
      </c>
    </row>
    <row r="1403" spans="1:18" ht="27.7" hidden="1" thickBot="1" x14ac:dyDescent="0.55000000000000004">
      <c r="A1403" s="36">
        <v>1639</v>
      </c>
      <c r="B1403" s="37" t="s">
        <v>3855</v>
      </c>
      <c r="C1403" s="37" t="s">
        <v>1777</v>
      </c>
      <c r="D1403" s="37" t="s">
        <v>1694</v>
      </c>
      <c r="E1403" s="37" t="s">
        <v>1483</v>
      </c>
      <c r="F1403" s="37" t="s">
        <v>1758</v>
      </c>
      <c r="G1403" s="37" t="s">
        <v>1387</v>
      </c>
      <c r="H1403" s="37" t="s">
        <v>1387</v>
      </c>
      <c r="I1403" s="37" t="s">
        <v>944</v>
      </c>
      <c r="J1403" s="37" t="s">
        <v>944</v>
      </c>
      <c r="K1403" s="37" t="s">
        <v>1165</v>
      </c>
      <c r="L1403" s="36">
        <v>1</v>
      </c>
      <c r="M1403" s="36">
        <v>3</v>
      </c>
      <c r="N1403" s="36">
        <v>3</v>
      </c>
      <c r="O1403" s="36">
        <v>3</v>
      </c>
      <c r="P1403" s="37" t="s">
        <v>292</v>
      </c>
      <c r="Q1403" s="37"/>
      <c r="R1403" s="37" t="s">
        <v>3856</v>
      </c>
    </row>
    <row r="1404" spans="1:18" ht="27.7" hidden="1" thickBot="1" x14ac:dyDescent="0.55000000000000004">
      <c r="A1404" s="36">
        <v>1640</v>
      </c>
      <c r="B1404" s="37" t="s">
        <v>3857</v>
      </c>
      <c r="C1404" s="37" t="s">
        <v>1697</v>
      </c>
      <c r="D1404" s="37" t="s">
        <v>1694</v>
      </c>
      <c r="E1404" s="37" t="s">
        <v>1483</v>
      </c>
      <c r="F1404" s="37" t="s">
        <v>1464</v>
      </c>
      <c r="G1404" s="37" t="s">
        <v>3858</v>
      </c>
      <c r="H1404" s="37" t="s">
        <v>1698</v>
      </c>
      <c r="I1404" s="37" t="s">
        <v>1465</v>
      </c>
      <c r="J1404" s="37" t="s">
        <v>1465</v>
      </c>
      <c r="K1404" s="37" t="s">
        <v>1165</v>
      </c>
      <c r="L1404" s="36">
        <v>3</v>
      </c>
      <c r="M1404" s="36">
        <v>3</v>
      </c>
      <c r="N1404" s="36">
        <v>3</v>
      </c>
      <c r="O1404" s="36">
        <v>1</v>
      </c>
      <c r="P1404" s="37" t="s">
        <v>265</v>
      </c>
      <c r="Q1404" s="37"/>
      <c r="R1404" s="37" t="s">
        <v>3859</v>
      </c>
    </row>
    <row r="1405" spans="1:18" ht="27.7" hidden="1" thickBot="1" x14ac:dyDescent="0.55000000000000004">
      <c r="A1405" s="36">
        <v>1641</v>
      </c>
      <c r="B1405" s="37" t="s">
        <v>3860</v>
      </c>
      <c r="C1405" s="37" t="s">
        <v>1780</v>
      </c>
      <c r="D1405" s="37" t="s">
        <v>1783</v>
      </c>
      <c r="E1405" s="37" t="s">
        <v>1816</v>
      </c>
      <c r="F1405" s="37" t="s">
        <v>1758</v>
      </c>
      <c r="G1405" s="37" t="s">
        <v>1758</v>
      </c>
      <c r="H1405" s="37" t="s">
        <v>1698</v>
      </c>
      <c r="I1405" s="37" t="s">
        <v>944</v>
      </c>
      <c r="J1405" s="37" t="s">
        <v>944</v>
      </c>
      <c r="K1405" s="37" t="s">
        <v>1165</v>
      </c>
      <c r="L1405" s="36">
        <v>1</v>
      </c>
      <c r="M1405" s="36">
        <v>1</v>
      </c>
      <c r="N1405" s="36">
        <v>1</v>
      </c>
      <c r="O1405" s="36">
        <v>1</v>
      </c>
      <c r="P1405" s="37" t="s">
        <v>292</v>
      </c>
      <c r="Q1405" s="37"/>
      <c r="R1405" s="37" t="s">
        <v>3861</v>
      </c>
    </row>
    <row r="1406" spans="1:18" ht="27.7" hidden="1" thickBot="1" x14ac:dyDescent="0.55000000000000004">
      <c r="A1406" s="36">
        <v>1642</v>
      </c>
      <c r="B1406" s="37" t="s">
        <v>3862</v>
      </c>
      <c r="C1406" s="37" t="s">
        <v>1694</v>
      </c>
      <c r="D1406" s="37" t="s">
        <v>1694</v>
      </c>
      <c r="E1406" s="37" t="s">
        <v>1483</v>
      </c>
      <c r="F1406" s="37" t="s">
        <v>1464</v>
      </c>
      <c r="G1406" s="37" t="s">
        <v>1464</v>
      </c>
      <c r="H1406" s="37" t="s">
        <v>3863</v>
      </c>
      <c r="I1406" s="37" t="s">
        <v>1465</v>
      </c>
      <c r="J1406" s="37" t="s">
        <v>1465</v>
      </c>
      <c r="K1406" s="37" t="s">
        <v>1165</v>
      </c>
      <c r="L1406" s="36">
        <v>2</v>
      </c>
      <c r="M1406" s="36">
        <v>2</v>
      </c>
      <c r="N1406" s="36">
        <v>2</v>
      </c>
      <c r="O1406" s="36">
        <v>3</v>
      </c>
      <c r="P1406" s="37" t="s">
        <v>292</v>
      </c>
      <c r="Q1406" s="37"/>
      <c r="R1406" s="37" t="s">
        <v>3864</v>
      </c>
    </row>
    <row r="1407" spans="1:18" ht="27.7" hidden="1" thickBot="1" x14ac:dyDescent="0.55000000000000004">
      <c r="A1407" s="36">
        <v>1643</v>
      </c>
      <c r="B1407" s="37" t="s">
        <v>3865</v>
      </c>
      <c r="C1407" s="37" t="s">
        <v>3866</v>
      </c>
      <c r="D1407" s="37" t="s">
        <v>1694</v>
      </c>
      <c r="E1407" s="37" t="s">
        <v>1483</v>
      </c>
      <c r="F1407" s="37" t="s">
        <v>3863</v>
      </c>
      <c r="G1407" s="37" t="s">
        <v>3863</v>
      </c>
      <c r="H1407" s="37" t="s">
        <v>3863</v>
      </c>
      <c r="I1407" s="37" t="s">
        <v>944</v>
      </c>
      <c r="J1407" s="37" t="s">
        <v>944</v>
      </c>
      <c r="K1407" s="37" t="s">
        <v>1165</v>
      </c>
      <c r="L1407" s="36">
        <v>3</v>
      </c>
      <c r="M1407" s="36">
        <v>3</v>
      </c>
      <c r="N1407" s="36">
        <v>3</v>
      </c>
      <c r="O1407" s="36">
        <v>3</v>
      </c>
      <c r="P1407" s="37" t="s">
        <v>292</v>
      </c>
      <c r="Q1407" s="37"/>
      <c r="R1407" s="37" t="s">
        <v>3867</v>
      </c>
    </row>
    <row r="1408" spans="1:18" ht="27.7" hidden="1" thickBot="1" x14ac:dyDescent="0.55000000000000004">
      <c r="A1408" s="36">
        <v>1644</v>
      </c>
      <c r="B1408" s="37" t="s">
        <v>3868</v>
      </c>
      <c r="C1408" s="37" t="s">
        <v>3841</v>
      </c>
      <c r="D1408" s="37" t="s">
        <v>1432</v>
      </c>
      <c r="E1408" s="37" t="s">
        <v>1483</v>
      </c>
      <c r="F1408" s="37" t="s">
        <v>1464</v>
      </c>
      <c r="G1408" s="37" t="s">
        <v>1464</v>
      </c>
      <c r="H1408" s="37" t="s">
        <v>3863</v>
      </c>
      <c r="I1408" s="37" t="s">
        <v>1465</v>
      </c>
      <c r="J1408" s="37" t="s">
        <v>1465</v>
      </c>
      <c r="K1408" s="37" t="s">
        <v>1165</v>
      </c>
      <c r="L1408" s="36">
        <v>3</v>
      </c>
      <c r="M1408" s="36">
        <v>3</v>
      </c>
      <c r="N1408" s="36">
        <v>3</v>
      </c>
      <c r="O1408" s="36">
        <v>5</v>
      </c>
      <c r="P1408" s="37" t="s">
        <v>292</v>
      </c>
      <c r="Q1408" s="37"/>
      <c r="R1408" s="37" t="s">
        <v>3848</v>
      </c>
    </row>
    <row r="1409" spans="1:18" ht="27.7" hidden="1" thickBot="1" x14ac:dyDescent="0.55000000000000004">
      <c r="A1409" s="36">
        <v>1645</v>
      </c>
      <c r="B1409" s="37" t="s">
        <v>3869</v>
      </c>
      <c r="C1409" s="37" t="s">
        <v>3866</v>
      </c>
      <c r="D1409" s="37" t="s">
        <v>1694</v>
      </c>
      <c r="E1409" s="37" t="s">
        <v>1483</v>
      </c>
      <c r="F1409" s="37" t="s">
        <v>3863</v>
      </c>
      <c r="G1409" s="37" t="s">
        <v>3863</v>
      </c>
      <c r="H1409" s="37" t="s">
        <v>3863</v>
      </c>
      <c r="I1409" s="37" t="s">
        <v>944</v>
      </c>
      <c r="J1409" s="37" t="s">
        <v>944</v>
      </c>
      <c r="K1409" s="37" t="s">
        <v>1165</v>
      </c>
      <c r="L1409" s="36">
        <v>3</v>
      </c>
      <c r="M1409" s="36">
        <v>3</v>
      </c>
      <c r="N1409" s="36">
        <v>3</v>
      </c>
      <c r="O1409" s="36">
        <v>3</v>
      </c>
      <c r="P1409" s="37" t="s">
        <v>292</v>
      </c>
      <c r="Q1409" s="37"/>
      <c r="R1409" s="37" t="s">
        <v>3870</v>
      </c>
    </row>
    <row r="1410" spans="1:18" ht="27.7" hidden="1" thickBot="1" x14ac:dyDescent="0.55000000000000004">
      <c r="A1410" s="36">
        <v>1646</v>
      </c>
      <c r="B1410" s="37" t="s">
        <v>3871</v>
      </c>
      <c r="C1410" s="37" t="s">
        <v>1780</v>
      </c>
      <c r="D1410" s="37" t="s">
        <v>1783</v>
      </c>
      <c r="E1410" s="37" t="s">
        <v>1816</v>
      </c>
      <c r="F1410" s="37" t="s">
        <v>1758</v>
      </c>
      <c r="G1410" s="37" t="s">
        <v>1758</v>
      </c>
      <c r="H1410" s="37" t="s">
        <v>1698</v>
      </c>
      <c r="I1410" s="37" t="s">
        <v>944</v>
      </c>
      <c r="J1410" s="37" t="s">
        <v>944</v>
      </c>
      <c r="K1410" s="37" t="s">
        <v>1465</v>
      </c>
      <c r="L1410" s="36">
        <v>1</v>
      </c>
      <c r="M1410" s="36">
        <v>1</v>
      </c>
      <c r="N1410" s="36">
        <v>1</v>
      </c>
      <c r="O1410" s="36">
        <v>3</v>
      </c>
      <c r="P1410" s="37" t="s">
        <v>265</v>
      </c>
      <c r="Q1410" s="37"/>
      <c r="R1410" s="37" t="s">
        <v>3872</v>
      </c>
    </row>
    <row r="1411" spans="1:18" ht="27.7" hidden="1" thickBot="1" x14ac:dyDescent="0.55000000000000004">
      <c r="A1411" s="36">
        <v>1647</v>
      </c>
      <c r="B1411" s="37" t="s">
        <v>3873</v>
      </c>
      <c r="C1411" s="37" t="s">
        <v>1780</v>
      </c>
      <c r="D1411" s="37" t="s">
        <v>1783</v>
      </c>
      <c r="E1411" s="37" t="s">
        <v>1816</v>
      </c>
      <c r="F1411" s="37" t="s">
        <v>1484</v>
      </c>
      <c r="G1411" s="37" t="s">
        <v>1484</v>
      </c>
      <c r="H1411" s="37" t="s">
        <v>1758</v>
      </c>
      <c r="I1411" s="37" t="s">
        <v>1465</v>
      </c>
      <c r="J1411" s="37" t="s">
        <v>1465</v>
      </c>
      <c r="K1411" s="37" t="s">
        <v>1165</v>
      </c>
      <c r="L1411" s="36">
        <v>1</v>
      </c>
      <c r="M1411" s="36">
        <v>1</v>
      </c>
      <c r="N1411" s="36">
        <v>1</v>
      </c>
      <c r="O1411" s="36">
        <v>2</v>
      </c>
      <c r="P1411" s="37" t="s">
        <v>292</v>
      </c>
      <c r="Q1411" s="37"/>
      <c r="R1411" s="37" t="s">
        <v>3874</v>
      </c>
    </row>
    <row r="1412" spans="1:18" ht="27.7" hidden="1" thickBot="1" x14ac:dyDescent="0.55000000000000004">
      <c r="A1412" s="36">
        <v>1648</v>
      </c>
      <c r="B1412" s="37" t="s">
        <v>3875</v>
      </c>
      <c r="C1412" s="37" t="s">
        <v>1788</v>
      </c>
      <c r="D1412" s="37" t="s">
        <v>1394</v>
      </c>
      <c r="E1412" s="37" t="s">
        <v>1374</v>
      </c>
      <c r="F1412" s="37" t="s">
        <v>1758</v>
      </c>
      <c r="G1412" s="37" t="s">
        <v>1387</v>
      </c>
      <c r="H1412" s="37" t="s">
        <v>1387</v>
      </c>
      <c r="I1412" s="37" t="s">
        <v>944</v>
      </c>
      <c r="J1412" s="37" t="s">
        <v>944</v>
      </c>
      <c r="K1412" s="37" t="s">
        <v>1165</v>
      </c>
      <c r="L1412" s="36">
        <v>1</v>
      </c>
      <c r="M1412" s="36">
        <v>1</v>
      </c>
      <c r="N1412" s="36">
        <v>1</v>
      </c>
      <c r="O1412" s="36">
        <v>4</v>
      </c>
      <c r="P1412" s="37" t="s">
        <v>292</v>
      </c>
      <c r="Q1412" s="37"/>
      <c r="R1412" s="37" t="s">
        <v>3876</v>
      </c>
    </row>
    <row r="1413" spans="1:18" ht="27.7" hidden="1" thickBot="1" x14ac:dyDescent="0.55000000000000004">
      <c r="A1413" s="36">
        <v>1649</v>
      </c>
      <c r="B1413" s="37" t="s">
        <v>3877</v>
      </c>
      <c r="C1413" s="37" t="s">
        <v>1788</v>
      </c>
      <c r="D1413" s="37" t="s">
        <v>1394</v>
      </c>
      <c r="E1413" s="37" t="s">
        <v>1374</v>
      </c>
      <c r="F1413" s="37" t="s">
        <v>1758</v>
      </c>
      <c r="G1413" s="37" t="s">
        <v>1387</v>
      </c>
      <c r="H1413" s="37" t="s">
        <v>1387</v>
      </c>
      <c r="I1413" s="37" t="s">
        <v>944</v>
      </c>
      <c r="J1413" s="37" t="s">
        <v>944</v>
      </c>
      <c r="K1413" s="37" t="s">
        <v>1165</v>
      </c>
      <c r="L1413" s="36">
        <v>1</v>
      </c>
      <c r="M1413" s="36">
        <v>1</v>
      </c>
      <c r="N1413" s="36">
        <v>4</v>
      </c>
      <c r="O1413" s="36">
        <v>5</v>
      </c>
      <c r="P1413" s="37" t="s">
        <v>292</v>
      </c>
      <c r="Q1413" s="37"/>
      <c r="R1413" s="37" t="s">
        <v>3878</v>
      </c>
    </row>
    <row r="1414" spans="1:18" ht="27.7" hidden="1" thickBot="1" x14ac:dyDescent="0.55000000000000004">
      <c r="A1414" s="36">
        <v>1650</v>
      </c>
      <c r="B1414" s="37" t="s">
        <v>3879</v>
      </c>
      <c r="C1414" s="37" t="s">
        <v>3845</v>
      </c>
      <c r="D1414" s="37" t="s">
        <v>1808</v>
      </c>
      <c r="E1414" s="37" t="s">
        <v>1374</v>
      </c>
      <c r="F1414" s="37" t="s">
        <v>1840</v>
      </c>
      <c r="G1414" s="37" t="s">
        <v>1387</v>
      </c>
      <c r="H1414" s="37" t="s">
        <v>1387</v>
      </c>
      <c r="I1414" s="37" t="s">
        <v>944</v>
      </c>
      <c r="J1414" s="37" t="s">
        <v>944</v>
      </c>
      <c r="K1414" s="37" t="s">
        <v>1165</v>
      </c>
      <c r="L1414" s="36">
        <v>1</v>
      </c>
      <c r="M1414" s="36">
        <v>1</v>
      </c>
      <c r="N1414" s="36">
        <v>1</v>
      </c>
      <c r="O1414" s="36">
        <v>3</v>
      </c>
      <c r="P1414" s="37" t="s">
        <v>292</v>
      </c>
      <c r="Q1414" s="37"/>
      <c r="R1414" s="37" t="s">
        <v>3880</v>
      </c>
    </row>
    <row r="1415" spans="1:18" ht="27.7" hidden="1" thickBot="1" x14ac:dyDescent="0.55000000000000004">
      <c r="A1415" s="36">
        <v>1651</v>
      </c>
      <c r="B1415" s="37" t="s">
        <v>3881</v>
      </c>
      <c r="C1415" s="37" t="s">
        <v>1788</v>
      </c>
      <c r="D1415" s="37" t="s">
        <v>1394</v>
      </c>
      <c r="E1415" s="37" t="s">
        <v>1374</v>
      </c>
      <c r="F1415" s="37" t="s">
        <v>1758</v>
      </c>
      <c r="G1415" s="37" t="s">
        <v>1387</v>
      </c>
      <c r="H1415" s="37" t="s">
        <v>1387</v>
      </c>
      <c r="I1415" s="37" t="s">
        <v>944</v>
      </c>
      <c r="J1415" s="37" t="s">
        <v>944</v>
      </c>
      <c r="K1415" s="37" t="s">
        <v>1165</v>
      </c>
      <c r="L1415" s="36">
        <v>1</v>
      </c>
      <c r="M1415" s="36">
        <v>1</v>
      </c>
      <c r="N1415" s="36">
        <v>1</v>
      </c>
      <c r="O1415" s="36">
        <v>3</v>
      </c>
      <c r="P1415" s="37" t="s">
        <v>292</v>
      </c>
      <c r="Q1415" s="37"/>
      <c r="R1415" s="37" t="s">
        <v>3882</v>
      </c>
    </row>
    <row r="1416" spans="1:18" ht="27.7" hidden="1" thickBot="1" x14ac:dyDescent="0.55000000000000004">
      <c r="A1416" s="36">
        <v>1652</v>
      </c>
      <c r="B1416" s="37" t="s">
        <v>3883</v>
      </c>
      <c r="C1416" s="37" t="s">
        <v>1373</v>
      </c>
      <c r="D1416" s="37" t="s">
        <v>1373</v>
      </c>
      <c r="E1416" s="37" t="s">
        <v>1374</v>
      </c>
      <c r="F1416" s="37" t="s">
        <v>1395</v>
      </c>
      <c r="G1416" s="37" t="s">
        <v>1387</v>
      </c>
      <c r="H1416" s="37" t="s">
        <v>1387</v>
      </c>
      <c r="I1416" s="37" t="s">
        <v>944</v>
      </c>
      <c r="J1416" s="37" t="s">
        <v>944</v>
      </c>
      <c r="K1416" s="37" t="s">
        <v>1165</v>
      </c>
      <c r="L1416" s="36">
        <v>1</v>
      </c>
      <c r="M1416" s="36">
        <v>1</v>
      </c>
      <c r="N1416" s="36">
        <v>1</v>
      </c>
      <c r="O1416" s="36">
        <v>2</v>
      </c>
      <c r="P1416" s="37" t="s">
        <v>292</v>
      </c>
      <c r="Q1416" s="37"/>
      <c r="R1416" s="37" t="s">
        <v>3884</v>
      </c>
    </row>
    <row r="1417" spans="1:18" ht="27.7" hidden="1" thickBot="1" x14ac:dyDescent="0.55000000000000004">
      <c r="A1417" s="36">
        <v>1653</v>
      </c>
      <c r="B1417" s="37" t="s">
        <v>3885</v>
      </c>
      <c r="C1417" s="37" t="s">
        <v>1797</v>
      </c>
      <c r="D1417" s="37" t="s">
        <v>1394</v>
      </c>
      <c r="E1417" s="37" t="s">
        <v>1374</v>
      </c>
      <c r="F1417" s="37" t="s">
        <v>1758</v>
      </c>
      <c r="G1417" s="37" t="s">
        <v>1387</v>
      </c>
      <c r="H1417" s="37" t="s">
        <v>1387</v>
      </c>
      <c r="I1417" s="37" t="s">
        <v>944</v>
      </c>
      <c r="J1417" s="37" t="s">
        <v>944</v>
      </c>
      <c r="K1417" s="37" t="s">
        <v>1165</v>
      </c>
      <c r="L1417" s="36">
        <v>1</v>
      </c>
      <c r="M1417" s="36">
        <v>1</v>
      </c>
      <c r="N1417" s="36">
        <v>3</v>
      </c>
      <c r="O1417" s="36">
        <v>3</v>
      </c>
      <c r="P1417" s="37" t="s">
        <v>292</v>
      </c>
      <c r="Q1417" s="37"/>
      <c r="R1417" s="37" t="s">
        <v>3886</v>
      </c>
    </row>
    <row r="1418" spans="1:18" ht="27.7" hidden="1" thickBot="1" x14ac:dyDescent="0.55000000000000004">
      <c r="A1418" s="36">
        <v>1654</v>
      </c>
      <c r="B1418" s="37" t="s">
        <v>3887</v>
      </c>
      <c r="C1418" s="37" t="s">
        <v>1801</v>
      </c>
      <c r="D1418" s="37" t="s">
        <v>1394</v>
      </c>
      <c r="E1418" s="37" t="s">
        <v>1374</v>
      </c>
      <c r="F1418" s="37" t="s">
        <v>1758</v>
      </c>
      <c r="G1418" s="37" t="s">
        <v>1387</v>
      </c>
      <c r="H1418" s="37" t="s">
        <v>1387</v>
      </c>
      <c r="I1418" s="37" t="s">
        <v>944</v>
      </c>
      <c r="J1418" s="37" t="s">
        <v>944</v>
      </c>
      <c r="K1418" s="37" t="s">
        <v>1165</v>
      </c>
      <c r="L1418" s="36">
        <v>1</v>
      </c>
      <c r="M1418" s="36">
        <v>1</v>
      </c>
      <c r="N1418" s="36">
        <v>1</v>
      </c>
      <c r="O1418" s="36">
        <v>3</v>
      </c>
      <c r="P1418" s="37" t="s">
        <v>292</v>
      </c>
      <c r="Q1418" s="37"/>
      <c r="R1418" s="37" t="s">
        <v>3888</v>
      </c>
    </row>
    <row r="1419" spans="1:18" ht="27.7" hidden="1" thickBot="1" x14ac:dyDescent="0.55000000000000004">
      <c r="A1419" s="36">
        <v>1655</v>
      </c>
      <c r="B1419" s="37" t="s">
        <v>3889</v>
      </c>
      <c r="C1419" s="37" t="s">
        <v>1797</v>
      </c>
      <c r="D1419" s="37" t="s">
        <v>1394</v>
      </c>
      <c r="E1419" s="37" t="s">
        <v>1374</v>
      </c>
      <c r="F1419" s="37" t="s">
        <v>1758</v>
      </c>
      <c r="G1419" s="37" t="s">
        <v>1387</v>
      </c>
      <c r="H1419" s="37" t="s">
        <v>1387</v>
      </c>
      <c r="I1419" s="37" t="s">
        <v>944</v>
      </c>
      <c r="J1419" s="37" t="s">
        <v>944</v>
      </c>
      <c r="K1419" s="37" t="s">
        <v>1165</v>
      </c>
      <c r="L1419" s="36">
        <v>1</v>
      </c>
      <c r="M1419" s="36">
        <v>1</v>
      </c>
      <c r="N1419" s="36">
        <v>1</v>
      </c>
      <c r="O1419" s="36">
        <v>4</v>
      </c>
      <c r="P1419" s="37" t="s">
        <v>292</v>
      </c>
      <c r="Q1419" s="37"/>
      <c r="R1419" s="37" t="s">
        <v>3890</v>
      </c>
    </row>
    <row r="1420" spans="1:18" ht="27.7" hidden="1" thickBot="1" x14ac:dyDescent="0.55000000000000004">
      <c r="A1420" s="36">
        <v>1656</v>
      </c>
      <c r="B1420" s="37" t="s">
        <v>3891</v>
      </c>
      <c r="C1420" s="37" t="s">
        <v>1808</v>
      </c>
      <c r="D1420" s="37" t="s">
        <v>1808</v>
      </c>
      <c r="E1420" s="37" t="s">
        <v>1374</v>
      </c>
      <c r="F1420" s="37" t="s">
        <v>1804</v>
      </c>
      <c r="G1420" s="37" t="s">
        <v>1387</v>
      </c>
      <c r="H1420" s="37" t="s">
        <v>1387</v>
      </c>
      <c r="I1420" s="37" t="s">
        <v>944</v>
      </c>
      <c r="J1420" s="37" t="s">
        <v>944</v>
      </c>
      <c r="K1420" s="37" t="s">
        <v>1165</v>
      </c>
      <c r="L1420" s="36">
        <v>1</v>
      </c>
      <c r="M1420" s="36">
        <v>1</v>
      </c>
      <c r="N1420" s="36">
        <v>1</v>
      </c>
      <c r="O1420" s="36">
        <v>2</v>
      </c>
      <c r="P1420" s="37" t="s">
        <v>292</v>
      </c>
      <c r="Q1420" s="37"/>
      <c r="R1420" s="37" t="s">
        <v>3892</v>
      </c>
    </row>
    <row r="1421" spans="1:18" ht="27.7" hidden="1" thickBot="1" x14ac:dyDescent="0.55000000000000004">
      <c r="A1421" s="36">
        <v>1657</v>
      </c>
      <c r="B1421" s="37" t="s">
        <v>3893</v>
      </c>
      <c r="C1421" s="37" t="s">
        <v>1811</v>
      </c>
      <c r="D1421" s="37" t="s">
        <v>1394</v>
      </c>
      <c r="E1421" s="37" t="s">
        <v>1374</v>
      </c>
      <c r="F1421" s="37" t="s">
        <v>1804</v>
      </c>
      <c r="G1421" s="37" t="s">
        <v>1387</v>
      </c>
      <c r="H1421" s="37" t="s">
        <v>1387</v>
      </c>
      <c r="I1421" s="37" t="s">
        <v>944</v>
      </c>
      <c r="J1421" s="37" t="s">
        <v>944</v>
      </c>
      <c r="K1421" s="37" t="s">
        <v>1165</v>
      </c>
      <c r="L1421" s="36">
        <v>1</v>
      </c>
      <c r="M1421" s="36">
        <v>1</v>
      </c>
      <c r="N1421" s="36">
        <v>1</v>
      </c>
      <c r="O1421" s="36">
        <v>2</v>
      </c>
      <c r="P1421" s="37" t="s">
        <v>292</v>
      </c>
      <c r="Q1421" s="37"/>
      <c r="R1421" s="37" t="s">
        <v>3894</v>
      </c>
    </row>
    <row r="1422" spans="1:18" ht="27.7" hidden="1" thickBot="1" x14ac:dyDescent="0.55000000000000004">
      <c r="A1422" s="36">
        <v>1658</v>
      </c>
      <c r="B1422" s="37" t="s">
        <v>3895</v>
      </c>
      <c r="C1422" s="37" t="s">
        <v>1811</v>
      </c>
      <c r="D1422" s="37" t="s">
        <v>1394</v>
      </c>
      <c r="E1422" s="37" t="s">
        <v>1374</v>
      </c>
      <c r="F1422" s="37" t="s">
        <v>1804</v>
      </c>
      <c r="G1422" s="37" t="s">
        <v>1387</v>
      </c>
      <c r="H1422" s="37" t="s">
        <v>1387</v>
      </c>
      <c r="I1422" s="37" t="s">
        <v>944</v>
      </c>
      <c r="J1422" s="37" t="s">
        <v>944</v>
      </c>
      <c r="K1422" s="37" t="s">
        <v>1165</v>
      </c>
      <c r="L1422" s="36">
        <v>1</v>
      </c>
      <c r="M1422" s="36">
        <v>1</v>
      </c>
      <c r="N1422" s="36">
        <v>1</v>
      </c>
      <c r="O1422" s="36">
        <v>4</v>
      </c>
      <c r="P1422" s="37" t="s">
        <v>292</v>
      </c>
      <c r="Q1422" s="37"/>
      <c r="R1422" s="37" t="s">
        <v>3896</v>
      </c>
    </row>
    <row r="1423" spans="1:18" ht="27.7" hidden="1" thickBot="1" x14ac:dyDescent="0.55000000000000004">
      <c r="A1423" s="36">
        <v>1659</v>
      </c>
      <c r="B1423" s="37" t="s">
        <v>3897</v>
      </c>
      <c r="C1423" s="37" t="s">
        <v>1801</v>
      </c>
      <c r="D1423" s="37" t="s">
        <v>1394</v>
      </c>
      <c r="E1423" s="37" t="s">
        <v>1374</v>
      </c>
      <c r="F1423" s="37" t="s">
        <v>1395</v>
      </c>
      <c r="G1423" s="37" t="s">
        <v>1387</v>
      </c>
      <c r="H1423" s="37" t="s">
        <v>1387</v>
      </c>
      <c r="I1423" s="37" t="s">
        <v>944</v>
      </c>
      <c r="J1423" s="37" t="s">
        <v>944</v>
      </c>
      <c r="K1423" s="37" t="s">
        <v>1165</v>
      </c>
      <c r="L1423" s="36">
        <v>1</v>
      </c>
      <c r="M1423" s="36">
        <v>1</v>
      </c>
      <c r="N1423" s="36">
        <v>2</v>
      </c>
      <c r="O1423" s="36">
        <v>4</v>
      </c>
      <c r="P1423" s="37" t="s">
        <v>292</v>
      </c>
      <c r="Q1423" s="37"/>
      <c r="R1423" s="37" t="s">
        <v>3898</v>
      </c>
    </row>
    <row r="1424" spans="1:18" ht="27.7" hidden="1" thickBot="1" x14ac:dyDescent="0.55000000000000004">
      <c r="A1424" s="36">
        <v>1660</v>
      </c>
      <c r="B1424" s="37" t="s">
        <v>3899</v>
      </c>
      <c r="C1424" s="37" t="s">
        <v>1372</v>
      </c>
      <c r="D1424" s="37" t="s">
        <v>1373</v>
      </c>
      <c r="E1424" s="37" t="s">
        <v>1374</v>
      </c>
      <c r="F1424" s="37" t="s">
        <v>1306</v>
      </c>
      <c r="G1424" s="37" t="s">
        <v>1306</v>
      </c>
      <c r="H1424" s="37" t="s">
        <v>1306</v>
      </c>
      <c r="I1424" s="37" t="s">
        <v>1003</v>
      </c>
      <c r="J1424" s="37" t="s">
        <v>1003</v>
      </c>
      <c r="K1424" s="37" t="s">
        <v>1003</v>
      </c>
      <c r="L1424" s="36">
        <v>1</v>
      </c>
      <c r="M1424" s="36">
        <v>1</v>
      </c>
      <c r="N1424" s="36">
        <v>1</v>
      </c>
      <c r="O1424" s="36">
        <v>1</v>
      </c>
      <c r="P1424" s="37" t="s">
        <v>292</v>
      </c>
      <c r="Q1424" s="37"/>
      <c r="R1424" s="37" t="s">
        <v>3900</v>
      </c>
    </row>
    <row r="1425" spans="1:18" ht="27.7" hidden="1" thickBot="1" x14ac:dyDescent="0.55000000000000004">
      <c r="A1425" s="36">
        <v>1661</v>
      </c>
      <c r="B1425" s="37" t="s">
        <v>3901</v>
      </c>
      <c r="C1425" s="37" t="s">
        <v>1398</v>
      </c>
      <c r="D1425" s="37" t="s">
        <v>1373</v>
      </c>
      <c r="E1425" s="37" t="s">
        <v>1374</v>
      </c>
      <c r="F1425" s="37" t="s">
        <v>1395</v>
      </c>
      <c r="G1425" s="37" t="s">
        <v>1387</v>
      </c>
      <c r="H1425" s="37" t="s">
        <v>1387</v>
      </c>
      <c r="I1425" s="37" t="s">
        <v>944</v>
      </c>
      <c r="J1425" s="37" t="s">
        <v>944</v>
      </c>
      <c r="K1425" s="37" t="s">
        <v>1165</v>
      </c>
      <c r="L1425" s="36">
        <v>1</v>
      </c>
      <c r="M1425" s="36">
        <v>1</v>
      </c>
      <c r="N1425" s="36">
        <v>1</v>
      </c>
      <c r="O1425" s="36">
        <v>2</v>
      </c>
      <c r="P1425" s="37" t="s">
        <v>292</v>
      </c>
      <c r="Q1425" s="37"/>
      <c r="R1425" s="37" t="s">
        <v>3902</v>
      </c>
    </row>
    <row r="1426" spans="1:18" ht="27.7" hidden="1" thickBot="1" x14ac:dyDescent="0.55000000000000004">
      <c r="A1426" s="36">
        <v>1662</v>
      </c>
      <c r="B1426" s="37" t="s">
        <v>3903</v>
      </c>
      <c r="C1426" s="37" t="s">
        <v>1373</v>
      </c>
      <c r="D1426" s="37" t="s">
        <v>1373</v>
      </c>
      <c r="E1426" s="37" t="s">
        <v>1374</v>
      </c>
      <c r="F1426" s="37" t="s">
        <v>1395</v>
      </c>
      <c r="G1426" s="37" t="s">
        <v>1387</v>
      </c>
      <c r="H1426" s="37" t="s">
        <v>1387</v>
      </c>
      <c r="I1426" s="37" t="s">
        <v>944</v>
      </c>
      <c r="J1426" s="37" t="s">
        <v>944</v>
      </c>
      <c r="K1426" s="37" t="s">
        <v>1165</v>
      </c>
      <c r="L1426" s="36">
        <v>1</v>
      </c>
      <c r="M1426" s="36">
        <v>1</v>
      </c>
      <c r="N1426" s="36">
        <v>1</v>
      </c>
      <c r="O1426" s="36">
        <v>2</v>
      </c>
      <c r="P1426" s="37" t="s">
        <v>292</v>
      </c>
      <c r="Q1426" s="37"/>
      <c r="R1426" s="37" t="s">
        <v>3904</v>
      </c>
    </row>
    <row r="1427" spans="1:18" ht="27.7" hidden="1" thickBot="1" x14ac:dyDescent="0.55000000000000004">
      <c r="A1427" s="36">
        <v>1663</v>
      </c>
      <c r="B1427" s="37" t="s">
        <v>3905</v>
      </c>
      <c r="C1427" s="37" t="s">
        <v>1398</v>
      </c>
      <c r="D1427" s="37" t="s">
        <v>1373</v>
      </c>
      <c r="E1427" s="37" t="s">
        <v>1374</v>
      </c>
      <c r="F1427" s="37" t="s">
        <v>1395</v>
      </c>
      <c r="G1427" s="37" t="s">
        <v>1387</v>
      </c>
      <c r="H1427" s="37" t="s">
        <v>1387</v>
      </c>
      <c r="I1427" s="37" t="s">
        <v>944</v>
      </c>
      <c r="J1427" s="37" t="s">
        <v>944</v>
      </c>
      <c r="K1427" s="37" t="s">
        <v>1165</v>
      </c>
      <c r="L1427" s="36">
        <v>1</v>
      </c>
      <c r="M1427" s="36">
        <v>1</v>
      </c>
      <c r="N1427" s="36">
        <v>1</v>
      </c>
      <c r="O1427" s="36">
        <v>2</v>
      </c>
      <c r="P1427" s="37" t="s">
        <v>292</v>
      </c>
      <c r="Q1427" s="37"/>
      <c r="R1427" s="37" t="s">
        <v>3906</v>
      </c>
    </row>
    <row r="1428" spans="1:18" ht="27.7" hidden="1" thickBot="1" x14ac:dyDescent="0.55000000000000004">
      <c r="A1428" s="36">
        <v>1664</v>
      </c>
      <c r="B1428" s="37" t="s">
        <v>3907</v>
      </c>
      <c r="C1428" s="37" t="s">
        <v>1372</v>
      </c>
      <c r="D1428" s="37" t="s">
        <v>1373</v>
      </c>
      <c r="E1428" s="37" t="s">
        <v>1374</v>
      </c>
      <c r="F1428" s="37" t="s">
        <v>1306</v>
      </c>
      <c r="G1428" s="37" t="s">
        <v>1387</v>
      </c>
      <c r="H1428" s="37" t="s">
        <v>1387</v>
      </c>
      <c r="I1428" s="37" t="s">
        <v>1003</v>
      </c>
      <c r="J1428" s="37" t="s">
        <v>944</v>
      </c>
      <c r="K1428" s="37" t="s">
        <v>1165</v>
      </c>
      <c r="L1428" s="36">
        <v>1</v>
      </c>
      <c r="M1428" s="36">
        <v>1</v>
      </c>
      <c r="N1428" s="36">
        <v>1</v>
      </c>
      <c r="O1428" s="36">
        <v>2</v>
      </c>
      <c r="P1428" s="37" t="s">
        <v>292</v>
      </c>
      <c r="Q1428" s="37"/>
      <c r="R1428" s="37" t="s">
        <v>3908</v>
      </c>
    </row>
    <row r="1429" spans="1:18" ht="27.7" hidden="1" thickBot="1" x14ac:dyDescent="0.55000000000000004">
      <c r="A1429" s="36">
        <v>1665</v>
      </c>
      <c r="B1429" s="37" t="s">
        <v>3909</v>
      </c>
      <c r="C1429" s="37" t="s">
        <v>1863</v>
      </c>
      <c r="D1429" s="37" t="s">
        <v>1808</v>
      </c>
      <c r="E1429" s="37" t="s">
        <v>1374</v>
      </c>
      <c r="F1429" s="37" t="s">
        <v>1840</v>
      </c>
      <c r="G1429" s="37" t="s">
        <v>1387</v>
      </c>
      <c r="H1429" s="37" t="s">
        <v>1387</v>
      </c>
      <c r="I1429" s="37" t="s">
        <v>1003</v>
      </c>
      <c r="J1429" s="37" t="s">
        <v>944</v>
      </c>
      <c r="K1429" s="37" t="s">
        <v>1165</v>
      </c>
      <c r="L1429" s="36">
        <v>1</v>
      </c>
      <c r="M1429" s="36">
        <v>1</v>
      </c>
      <c r="N1429" s="36">
        <v>1</v>
      </c>
      <c r="O1429" s="36">
        <v>3</v>
      </c>
      <c r="P1429" s="37" t="s">
        <v>292</v>
      </c>
      <c r="Q1429" s="37"/>
      <c r="R1429" s="37" t="s">
        <v>3910</v>
      </c>
    </row>
    <row r="1430" spans="1:18" ht="27.7" hidden="1" thickBot="1" x14ac:dyDescent="0.55000000000000004">
      <c r="A1430" s="36">
        <v>1666</v>
      </c>
      <c r="B1430" s="37" t="s">
        <v>3911</v>
      </c>
      <c r="C1430" s="37" t="s">
        <v>3911</v>
      </c>
      <c r="D1430" s="37" t="s">
        <v>1808</v>
      </c>
      <c r="E1430" s="37" t="s">
        <v>1374</v>
      </c>
      <c r="F1430" s="37" t="s">
        <v>1395</v>
      </c>
      <c r="G1430" s="37" t="s">
        <v>1387</v>
      </c>
      <c r="H1430" s="37" t="s">
        <v>1387</v>
      </c>
      <c r="I1430" s="37" t="s">
        <v>944</v>
      </c>
      <c r="J1430" s="37" t="s">
        <v>944</v>
      </c>
      <c r="K1430" s="37" t="s">
        <v>1165</v>
      </c>
      <c r="L1430" s="36">
        <v>1</v>
      </c>
      <c r="M1430" s="36">
        <v>1</v>
      </c>
      <c r="N1430" s="36">
        <v>1</v>
      </c>
      <c r="O1430" s="36">
        <v>3</v>
      </c>
      <c r="P1430" s="37" t="s">
        <v>292</v>
      </c>
      <c r="Q1430" s="37"/>
      <c r="R1430" s="37" t="s">
        <v>3912</v>
      </c>
    </row>
    <row r="1431" spans="1:18" ht="27.7" hidden="1" thickBot="1" x14ac:dyDescent="0.55000000000000004">
      <c r="A1431" s="36">
        <v>1667</v>
      </c>
      <c r="B1431" s="37" t="s">
        <v>3913</v>
      </c>
      <c r="C1431" s="37" t="s">
        <v>1373</v>
      </c>
      <c r="D1431" s="37" t="s">
        <v>1373</v>
      </c>
      <c r="E1431" s="37" t="s">
        <v>1374</v>
      </c>
      <c r="F1431" s="37" t="s">
        <v>1395</v>
      </c>
      <c r="G1431" s="37" t="s">
        <v>1387</v>
      </c>
      <c r="H1431" s="37" t="s">
        <v>1387</v>
      </c>
      <c r="I1431" s="37" t="s">
        <v>944</v>
      </c>
      <c r="J1431" s="37" t="s">
        <v>944</v>
      </c>
      <c r="K1431" s="37" t="s">
        <v>1165</v>
      </c>
      <c r="L1431" s="36">
        <v>1</v>
      </c>
      <c r="M1431" s="36">
        <v>1</v>
      </c>
      <c r="N1431" s="36">
        <v>1</v>
      </c>
      <c r="O1431" s="36">
        <v>2</v>
      </c>
      <c r="P1431" s="37" t="s">
        <v>292</v>
      </c>
      <c r="Q1431" s="37"/>
      <c r="R1431" s="37" t="s">
        <v>3914</v>
      </c>
    </row>
    <row r="1432" spans="1:18" ht="27.7" hidden="1" thickBot="1" x14ac:dyDescent="0.55000000000000004">
      <c r="A1432" s="36">
        <v>1668</v>
      </c>
      <c r="B1432" s="37" t="s">
        <v>3915</v>
      </c>
      <c r="C1432" s="37" t="s">
        <v>1846</v>
      </c>
      <c r="D1432" s="37" t="s">
        <v>1378</v>
      </c>
      <c r="E1432" s="37" t="s">
        <v>1374</v>
      </c>
      <c r="F1432" s="37" t="s">
        <v>1395</v>
      </c>
      <c r="G1432" s="37" t="s">
        <v>1387</v>
      </c>
      <c r="H1432" s="37" t="s">
        <v>1387</v>
      </c>
      <c r="I1432" s="37" t="s">
        <v>944</v>
      </c>
      <c r="J1432" s="37" t="s">
        <v>944</v>
      </c>
      <c r="K1432" s="37" t="s">
        <v>1165</v>
      </c>
      <c r="L1432" s="36">
        <v>1</v>
      </c>
      <c r="M1432" s="36">
        <v>1</v>
      </c>
      <c r="N1432" s="36">
        <v>1</v>
      </c>
      <c r="O1432" s="36">
        <v>3</v>
      </c>
      <c r="P1432" s="37" t="s">
        <v>292</v>
      </c>
      <c r="Q1432" s="37"/>
      <c r="R1432" s="37" t="s">
        <v>3916</v>
      </c>
    </row>
    <row r="1433" spans="1:18" ht="27.7" hidden="1" thickBot="1" x14ac:dyDescent="0.55000000000000004">
      <c r="A1433" s="36">
        <v>1669</v>
      </c>
      <c r="B1433" s="37" t="s">
        <v>3917</v>
      </c>
      <c r="C1433" s="37" t="s">
        <v>1846</v>
      </c>
      <c r="D1433" s="37" t="s">
        <v>1378</v>
      </c>
      <c r="E1433" s="37" t="s">
        <v>1374</v>
      </c>
      <c r="F1433" s="37" t="s">
        <v>1395</v>
      </c>
      <c r="G1433" s="37" t="s">
        <v>1387</v>
      </c>
      <c r="H1433" s="37" t="s">
        <v>1387</v>
      </c>
      <c r="I1433" s="37" t="s">
        <v>944</v>
      </c>
      <c r="J1433" s="37" t="s">
        <v>944</v>
      </c>
      <c r="K1433" s="37" t="s">
        <v>1165</v>
      </c>
      <c r="L1433" s="36">
        <v>1</v>
      </c>
      <c r="M1433" s="36">
        <v>1</v>
      </c>
      <c r="N1433" s="36">
        <v>1</v>
      </c>
      <c r="O1433" s="36">
        <v>2</v>
      </c>
      <c r="P1433" s="37" t="s">
        <v>292</v>
      </c>
      <c r="Q1433" s="37"/>
      <c r="R1433" s="37" t="s">
        <v>3918</v>
      </c>
    </row>
    <row r="1434" spans="1:18" ht="27.7" hidden="1" thickBot="1" x14ac:dyDescent="0.55000000000000004">
      <c r="A1434" s="36">
        <v>1670</v>
      </c>
      <c r="B1434" s="37" t="s">
        <v>3919</v>
      </c>
      <c r="C1434" s="37" t="s">
        <v>1372</v>
      </c>
      <c r="D1434" s="37" t="s">
        <v>1373</v>
      </c>
      <c r="E1434" s="37" t="s">
        <v>1374</v>
      </c>
      <c r="F1434" s="37" t="s">
        <v>1379</v>
      </c>
      <c r="G1434" s="37" t="s">
        <v>1387</v>
      </c>
      <c r="H1434" s="37" t="s">
        <v>1387</v>
      </c>
      <c r="I1434" s="37" t="s">
        <v>1003</v>
      </c>
      <c r="J1434" s="37" t="s">
        <v>944</v>
      </c>
      <c r="K1434" s="37" t="s">
        <v>1165</v>
      </c>
      <c r="L1434" s="36">
        <v>1</v>
      </c>
      <c r="M1434" s="36">
        <v>1</v>
      </c>
      <c r="N1434" s="36">
        <v>1</v>
      </c>
      <c r="O1434" s="36">
        <v>2</v>
      </c>
      <c r="P1434" s="37" t="s">
        <v>292</v>
      </c>
      <c r="Q1434" s="37"/>
      <c r="R1434" s="37" t="s">
        <v>3920</v>
      </c>
    </row>
    <row r="1435" spans="1:18" ht="27.7" hidden="1" thickBot="1" x14ac:dyDescent="0.55000000000000004">
      <c r="A1435" s="36">
        <v>1671</v>
      </c>
      <c r="B1435" s="37" t="s">
        <v>3921</v>
      </c>
      <c r="C1435" s="37" t="s">
        <v>1860</v>
      </c>
      <c r="D1435" s="37" t="s">
        <v>1808</v>
      </c>
      <c r="E1435" s="37" t="s">
        <v>1374</v>
      </c>
      <c r="F1435" s="37" t="s">
        <v>1840</v>
      </c>
      <c r="G1435" s="37" t="s">
        <v>1387</v>
      </c>
      <c r="H1435" s="37" t="s">
        <v>1387</v>
      </c>
      <c r="I1435" s="37" t="s">
        <v>944</v>
      </c>
      <c r="J1435" s="37" t="s">
        <v>944</v>
      </c>
      <c r="K1435" s="37" t="s">
        <v>1165</v>
      </c>
      <c r="L1435" s="36">
        <v>1</v>
      </c>
      <c r="M1435" s="36">
        <v>1</v>
      </c>
      <c r="N1435" s="36">
        <v>2</v>
      </c>
      <c r="O1435" s="36">
        <v>3</v>
      </c>
      <c r="P1435" s="37" t="s">
        <v>292</v>
      </c>
      <c r="Q1435" s="37"/>
      <c r="R1435" s="37" t="s">
        <v>3922</v>
      </c>
    </row>
    <row r="1436" spans="1:18" ht="27.7" hidden="1" thickBot="1" x14ac:dyDescent="0.55000000000000004">
      <c r="A1436" s="36">
        <v>1672</v>
      </c>
      <c r="B1436" s="37" t="s">
        <v>3923</v>
      </c>
      <c r="C1436" s="37" t="s">
        <v>1846</v>
      </c>
      <c r="D1436" s="37" t="s">
        <v>1378</v>
      </c>
      <c r="E1436" s="37" t="s">
        <v>1374</v>
      </c>
      <c r="F1436" s="37" t="s">
        <v>1395</v>
      </c>
      <c r="G1436" s="37" t="s">
        <v>1387</v>
      </c>
      <c r="H1436" s="37" t="s">
        <v>1387</v>
      </c>
      <c r="I1436" s="37" t="s">
        <v>944</v>
      </c>
      <c r="J1436" s="37" t="s">
        <v>944</v>
      </c>
      <c r="K1436" s="37" t="s">
        <v>1165</v>
      </c>
      <c r="L1436" s="36">
        <v>1</v>
      </c>
      <c r="M1436" s="36">
        <v>1</v>
      </c>
      <c r="N1436" s="36">
        <v>1</v>
      </c>
      <c r="O1436" s="36">
        <v>2</v>
      </c>
      <c r="P1436" s="37" t="s">
        <v>292</v>
      </c>
      <c r="Q1436" s="37"/>
      <c r="R1436" s="37" t="s">
        <v>3924</v>
      </c>
    </row>
    <row r="1437" spans="1:18" ht="27.7" hidden="1" thickBot="1" x14ac:dyDescent="0.55000000000000004">
      <c r="A1437" s="36">
        <v>1675</v>
      </c>
      <c r="B1437" s="37" t="s">
        <v>3925</v>
      </c>
      <c r="C1437" s="37" t="s">
        <v>1811</v>
      </c>
      <c r="D1437" s="37" t="s">
        <v>1394</v>
      </c>
      <c r="E1437" s="37" t="s">
        <v>1374</v>
      </c>
      <c r="F1437" s="37" t="s">
        <v>1804</v>
      </c>
      <c r="G1437" s="37" t="s">
        <v>1387</v>
      </c>
      <c r="H1437" s="37" t="s">
        <v>1387</v>
      </c>
      <c r="I1437" s="37" t="s">
        <v>944</v>
      </c>
      <c r="J1437" s="37" t="s">
        <v>944</v>
      </c>
      <c r="K1437" s="37" t="s">
        <v>1165</v>
      </c>
      <c r="L1437" s="36">
        <v>1</v>
      </c>
      <c r="M1437" s="36">
        <v>1</v>
      </c>
      <c r="N1437" s="36">
        <v>2</v>
      </c>
      <c r="O1437" s="36">
        <v>5</v>
      </c>
      <c r="P1437" s="37" t="s">
        <v>292</v>
      </c>
      <c r="Q1437" s="37"/>
      <c r="R1437" s="37" t="s">
        <v>3926</v>
      </c>
    </row>
    <row r="1438" spans="1:18" ht="27.7" hidden="1" thickBot="1" x14ac:dyDescent="0.55000000000000004">
      <c r="A1438" s="36">
        <v>1676</v>
      </c>
      <c r="B1438" s="37" t="s">
        <v>3927</v>
      </c>
      <c r="C1438" s="37" t="s">
        <v>1860</v>
      </c>
      <c r="D1438" s="37" t="s">
        <v>1808</v>
      </c>
      <c r="E1438" s="37" t="s">
        <v>1374</v>
      </c>
      <c r="F1438" s="37" t="s">
        <v>1840</v>
      </c>
      <c r="G1438" s="37" t="s">
        <v>1387</v>
      </c>
      <c r="H1438" s="37" t="s">
        <v>1387</v>
      </c>
      <c r="I1438" s="37" t="s">
        <v>944</v>
      </c>
      <c r="J1438" s="37" t="s">
        <v>944</v>
      </c>
      <c r="K1438" s="37" t="s">
        <v>1165</v>
      </c>
      <c r="L1438" s="36">
        <v>1</v>
      </c>
      <c r="M1438" s="36">
        <v>1</v>
      </c>
      <c r="N1438" s="36">
        <v>1</v>
      </c>
      <c r="O1438" s="36">
        <v>4</v>
      </c>
      <c r="P1438" s="37" t="s">
        <v>292</v>
      </c>
      <c r="Q1438" s="37"/>
      <c r="R1438" s="37" t="s">
        <v>3928</v>
      </c>
    </row>
    <row r="1439" spans="1:18" ht="27.7" hidden="1" thickBot="1" x14ac:dyDescent="0.55000000000000004">
      <c r="A1439" s="36">
        <v>1677</v>
      </c>
      <c r="B1439" s="37" t="s">
        <v>3929</v>
      </c>
      <c r="C1439" s="37" t="s">
        <v>1857</v>
      </c>
      <c r="D1439" s="37" t="s">
        <v>1378</v>
      </c>
      <c r="E1439" s="37" t="s">
        <v>1374</v>
      </c>
      <c r="F1439" s="37" t="s">
        <v>1853</v>
      </c>
      <c r="G1439" s="37" t="s">
        <v>1387</v>
      </c>
      <c r="H1439" s="37" t="s">
        <v>1387</v>
      </c>
      <c r="I1439" s="37" t="s">
        <v>1003</v>
      </c>
      <c r="J1439" s="37" t="s">
        <v>944</v>
      </c>
      <c r="K1439" s="37" t="s">
        <v>1165</v>
      </c>
      <c r="L1439" s="36">
        <v>1</v>
      </c>
      <c r="M1439" s="36">
        <v>1</v>
      </c>
      <c r="N1439" s="36">
        <v>1</v>
      </c>
      <c r="O1439" s="36">
        <v>2</v>
      </c>
      <c r="P1439" s="37" t="s">
        <v>292</v>
      </c>
      <c r="Q1439" s="37"/>
      <c r="R1439" s="37" t="s">
        <v>3930</v>
      </c>
    </row>
    <row r="1440" spans="1:18" ht="41.35" hidden="1" thickBot="1" x14ac:dyDescent="0.55000000000000004">
      <c r="A1440" s="36">
        <v>1678</v>
      </c>
      <c r="B1440" s="37" t="s">
        <v>3931</v>
      </c>
      <c r="C1440" s="37" t="s">
        <v>1870</v>
      </c>
      <c r="D1440" s="37" t="s">
        <v>1808</v>
      </c>
      <c r="E1440" s="37" t="s">
        <v>1374</v>
      </c>
      <c r="F1440" s="37" t="s">
        <v>1853</v>
      </c>
      <c r="G1440" s="37" t="s">
        <v>1853</v>
      </c>
      <c r="H1440" s="37" t="s">
        <v>1853</v>
      </c>
      <c r="I1440" s="37" t="s">
        <v>1003</v>
      </c>
      <c r="J1440" s="37" t="s">
        <v>1003</v>
      </c>
      <c r="K1440" s="37" t="s">
        <v>1165</v>
      </c>
      <c r="L1440" s="36">
        <v>1</v>
      </c>
      <c r="M1440" s="36">
        <v>1</v>
      </c>
      <c r="N1440" s="36">
        <v>1</v>
      </c>
      <c r="O1440" s="36">
        <v>2</v>
      </c>
      <c r="P1440" s="37" t="s">
        <v>292</v>
      </c>
      <c r="Q1440" s="37"/>
      <c r="R1440" s="37" t="s">
        <v>3932</v>
      </c>
    </row>
    <row r="1441" spans="1:18" ht="27.7" hidden="1" thickBot="1" x14ac:dyDescent="0.55000000000000004">
      <c r="A1441" s="36">
        <v>1679</v>
      </c>
      <c r="B1441" s="37" t="s">
        <v>3933</v>
      </c>
      <c r="C1441" s="37" t="s">
        <v>3845</v>
      </c>
      <c r="D1441" s="37" t="s">
        <v>1808</v>
      </c>
      <c r="E1441" s="37" t="s">
        <v>1374</v>
      </c>
      <c r="F1441" s="37" t="s">
        <v>1853</v>
      </c>
      <c r="G1441" s="37" t="s">
        <v>1387</v>
      </c>
      <c r="H1441" s="37" t="s">
        <v>1387</v>
      </c>
      <c r="I1441" s="37" t="s">
        <v>1003</v>
      </c>
      <c r="J1441" s="37" t="s">
        <v>944</v>
      </c>
      <c r="K1441" s="37" t="s">
        <v>1165</v>
      </c>
      <c r="L1441" s="36">
        <v>1</v>
      </c>
      <c r="M1441" s="36">
        <v>1</v>
      </c>
      <c r="N1441" s="36">
        <v>1</v>
      </c>
      <c r="O1441" s="36">
        <v>2</v>
      </c>
      <c r="P1441" s="37" t="s">
        <v>292</v>
      </c>
      <c r="Q1441" s="37"/>
      <c r="R1441" s="37" t="s">
        <v>3934</v>
      </c>
    </row>
    <row r="1442" spans="1:18" ht="27.7" hidden="1" thickBot="1" x14ac:dyDescent="0.55000000000000004">
      <c r="A1442" s="36">
        <v>1680</v>
      </c>
      <c r="B1442" s="37" t="s">
        <v>3935</v>
      </c>
      <c r="C1442" s="37" t="s">
        <v>1378</v>
      </c>
      <c r="D1442" s="37" t="s">
        <v>1378</v>
      </c>
      <c r="E1442" s="37" t="s">
        <v>1374</v>
      </c>
      <c r="F1442" s="37" t="s">
        <v>1379</v>
      </c>
      <c r="G1442" s="37" t="s">
        <v>1853</v>
      </c>
      <c r="H1442" s="37" t="s">
        <v>1853</v>
      </c>
      <c r="I1442" s="37" t="s">
        <v>1003</v>
      </c>
      <c r="J1442" s="37" t="s">
        <v>1003</v>
      </c>
      <c r="K1442" s="37" t="s">
        <v>1165</v>
      </c>
      <c r="L1442" s="36">
        <v>1</v>
      </c>
      <c r="M1442" s="36">
        <v>1</v>
      </c>
      <c r="N1442" s="36">
        <v>1</v>
      </c>
      <c r="O1442" s="36">
        <v>2</v>
      </c>
      <c r="P1442" s="37" t="s">
        <v>292</v>
      </c>
      <c r="Q1442" s="37"/>
      <c r="R1442" s="37" t="s">
        <v>3936</v>
      </c>
    </row>
    <row r="1443" spans="1:18" ht="27.7" hidden="1" thickBot="1" x14ac:dyDescent="0.55000000000000004">
      <c r="A1443" s="36">
        <v>1681</v>
      </c>
      <c r="B1443" s="37" t="s">
        <v>3937</v>
      </c>
      <c r="C1443" s="37" t="s">
        <v>1860</v>
      </c>
      <c r="D1443" s="37" t="s">
        <v>1808</v>
      </c>
      <c r="E1443" s="37" t="s">
        <v>1374</v>
      </c>
      <c r="F1443" s="37" t="s">
        <v>1840</v>
      </c>
      <c r="G1443" s="37" t="s">
        <v>1387</v>
      </c>
      <c r="H1443" s="37" t="s">
        <v>1387</v>
      </c>
      <c r="I1443" s="37" t="s">
        <v>944</v>
      </c>
      <c r="J1443" s="37" t="s">
        <v>944</v>
      </c>
      <c r="K1443" s="37" t="s">
        <v>1165</v>
      </c>
      <c r="L1443" s="36">
        <v>1</v>
      </c>
      <c r="M1443" s="36">
        <v>1</v>
      </c>
      <c r="N1443" s="36">
        <v>1</v>
      </c>
      <c r="O1443" s="36">
        <v>3</v>
      </c>
      <c r="P1443" s="37" t="s">
        <v>292</v>
      </c>
      <c r="Q1443" s="37"/>
      <c r="R1443" s="37" t="s">
        <v>3938</v>
      </c>
    </row>
    <row r="1444" spans="1:18" ht="27.7" hidden="1" thickBot="1" x14ac:dyDescent="0.55000000000000004">
      <c r="A1444" s="36">
        <v>1682</v>
      </c>
      <c r="B1444" s="37" t="s">
        <v>3939</v>
      </c>
      <c r="C1444" s="37" t="s">
        <v>3911</v>
      </c>
      <c r="D1444" s="37" t="s">
        <v>1808</v>
      </c>
      <c r="E1444" s="37" t="s">
        <v>1374</v>
      </c>
      <c r="F1444" s="37" t="s">
        <v>1395</v>
      </c>
      <c r="G1444" s="37" t="s">
        <v>1387</v>
      </c>
      <c r="H1444" s="37" t="s">
        <v>1387</v>
      </c>
      <c r="I1444" s="37" t="s">
        <v>944</v>
      </c>
      <c r="J1444" s="37" t="s">
        <v>944</v>
      </c>
      <c r="K1444" s="37" t="s">
        <v>1165</v>
      </c>
      <c r="L1444" s="36">
        <v>1</v>
      </c>
      <c r="M1444" s="36">
        <v>1</v>
      </c>
      <c r="N1444" s="36">
        <v>1</v>
      </c>
      <c r="O1444" s="36">
        <v>4</v>
      </c>
      <c r="P1444" s="37" t="s">
        <v>292</v>
      </c>
      <c r="Q1444" s="37"/>
      <c r="R1444" s="37" t="s">
        <v>3940</v>
      </c>
    </row>
    <row r="1445" spans="1:18" ht="27.7" hidden="1" thickBot="1" x14ac:dyDescent="0.55000000000000004">
      <c r="A1445" s="36">
        <v>1683</v>
      </c>
      <c r="B1445" s="37" t="s">
        <v>3941</v>
      </c>
      <c r="C1445" s="37" t="s">
        <v>958</v>
      </c>
      <c r="D1445" s="37" t="s">
        <v>284</v>
      </c>
      <c r="E1445" s="37" t="s">
        <v>260</v>
      </c>
      <c r="F1445" s="37" t="s">
        <v>262</v>
      </c>
      <c r="G1445" s="37" t="s">
        <v>262</v>
      </c>
      <c r="H1445" s="37" t="s">
        <v>285</v>
      </c>
      <c r="I1445" s="37" t="s">
        <v>264</v>
      </c>
      <c r="J1445" s="37" t="s">
        <v>264</v>
      </c>
      <c r="K1445" s="37" t="s">
        <v>105</v>
      </c>
      <c r="L1445" s="36">
        <v>1</v>
      </c>
      <c r="M1445" s="36">
        <v>1</v>
      </c>
      <c r="N1445" s="36">
        <v>3</v>
      </c>
      <c r="O1445" s="36">
        <v>4</v>
      </c>
      <c r="P1445" s="37" t="s">
        <v>265</v>
      </c>
      <c r="Q1445" s="37"/>
      <c r="R1445" s="37" t="s">
        <v>3942</v>
      </c>
    </row>
    <row r="1446" spans="1:18" ht="27.7" hidden="1" thickBot="1" x14ac:dyDescent="0.55000000000000004">
      <c r="A1446" s="36">
        <v>1684</v>
      </c>
      <c r="B1446" s="37" t="s">
        <v>3943</v>
      </c>
      <c r="C1446" s="37" t="s">
        <v>958</v>
      </c>
      <c r="D1446" s="37" t="s">
        <v>284</v>
      </c>
      <c r="E1446" s="37" t="s">
        <v>260</v>
      </c>
      <c r="F1446" s="37" t="s">
        <v>262</v>
      </c>
      <c r="G1446" s="37" t="s">
        <v>262</v>
      </c>
      <c r="H1446" s="37" t="s">
        <v>285</v>
      </c>
      <c r="I1446" s="37" t="s">
        <v>264</v>
      </c>
      <c r="J1446" s="37" t="s">
        <v>264</v>
      </c>
      <c r="K1446" s="37" t="s">
        <v>105</v>
      </c>
      <c r="L1446" s="36">
        <v>1</v>
      </c>
      <c r="M1446" s="36">
        <v>1</v>
      </c>
      <c r="N1446" s="36">
        <v>4</v>
      </c>
      <c r="O1446" s="36">
        <v>4</v>
      </c>
      <c r="P1446" s="37" t="s">
        <v>265</v>
      </c>
      <c r="Q1446" s="37"/>
      <c r="R1446" s="37" t="s">
        <v>3944</v>
      </c>
    </row>
    <row r="1447" spans="1:18" ht="27.7" hidden="1" thickBot="1" x14ac:dyDescent="0.55000000000000004">
      <c r="A1447" s="36">
        <v>1685</v>
      </c>
      <c r="B1447" s="37" t="s">
        <v>3945</v>
      </c>
      <c r="C1447" s="37" t="s">
        <v>958</v>
      </c>
      <c r="D1447" s="37" t="s">
        <v>284</v>
      </c>
      <c r="E1447" s="37" t="s">
        <v>260</v>
      </c>
      <c r="F1447" s="37" t="s">
        <v>262</v>
      </c>
      <c r="G1447" s="37" t="s">
        <v>262</v>
      </c>
      <c r="H1447" s="37" t="s">
        <v>285</v>
      </c>
      <c r="I1447" s="37" t="s">
        <v>264</v>
      </c>
      <c r="J1447" s="37" t="s">
        <v>264</v>
      </c>
      <c r="K1447" s="37" t="s">
        <v>105</v>
      </c>
      <c r="L1447" s="36">
        <v>1</v>
      </c>
      <c r="M1447" s="36">
        <v>1</v>
      </c>
      <c r="N1447" s="36">
        <v>3</v>
      </c>
      <c r="O1447" s="36">
        <v>3</v>
      </c>
      <c r="P1447" s="37" t="s">
        <v>265</v>
      </c>
      <c r="Q1447" s="37"/>
      <c r="R1447" s="37" t="s">
        <v>3946</v>
      </c>
    </row>
    <row r="1448" spans="1:18" ht="27.7" hidden="1" thickBot="1" x14ac:dyDescent="0.55000000000000004">
      <c r="A1448" s="36">
        <v>1687</v>
      </c>
      <c r="B1448" s="37" t="s">
        <v>3947</v>
      </c>
      <c r="C1448" s="37" t="s">
        <v>3948</v>
      </c>
      <c r="D1448" s="37" t="s">
        <v>284</v>
      </c>
      <c r="E1448" s="37" t="s">
        <v>260</v>
      </c>
      <c r="F1448" s="37" t="s">
        <v>262</v>
      </c>
      <c r="G1448" s="37" t="s">
        <v>262</v>
      </c>
      <c r="H1448" s="37" t="s">
        <v>285</v>
      </c>
      <c r="I1448" s="37" t="s">
        <v>264</v>
      </c>
      <c r="J1448" s="37" t="s">
        <v>264</v>
      </c>
      <c r="K1448" s="37" t="s">
        <v>105</v>
      </c>
      <c r="L1448" s="36">
        <v>1</v>
      </c>
      <c r="M1448" s="36">
        <v>1</v>
      </c>
      <c r="N1448" s="36">
        <v>3</v>
      </c>
      <c r="O1448" s="36">
        <v>3</v>
      </c>
      <c r="P1448" s="37" t="s">
        <v>265</v>
      </c>
      <c r="Q1448" s="37"/>
      <c r="R1448" s="37" t="s">
        <v>3949</v>
      </c>
    </row>
    <row r="1449" spans="1:18" ht="27.7" hidden="1" thickBot="1" x14ac:dyDescent="0.55000000000000004">
      <c r="A1449" s="36">
        <v>1688</v>
      </c>
      <c r="B1449" s="37" t="s">
        <v>3950</v>
      </c>
      <c r="C1449" s="37" t="s">
        <v>954</v>
      </c>
      <c r="D1449" s="37" t="s">
        <v>284</v>
      </c>
      <c r="E1449" s="37" t="s">
        <v>260</v>
      </c>
      <c r="F1449" s="37" t="s">
        <v>520</v>
      </c>
      <c r="G1449" s="37" t="s">
        <v>515</v>
      </c>
      <c r="H1449" s="37" t="s">
        <v>285</v>
      </c>
      <c r="I1449" s="37" t="s">
        <v>264</v>
      </c>
      <c r="J1449" s="37" t="s">
        <v>105</v>
      </c>
      <c r="K1449" s="37" t="s">
        <v>105</v>
      </c>
      <c r="L1449" s="36">
        <v>1</v>
      </c>
      <c r="M1449" s="36">
        <v>1</v>
      </c>
      <c r="N1449" s="36">
        <v>3</v>
      </c>
      <c r="O1449" s="36">
        <v>3</v>
      </c>
      <c r="P1449" s="37" t="s">
        <v>265</v>
      </c>
      <c r="Q1449" s="37"/>
      <c r="R1449" s="37" t="s">
        <v>3951</v>
      </c>
    </row>
    <row r="1450" spans="1:18" ht="41.35" hidden="1" thickBot="1" x14ac:dyDescent="0.55000000000000004">
      <c r="A1450" s="36">
        <v>1689</v>
      </c>
      <c r="B1450" s="37" t="s">
        <v>3952</v>
      </c>
      <c r="C1450" s="37" t="s">
        <v>1501</v>
      </c>
      <c r="D1450" s="37" t="s">
        <v>1110</v>
      </c>
      <c r="E1450" s="37" t="s">
        <v>502</v>
      </c>
      <c r="F1450" s="37" t="s">
        <v>515</v>
      </c>
      <c r="G1450" s="37" t="s">
        <v>515</v>
      </c>
      <c r="H1450" s="37" t="s">
        <v>515</v>
      </c>
      <c r="I1450" s="37" t="s">
        <v>105</v>
      </c>
      <c r="J1450" s="37" t="s">
        <v>264</v>
      </c>
      <c r="K1450" s="37" t="s">
        <v>105</v>
      </c>
      <c r="L1450" s="36">
        <v>2</v>
      </c>
      <c r="M1450" s="36">
        <v>2</v>
      </c>
      <c r="N1450" s="36">
        <v>2</v>
      </c>
      <c r="O1450" s="36">
        <v>3</v>
      </c>
      <c r="P1450" s="37" t="s">
        <v>292</v>
      </c>
      <c r="Q1450" s="37"/>
      <c r="R1450" s="37" t="s">
        <v>3953</v>
      </c>
    </row>
    <row r="1451" spans="1:18" ht="41.35" hidden="1" thickBot="1" x14ac:dyDescent="0.55000000000000004">
      <c r="A1451" s="36">
        <v>1690</v>
      </c>
      <c r="B1451" s="37" t="s">
        <v>3954</v>
      </c>
      <c r="C1451" s="37" t="s">
        <v>1499</v>
      </c>
      <c r="D1451" s="37" t="s">
        <v>1110</v>
      </c>
      <c r="E1451" s="37" t="s">
        <v>502</v>
      </c>
      <c r="F1451" s="37" t="s">
        <v>515</v>
      </c>
      <c r="G1451" s="37" t="s">
        <v>515</v>
      </c>
      <c r="H1451" s="37" t="s">
        <v>515</v>
      </c>
      <c r="I1451" s="37" t="s">
        <v>105</v>
      </c>
      <c r="J1451" s="37" t="s">
        <v>105</v>
      </c>
      <c r="K1451" s="37" t="s">
        <v>105</v>
      </c>
      <c r="L1451" s="36">
        <v>2</v>
      </c>
      <c r="M1451" s="36">
        <v>2</v>
      </c>
      <c r="N1451" s="36">
        <v>2</v>
      </c>
      <c r="O1451" s="36">
        <v>3</v>
      </c>
      <c r="P1451" s="37" t="s">
        <v>292</v>
      </c>
      <c r="Q1451" s="37"/>
      <c r="R1451" s="37" t="s">
        <v>3955</v>
      </c>
    </row>
    <row r="1452" spans="1:18" ht="41.35" hidden="1" thickBot="1" x14ac:dyDescent="0.55000000000000004">
      <c r="A1452" s="36">
        <v>1691</v>
      </c>
      <c r="B1452" s="37" t="s">
        <v>3956</v>
      </c>
      <c r="C1452" s="37" t="s">
        <v>1527</v>
      </c>
      <c r="D1452" s="37" t="s">
        <v>1227</v>
      </c>
      <c r="E1452" s="37" t="s">
        <v>502</v>
      </c>
      <c r="F1452" s="37" t="s">
        <v>1504</v>
      </c>
      <c r="G1452" s="37" t="s">
        <v>1504</v>
      </c>
      <c r="H1452" s="37" t="s">
        <v>1504</v>
      </c>
      <c r="I1452" s="37" t="s">
        <v>944</v>
      </c>
      <c r="J1452" s="37" t="s">
        <v>105</v>
      </c>
      <c r="K1452" s="37" t="s">
        <v>105</v>
      </c>
      <c r="L1452" s="36">
        <v>1</v>
      </c>
      <c r="M1452" s="36">
        <v>3</v>
      </c>
      <c r="N1452" s="36">
        <v>3</v>
      </c>
      <c r="O1452" s="36">
        <v>4</v>
      </c>
      <c r="P1452" s="37" t="s">
        <v>292</v>
      </c>
      <c r="Q1452" s="37"/>
      <c r="R1452" s="37" t="s">
        <v>3957</v>
      </c>
    </row>
    <row r="1453" spans="1:18" ht="41.35" hidden="1" thickBot="1" x14ac:dyDescent="0.55000000000000004">
      <c r="A1453" s="36">
        <v>1692</v>
      </c>
      <c r="B1453" s="37" t="s">
        <v>3958</v>
      </c>
      <c r="C1453" s="37" t="s">
        <v>3959</v>
      </c>
      <c r="D1453" s="37" t="s">
        <v>1110</v>
      </c>
      <c r="E1453" s="37" t="s">
        <v>502</v>
      </c>
      <c r="F1453" s="37" t="s">
        <v>1504</v>
      </c>
      <c r="G1453" s="37" t="s">
        <v>515</v>
      </c>
      <c r="H1453" s="37" t="s">
        <v>515</v>
      </c>
      <c r="I1453" s="37" t="s">
        <v>944</v>
      </c>
      <c r="J1453" s="37" t="s">
        <v>105</v>
      </c>
      <c r="K1453" s="37" t="s">
        <v>105</v>
      </c>
      <c r="L1453" s="36">
        <v>1</v>
      </c>
      <c r="M1453" s="36">
        <v>3</v>
      </c>
      <c r="N1453" s="36">
        <v>3</v>
      </c>
      <c r="O1453" s="36">
        <v>3</v>
      </c>
      <c r="P1453" s="37" t="s">
        <v>292</v>
      </c>
      <c r="Q1453" s="37"/>
      <c r="R1453" s="37" t="s">
        <v>3960</v>
      </c>
    </row>
    <row r="1454" spans="1:18" ht="41.35" hidden="1" thickBot="1" x14ac:dyDescent="0.55000000000000004">
      <c r="A1454" s="36">
        <v>1693</v>
      </c>
      <c r="B1454" s="37" t="s">
        <v>3961</v>
      </c>
      <c r="C1454" s="37" t="s">
        <v>3959</v>
      </c>
      <c r="D1454" s="37" t="s">
        <v>1110</v>
      </c>
      <c r="E1454" s="37" t="s">
        <v>502</v>
      </c>
      <c r="F1454" s="37" t="s">
        <v>1504</v>
      </c>
      <c r="G1454" s="37" t="s">
        <v>515</v>
      </c>
      <c r="H1454" s="37" t="s">
        <v>515</v>
      </c>
      <c r="I1454" s="37" t="s">
        <v>944</v>
      </c>
      <c r="J1454" s="37" t="s">
        <v>105</v>
      </c>
      <c r="K1454" s="37" t="s">
        <v>105</v>
      </c>
      <c r="L1454" s="36">
        <v>1</v>
      </c>
      <c r="M1454" s="36">
        <v>3</v>
      </c>
      <c r="N1454" s="36">
        <v>3</v>
      </c>
      <c r="O1454" s="36">
        <v>5</v>
      </c>
      <c r="P1454" s="37" t="s">
        <v>292</v>
      </c>
      <c r="Q1454" s="37"/>
      <c r="R1454" s="37" t="s">
        <v>3962</v>
      </c>
    </row>
    <row r="1455" spans="1:18" ht="41.35" hidden="1" thickBot="1" x14ac:dyDescent="0.55000000000000004">
      <c r="A1455" s="36">
        <v>1694</v>
      </c>
      <c r="B1455" s="37" t="s">
        <v>3963</v>
      </c>
      <c r="C1455" s="37" t="s">
        <v>3959</v>
      </c>
      <c r="D1455" s="37" t="s">
        <v>1110</v>
      </c>
      <c r="E1455" s="37" t="s">
        <v>502</v>
      </c>
      <c r="F1455" s="37" t="s">
        <v>3964</v>
      </c>
      <c r="G1455" s="37" t="s">
        <v>515</v>
      </c>
      <c r="H1455" s="37" t="s">
        <v>515</v>
      </c>
      <c r="I1455" s="37" t="s">
        <v>944</v>
      </c>
      <c r="J1455" s="37" t="s">
        <v>105</v>
      </c>
      <c r="K1455" s="37" t="s">
        <v>105</v>
      </c>
      <c r="L1455" s="36">
        <v>1</v>
      </c>
      <c r="M1455" s="36">
        <v>2</v>
      </c>
      <c r="N1455" s="36">
        <v>3</v>
      </c>
      <c r="O1455" s="36">
        <v>3</v>
      </c>
      <c r="P1455" s="37" t="s">
        <v>292</v>
      </c>
      <c r="Q1455" s="37"/>
      <c r="R1455" s="37" t="s">
        <v>3965</v>
      </c>
    </row>
    <row r="1456" spans="1:18" ht="41.35" hidden="1" thickBot="1" x14ac:dyDescent="0.55000000000000004">
      <c r="A1456" s="36">
        <v>1695</v>
      </c>
      <c r="B1456" s="37" t="s">
        <v>3966</v>
      </c>
      <c r="C1456" s="37" t="s">
        <v>1226</v>
      </c>
      <c r="D1456" s="37" t="s">
        <v>1227</v>
      </c>
      <c r="E1456" s="37" t="s">
        <v>502</v>
      </c>
      <c r="F1456" s="37" t="s">
        <v>871</v>
      </c>
      <c r="G1456" s="37" t="s">
        <v>871</v>
      </c>
      <c r="H1456" s="37" t="s">
        <v>872</v>
      </c>
      <c r="I1456" s="37" t="s">
        <v>105</v>
      </c>
      <c r="J1456" s="37" t="s">
        <v>105</v>
      </c>
      <c r="K1456" s="37" t="s">
        <v>105</v>
      </c>
      <c r="L1456" s="36">
        <v>3</v>
      </c>
      <c r="M1456" s="36">
        <v>3</v>
      </c>
      <c r="N1456" s="36">
        <v>3</v>
      </c>
      <c r="O1456" s="36">
        <v>3</v>
      </c>
      <c r="P1456" s="37" t="s">
        <v>292</v>
      </c>
      <c r="Q1456" s="37"/>
      <c r="R1456" s="37" t="s">
        <v>3967</v>
      </c>
    </row>
    <row r="1457" spans="1:18" ht="41.35" hidden="1" thickBot="1" x14ac:dyDescent="0.55000000000000004">
      <c r="A1457" s="36">
        <v>1696</v>
      </c>
      <c r="B1457" s="37" t="s">
        <v>3968</v>
      </c>
      <c r="C1457" s="37" t="s">
        <v>1227</v>
      </c>
      <c r="D1457" s="37" t="s">
        <v>1227</v>
      </c>
      <c r="E1457" s="37" t="s">
        <v>502</v>
      </c>
      <c r="F1457" s="37" t="s">
        <v>1504</v>
      </c>
      <c r="G1457" s="37" t="s">
        <v>1504</v>
      </c>
      <c r="H1457" s="37" t="s">
        <v>1504</v>
      </c>
      <c r="I1457" s="37" t="s">
        <v>944</v>
      </c>
      <c r="J1457" s="37" t="s">
        <v>105</v>
      </c>
      <c r="K1457" s="37" t="s">
        <v>105</v>
      </c>
      <c r="L1457" s="36">
        <v>1</v>
      </c>
      <c r="M1457" s="36">
        <v>3</v>
      </c>
      <c r="N1457" s="36">
        <v>3</v>
      </c>
      <c r="O1457" s="36">
        <v>4</v>
      </c>
      <c r="P1457" s="37" t="s">
        <v>292</v>
      </c>
      <c r="Q1457" s="37"/>
      <c r="R1457" s="37" t="s">
        <v>3969</v>
      </c>
    </row>
    <row r="1458" spans="1:18" ht="41.35" hidden="1" thickBot="1" x14ac:dyDescent="0.55000000000000004">
      <c r="A1458" s="36">
        <v>1697</v>
      </c>
      <c r="B1458" s="37" t="s">
        <v>3970</v>
      </c>
      <c r="C1458" s="37" t="s">
        <v>1499</v>
      </c>
      <c r="D1458" s="37" t="s">
        <v>1110</v>
      </c>
      <c r="E1458" s="37" t="s">
        <v>502</v>
      </c>
      <c r="F1458" s="37" t="s">
        <v>3964</v>
      </c>
      <c r="G1458" s="37" t="s">
        <v>3964</v>
      </c>
      <c r="H1458" s="37" t="s">
        <v>3964</v>
      </c>
      <c r="I1458" s="37" t="s">
        <v>944</v>
      </c>
      <c r="J1458" s="37" t="s">
        <v>105</v>
      </c>
      <c r="K1458" s="37" t="s">
        <v>105</v>
      </c>
      <c r="L1458" s="36">
        <v>1</v>
      </c>
      <c r="M1458" s="36">
        <v>2</v>
      </c>
      <c r="N1458" s="36">
        <v>3</v>
      </c>
      <c r="O1458" s="36">
        <v>3</v>
      </c>
      <c r="P1458" s="37" t="s">
        <v>292</v>
      </c>
      <c r="Q1458" s="37"/>
      <c r="R1458" s="37" t="s">
        <v>3971</v>
      </c>
    </row>
    <row r="1459" spans="1:18" ht="41.35" hidden="1" thickBot="1" x14ac:dyDescent="0.55000000000000004">
      <c r="A1459" s="36">
        <v>1698</v>
      </c>
      <c r="B1459" s="37" t="s">
        <v>3972</v>
      </c>
      <c r="C1459" s="37" t="s">
        <v>1499</v>
      </c>
      <c r="D1459" s="37" t="s">
        <v>1110</v>
      </c>
      <c r="E1459" s="37" t="s">
        <v>502</v>
      </c>
      <c r="F1459" s="37" t="s">
        <v>3964</v>
      </c>
      <c r="G1459" s="37" t="s">
        <v>3964</v>
      </c>
      <c r="H1459" s="37" t="s">
        <v>515</v>
      </c>
      <c r="I1459" s="37" t="s">
        <v>944</v>
      </c>
      <c r="J1459" s="37" t="s">
        <v>105</v>
      </c>
      <c r="K1459" s="37" t="s">
        <v>105</v>
      </c>
      <c r="L1459" s="36">
        <v>1</v>
      </c>
      <c r="M1459" s="36">
        <v>2</v>
      </c>
      <c r="N1459" s="36">
        <v>2</v>
      </c>
      <c r="O1459" s="36">
        <v>3</v>
      </c>
      <c r="P1459" s="37" t="s">
        <v>292</v>
      </c>
      <c r="Q1459" s="37"/>
      <c r="R1459" s="37" t="s">
        <v>3973</v>
      </c>
    </row>
    <row r="1460" spans="1:18" ht="41.35" hidden="1" thickBot="1" x14ac:dyDescent="0.55000000000000004">
      <c r="A1460" s="36">
        <v>1699</v>
      </c>
      <c r="B1460" s="37" t="s">
        <v>3974</v>
      </c>
      <c r="C1460" s="37" t="s">
        <v>1499</v>
      </c>
      <c r="D1460" s="37" t="s">
        <v>1110</v>
      </c>
      <c r="E1460" s="37" t="s">
        <v>502</v>
      </c>
      <c r="F1460" s="37" t="s">
        <v>3964</v>
      </c>
      <c r="G1460" s="37" t="s">
        <v>515</v>
      </c>
      <c r="H1460" s="37" t="s">
        <v>515</v>
      </c>
      <c r="I1460" s="37" t="s">
        <v>944</v>
      </c>
      <c r="J1460" s="37" t="s">
        <v>105</v>
      </c>
      <c r="K1460" s="37" t="s">
        <v>105</v>
      </c>
      <c r="L1460" s="36">
        <v>1</v>
      </c>
      <c r="M1460" s="36">
        <v>3</v>
      </c>
      <c r="N1460" s="36">
        <v>3</v>
      </c>
      <c r="O1460" s="36">
        <v>4</v>
      </c>
      <c r="P1460" s="37" t="s">
        <v>292</v>
      </c>
      <c r="Q1460" s="37"/>
      <c r="R1460" s="37" t="s">
        <v>3975</v>
      </c>
    </row>
    <row r="1461" spans="1:18" ht="41.35" hidden="1" thickBot="1" x14ac:dyDescent="0.55000000000000004">
      <c r="A1461" s="36">
        <v>1700</v>
      </c>
      <c r="B1461" s="37" t="s">
        <v>3976</v>
      </c>
      <c r="C1461" s="37" t="s">
        <v>1110</v>
      </c>
      <c r="D1461" s="37" t="s">
        <v>1110</v>
      </c>
      <c r="E1461" s="37" t="s">
        <v>948</v>
      </c>
      <c r="F1461" s="37" t="s">
        <v>515</v>
      </c>
      <c r="G1461" s="37" t="s">
        <v>515</v>
      </c>
      <c r="H1461" s="37" t="s">
        <v>515</v>
      </c>
      <c r="I1461" s="37" t="s">
        <v>105</v>
      </c>
      <c r="J1461" s="37" t="s">
        <v>105</v>
      </c>
      <c r="K1461" s="37" t="s">
        <v>105</v>
      </c>
      <c r="L1461" s="36">
        <v>3</v>
      </c>
      <c r="M1461" s="36">
        <v>3</v>
      </c>
      <c r="N1461" s="36">
        <v>3</v>
      </c>
      <c r="O1461" s="36">
        <v>4</v>
      </c>
      <c r="P1461" s="37" t="s">
        <v>292</v>
      </c>
      <c r="Q1461" s="37"/>
      <c r="R1461" s="37" t="s">
        <v>3977</v>
      </c>
    </row>
    <row r="1462" spans="1:18" ht="27.7" hidden="1" thickBot="1" x14ac:dyDescent="0.55000000000000004">
      <c r="A1462" s="36">
        <v>1701</v>
      </c>
      <c r="B1462" s="37" t="s">
        <v>3978</v>
      </c>
      <c r="C1462" s="37" t="s">
        <v>3979</v>
      </c>
      <c r="D1462" s="37" t="s">
        <v>1012</v>
      </c>
      <c r="E1462" s="37" t="s">
        <v>260</v>
      </c>
      <c r="F1462" s="37" t="s">
        <v>262</v>
      </c>
      <c r="G1462" s="37" t="s">
        <v>262</v>
      </c>
      <c r="H1462" s="37" t="s">
        <v>1007</v>
      </c>
      <c r="I1462" s="37" t="s">
        <v>264</v>
      </c>
      <c r="J1462" s="37" t="s">
        <v>264</v>
      </c>
      <c r="K1462" s="37" t="s">
        <v>105</v>
      </c>
      <c r="L1462" s="36">
        <v>1</v>
      </c>
      <c r="M1462" s="36">
        <v>1</v>
      </c>
      <c r="N1462" s="36">
        <v>1</v>
      </c>
      <c r="O1462" s="36">
        <v>3</v>
      </c>
      <c r="P1462" s="37" t="s">
        <v>292</v>
      </c>
      <c r="Q1462" s="37"/>
      <c r="R1462" s="37" t="s">
        <v>3980</v>
      </c>
    </row>
    <row r="1463" spans="1:18" ht="27.7" hidden="1" thickBot="1" x14ac:dyDescent="0.55000000000000004">
      <c r="A1463" s="36">
        <v>1702</v>
      </c>
      <c r="B1463" s="37" t="s">
        <v>3981</v>
      </c>
      <c r="C1463" s="37" t="s">
        <v>1059</v>
      </c>
      <c r="D1463" s="37" t="s">
        <v>1012</v>
      </c>
      <c r="E1463" s="37" t="s">
        <v>260</v>
      </c>
      <c r="F1463" s="37" t="s">
        <v>262</v>
      </c>
      <c r="G1463" s="37" t="s">
        <v>262</v>
      </c>
      <c r="H1463" s="37" t="s">
        <v>1007</v>
      </c>
      <c r="I1463" s="37" t="s">
        <v>264</v>
      </c>
      <c r="J1463" s="37" t="s">
        <v>264</v>
      </c>
      <c r="K1463" s="37" t="s">
        <v>264</v>
      </c>
      <c r="L1463" s="36">
        <v>1</v>
      </c>
      <c r="M1463" s="36">
        <v>1</v>
      </c>
      <c r="N1463" s="36">
        <v>1</v>
      </c>
      <c r="O1463" s="36">
        <v>3</v>
      </c>
      <c r="P1463" s="37" t="s">
        <v>292</v>
      </c>
      <c r="Q1463" s="37"/>
      <c r="R1463" s="37" t="s">
        <v>3982</v>
      </c>
    </row>
    <row r="1464" spans="1:18" ht="27.7" hidden="1" thickBot="1" x14ac:dyDescent="0.55000000000000004">
      <c r="A1464" s="36">
        <v>1703</v>
      </c>
      <c r="B1464" s="37" t="s">
        <v>3983</v>
      </c>
      <c r="C1464" s="37" t="s">
        <v>1059</v>
      </c>
      <c r="D1464" s="37" t="s">
        <v>1012</v>
      </c>
      <c r="E1464" s="37" t="s">
        <v>260</v>
      </c>
      <c r="F1464" s="37" t="s">
        <v>262</v>
      </c>
      <c r="G1464" s="37" t="s">
        <v>262</v>
      </c>
      <c r="H1464" s="37" t="s">
        <v>1007</v>
      </c>
      <c r="I1464" s="37" t="s">
        <v>264</v>
      </c>
      <c r="J1464" s="37" t="s">
        <v>264</v>
      </c>
      <c r="K1464" s="37" t="s">
        <v>264</v>
      </c>
      <c r="L1464" s="36">
        <v>1</v>
      </c>
      <c r="M1464" s="36">
        <v>1</v>
      </c>
      <c r="N1464" s="36">
        <v>1</v>
      </c>
      <c r="O1464" s="36">
        <v>3</v>
      </c>
      <c r="P1464" s="37" t="s">
        <v>292</v>
      </c>
      <c r="Q1464" s="37"/>
      <c r="R1464" s="37" t="s">
        <v>3984</v>
      </c>
    </row>
    <row r="1465" spans="1:18" ht="27.7" hidden="1" thickBot="1" x14ac:dyDescent="0.55000000000000004">
      <c r="A1465" s="36">
        <v>1704</v>
      </c>
      <c r="B1465" s="37" t="s">
        <v>3985</v>
      </c>
      <c r="C1465" s="37" t="s">
        <v>3986</v>
      </c>
      <c r="D1465" s="37" t="s">
        <v>1012</v>
      </c>
      <c r="E1465" s="37" t="s">
        <v>260</v>
      </c>
      <c r="F1465" s="37" t="s">
        <v>262</v>
      </c>
      <c r="G1465" s="37" t="s">
        <v>262</v>
      </c>
      <c r="H1465" s="37" t="s">
        <v>1007</v>
      </c>
      <c r="I1465" s="37" t="s">
        <v>264</v>
      </c>
      <c r="J1465" s="37" t="s">
        <v>264</v>
      </c>
      <c r="K1465" s="37" t="s">
        <v>105</v>
      </c>
      <c r="L1465" s="36">
        <v>1</v>
      </c>
      <c r="M1465" s="36">
        <v>2</v>
      </c>
      <c r="N1465" s="36">
        <v>3</v>
      </c>
      <c r="O1465" s="36">
        <v>3</v>
      </c>
      <c r="P1465" s="37" t="s">
        <v>265</v>
      </c>
      <c r="Q1465" s="37"/>
      <c r="R1465" s="37" t="s">
        <v>3987</v>
      </c>
    </row>
    <row r="1466" spans="1:18" ht="27.7" hidden="1" thickBot="1" x14ac:dyDescent="0.55000000000000004">
      <c r="A1466" s="36">
        <v>1705</v>
      </c>
      <c r="B1466" s="37" t="s">
        <v>3988</v>
      </c>
      <c r="C1466" s="37" t="s">
        <v>3979</v>
      </c>
      <c r="D1466" s="37" t="s">
        <v>1012</v>
      </c>
      <c r="E1466" s="37" t="s">
        <v>260</v>
      </c>
      <c r="F1466" s="37" t="s">
        <v>262</v>
      </c>
      <c r="G1466" s="37" t="s">
        <v>262</v>
      </c>
      <c r="H1466" s="37" t="s">
        <v>1007</v>
      </c>
      <c r="I1466" s="37" t="s">
        <v>264</v>
      </c>
      <c r="J1466" s="37" t="s">
        <v>264</v>
      </c>
      <c r="K1466" s="37" t="s">
        <v>105</v>
      </c>
      <c r="L1466" s="36">
        <v>1</v>
      </c>
      <c r="M1466" s="36">
        <v>1</v>
      </c>
      <c r="N1466" s="36">
        <v>1</v>
      </c>
      <c r="O1466" s="36">
        <v>2</v>
      </c>
      <c r="P1466" s="37" t="s">
        <v>292</v>
      </c>
      <c r="Q1466" s="37"/>
      <c r="R1466" s="37" t="s">
        <v>3989</v>
      </c>
    </row>
    <row r="1467" spans="1:18" ht="27.7" hidden="1" thickBot="1" x14ac:dyDescent="0.55000000000000004">
      <c r="A1467" s="36">
        <v>1706</v>
      </c>
      <c r="B1467" s="37" t="s">
        <v>3990</v>
      </c>
      <c r="C1467" s="37" t="s">
        <v>3991</v>
      </c>
      <c r="D1467" s="37" t="s">
        <v>1012</v>
      </c>
      <c r="E1467" s="37" t="s">
        <v>260</v>
      </c>
      <c r="F1467" s="37" t="s">
        <v>262</v>
      </c>
      <c r="G1467" s="37" t="s">
        <v>262</v>
      </c>
      <c r="H1467" s="37" t="s">
        <v>1007</v>
      </c>
      <c r="I1467" s="37" t="s">
        <v>264</v>
      </c>
      <c r="J1467" s="37" t="s">
        <v>264</v>
      </c>
      <c r="K1467" s="37" t="s">
        <v>105</v>
      </c>
      <c r="L1467" s="36">
        <v>1</v>
      </c>
      <c r="M1467" s="36">
        <v>1</v>
      </c>
      <c r="N1467" s="36">
        <v>2</v>
      </c>
      <c r="O1467" s="36">
        <v>4</v>
      </c>
      <c r="P1467" s="37" t="s">
        <v>292</v>
      </c>
      <c r="Q1467" s="37"/>
      <c r="R1467" s="37" t="s">
        <v>3992</v>
      </c>
    </row>
    <row r="1468" spans="1:18" ht="27.7" hidden="1" thickBot="1" x14ac:dyDescent="0.55000000000000004">
      <c r="A1468" s="36">
        <v>1707</v>
      </c>
      <c r="B1468" s="37" t="s">
        <v>3993</v>
      </c>
      <c r="C1468" s="37" t="s">
        <v>2709</v>
      </c>
      <c r="D1468" s="37" t="s">
        <v>1162</v>
      </c>
      <c r="E1468" s="37" t="s">
        <v>1163</v>
      </c>
      <c r="F1468" s="37" t="s">
        <v>871</v>
      </c>
      <c r="G1468" s="37" t="s">
        <v>872</v>
      </c>
      <c r="H1468" s="37" t="s">
        <v>872</v>
      </c>
      <c r="I1468" s="37" t="s">
        <v>105</v>
      </c>
      <c r="J1468" s="37" t="s">
        <v>105</v>
      </c>
      <c r="K1468" s="37" t="s">
        <v>105</v>
      </c>
      <c r="L1468" s="36">
        <v>3</v>
      </c>
      <c r="M1468" s="36">
        <v>3</v>
      </c>
      <c r="N1468" s="36">
        <v>3</v>
      </c>
      <c r="O1468" s="36">
        <v>4</v>
      </c>
      <c r="P1468" s="37" t="s">
        <v>265</v>
      </c>
      <c r="Q1468" s="37"/>
      <c r="R1468" s="37" t="s">
        <v>3994</v>
      </c>
    </row>
    <row r="1469" spans="1:18" ht="27.7" hidden="1" thickBot="1" x14ac:dyDescent="0.55000000000000004">
      <c r="A1469" s="36">
        <v>1708</v>
      </c>
      <c r="B1469" s="37" t="s">
        <v>3995</v>
      </c>
      <c r="C1469" s="37" t="s">
        <v>1208</v>
      </c>
      <c r="D1469" s="37" t="s">
        <v>904</v>
      </c>
      <c r="E1469" s="37" t="s">
        <v>877</v>
      </c>
      <c r="F1469" s="37" t="s">
        <v>871</v>
      </c>
      <c r="G1469" s="37" t="s">
        <v>872</v>
      </c>
      <c r="H1469" s="37" t="s">
        <v>872</v>
      </c>
      <c r="I1469" s="37" t="s">
        <v>105</v>
      </c>
      <c r="J1469" s="37" t="s">
        <v>105</v>
      </c>
      <c r="K1469" s="37" t="s">
        <v>105</v>
      </c>
      <c r="L1469" s="36">
        <v>3</v>
      </c>
      <c r="M1469" s="36">
        <v>3</v>
      </c>
      <c r="N1469" s="36">
        <v>3</v>
      </c>
      <c r="O1469" s="36">
        <v>3</v>
      </c>
      <c r="P1469" s="37" t="s">
        <v>292</v>
      </c>
      <c r="Q1469" s="37"/>
      <c r="R1469" s="37" t="s">
        <v>3996</v>
      </c>
    </row>
    <row r="1470" spans="1:18" ht="14.7" hidden="1" thickBot="1" x14ac:dyDescent="0.55000000000000004">
      <c r="A1470" s="36">
        <v>1709</v>
      </c>
      <c r="B1470" s="37" t="s">
        <v>3997</v>
      </c>
      <c r="C1470" s="37" t="s">
        <v>884</v>
      </c>
      <c r="D1470" s="37" t="s">
        <v>876</v>
      </c>
      <c r="E1470" s="37" t="s">
        <v>877</v>
      </c>
      <c r="F1470" s="37" t="s">
        <v>871</v>
      </c>
      <c r="G1470" s="37" t="s">
        <v>872</v>
      </c>
      <c r="H1470" s="37" t="s">
        <v>872</v>
      </c>
      <c r="I1470" s="37" t="s">
        <v>105</v>
      </c>
      <c r="J1470" s="37" t="s">
        <v>105</v>
      </c>
      <c r="K1470" s="37" t="s">
        <v>105</v>
      </c>
      <c r="L1470" s="36">
        <v>1</v>
      </c>
      <c r="M1470" s="36">
        <v>3</v>
      </c>
      <c r="N1470" s="36">
        <v>3</v>
      </c>
      <c r="O1470" s="36">
        <v>4</v>
      </c>
      <c r="P1470" s="37" t="s">
        <v>292</v>
      </c>
      <c r="Q1470" s="37"/>
      <c r="R1470" s="37" t="s">
        <v>3998</v>
      </c>
    </row>
    <row r="1471" spans="1:18" ht="14.7" hidden="1" thickBot="1" x14ac:dyDescent="0.55000000000000004">
      <c r="A1471" s="36">
        <v>1710</v>
      </c>
      <c r="B1471" s="37" t="s">
        <v>3999</v>
      </c>
      <c r="C1471" s="37" t="s">
        <v>875</v>
      </c>
      <c r="D1471" s="37" t="s">
        <v>876</v>
      </c>
      <c r="E1471" s="37" t="s">
        <v>877</v>
      </c>
      <c r="F1471" s="37" t="s">
        <v>871</v>
      </c>
      <c r="G1471" s="37" t="s">
        <v>872</v>
      </c>
      <c r="H1471" s="37" t="s">
        <v>872</v>
      </c>
      <c r="I1471" s="37" t="s">
        <v>105</v>
      </c>
      <c r="J1471" s="37" t="s">
        <v>105</v>
      </c>
      <c r="K1471" s="37" t="s">
        <v>105</v>
      </c>
      <c r="L1471" s="36">
        <v>3</v>
      </c>
      <c r="M1471" s="36">
        <v>3</v>
      </c>
      <c r="N1471" s="36">
        <v>3</v>
      </c>
      <c r="O1471" s="36">
        <v>3</v>
      </c>
      <c r="P1471" s="37" t="s">
        <v>292</v>
      </c>
      <c r="Q1471" s="37"/>
      <c r="R1471" s="37" t="s">
        <v>4000</v>
      </c>
    </row>
    <row r="1472" spans="1:18" ht="27.7" hidden="1" thickBot="1" x14ac:dyDescent="0.55000000000000004">
      <c r="A1472" s="36">
        <v>1711</v>
      </c>
      <c r="B1472" s="37" t="s">
        <v>4001</v>
      </c>
      <c r="C1472" s="37" t="s">
        <v>1149</v>
      </c>
      <c r="D1472" s="37" t="s">
        <v>904</v>
      </c>
      <c r="E1472" s="37" t="s">
        <v>877</v>
      </c>
      <c r="F1472" s="37" t="s">
        <v>872</v>
      </c>
      <c r="G1472" s="37" t="s">
        <v>872</v>
      </c>
      <c r="H1472" s="37" t="s">
        <v>872</v>
      </c>
      <c r="I1472" s="37" t="s">
        <v>105</v>
      </c>
      <c r="J1472" s="37" t="s">
        <v>105</v>
      </c>
      <c r="K1472" s="37" t="s">
        <v>105</v>
      </c>
      <c r="L1472" s="36">
        <v>1</v>
      </c>
      <c r="M1472" s="36">
        <v>1</v>
      </c>
      <c r="N1472" s="36">
        <v>1</v>
      </c>
      <c r="O1472" s="36">
        <v>3</v>
      </c>
      <c r="P1472" s="37" t="s">
        <v>265</v>
      </c>
      <c r="Q1472" s="37"/>
      <c r="R1472" s="37" t="s">
        <v>4002</v>
      </c>
    </row>
    <row r="1473" spans="1:18" ht="27.7" hidden="1" thickBot="1" x14ac:dyDescent="0.55000000000000004">
      <c r="A1473" s="36">
        <v>1712</v>
      </c>
      <c r="B1473" s="37" t="s">
        <v>4003</v>
      </c>
      <c r="C1473" s="37" t="s">
        <v>1173</v>
      </c>
      <c r="D1473" s="37" t="s">
        <v>1162</v>
      </c>
      <c r="E1473" s="37" t="s">
        <v>1163</v>
      </c>
      <c r="F1473" s="37" t="s">
        <v>1164</v>
      </c>
      <c r="G1473" s="37" t="s">
        <v>1164</v>
      </c>
      <c r="H1473" s="37" t="s">
        <v>1164</v>
      </c>
      <c r="I1473" s="37" t="s">
        <v>1165</v>
      </c>
      <c r="J1473" s="37" t="s">
        <v>1165</v>
      </c>
      <c r="K1473" s="37" t="s">
        <v>1165</v>
      </c>
      <c r="L1473" s="36">
        <v>3</v>
      </c>
      <c r="M1473" s="36">
        <v>3</v>
      </c>
      <c r="N1473" s="36">
        <v>3</v>
      </c>
      <c r="O1473" s="36">
        <v>3</v>
      </c>
      <c r="P1473" s="37" t="s">
        <v>265</v>
      </c>
      <c r="Q1473" s="37" t="s">
        <v>1174</v>
      </c>
      <c r="R1473" s="37" t="s">
        <v>4004</v>
      </c>
    </row>
    <row r="1474" spans="1:18" ht="14.7" hidden="1" thickBot="1" x14ac:dyDescent="0.55000000000000004">
      <c r="A1474" s="36">
        <v>1713</v>
      </c>
      <c r="B1474" s="37" t="s">
        <v>4005</v>
      </c>
      <c r="C1474" s="37" t="s">
        <v>1130</v>
      </c>
      <c r="D1474" s="37" t="s">
        <v>876</v>
      </c>
      <c r="E1474" s="37" t="s">
        <v>877</v>
      </c>
      <c r="F1474" s="37" t="s">
        <v>872</v>
      </c>
      <c r="G1474" s="37" t="s">
        <v>872</v>
      </c>
      <c r="H1474" s="37" t="s">
        <v>872</v>
      </c>
      <c r="I1474" s="37" t="s">
        <v>105</v>
      </c>
      <c r="J1474" s="37" t="s">
        <v>105</v>
      </c>
      <c r="K1474" s="37" t="s">
        <v>105</v>
      </c>
      <c r="L1474" s="36">
        <v>3</v>
      </c>
      <c r="M1474" s="36">
        <v>3</v>
      </c>
      <c r="N1474" s="36">
        <v>3</v>
      </c>
      <c r="O1474" s="36">
        <v>4</v>
      </c>
      <c r="P1474" s="37" t="s">
        <v>292</v>
      </c>
      <c r="Q1474" s="37"/>
      <c r="R1474" s="37" t="s">
        <v>4006</v>
      </c>
    </row>
    <row r="1475" spans="1:18" ht="14.7" hidden="1" thickBot="1" x14ac:dyDescent="0.55000000000000004">
      <c r="A1475" s="36">
        <v>1714</v>
      </c>
      <c r="B1475" s="37" t="s">
        <v>4007</v>
      </c>
      <c r="C1475" s="37" t="s">
        <v>881</v>
      </c>
      <c r="D1475" s="37" t="s">
        <v>876</v>
      </c>
      <c r="E1475" s="37" t="s">
        <v>877</v>
      </c>
      <c r="F1475" s="37" t="s">
        <v>871</v>
      </c>
      <c r="G1475" s="37" t="s">
        <v>872</v>
      </c>
      <c r="H1475" s="37" t="s">
        <v>872</v>
      </c>
      <c r="I1475" s="37" t="s">
        <v>105</v>
      </c>
      <c r="J1475" s="37" t="s">
        <v>105</v>
      </c>
      <c r="K1475" s="37" t="s">
        <v>105</v>
      </c>
      <c r="L1475" s="36">
        <v>3</v>
      </c>
      <c r="M1475" s="36">
        <v>3</v>
      </c>
      <c r="N1475" s="36">
        <v>3</v>
      </c>
      <c r="O1475" s="36">
        <v>4</v>
      </c>
      <c r="P1475" s="37" t="s">
        <v>292</v>
      </c>
      <c r="Q1475" s="37"/>
      <c r="R1475" s="37" t="s">
        <v>4008</v>
      </c>
    </row>
    <row r="1476" spans="1:18" ht="27.7" hidden="1" thickBot="1" x14ac:dyDescent="0.55000000000000004">
      <c r="A1476" s="36">
        <v>1715</v>
      </c>
      <c r="B1476" s="37" t="s">
        <v>4009</v>
      </c>
      <c r="C1476" s="37" t="s">
        <v>1934</v>
      </c>
      <c r="D1476" s="37" t="s">
        <v>1366</v>
      </c>
      <c r="E1476" s="37" t="s">
        <v>1345</v>
      </c>
      <c r="F1476" s="37" t="s">
        <v>1464</v>
      </c>
      <c r="G1476" s="37" t="s">
        <v>1464</v>
      </c>
      <c r="H1476" s="37" t="s">
        <v>1464</v>
      </c>
      <c r="I1476" s="37" t="s">
        <v>1465</v>
      </c>
      <c r="J1476" s="37" t="s">
        <v>1465</v>
      </c>
      <c r="K1476" s="37" t="s">
        <v>88</v>
      </c>
      <c r="L1476" s="36">
        <v>1</v>
      </c>
      <c r="M1476" s="36">
        <v>1</v>
      </c>
      <c r="N1476" s="36">
        <v>1</v>
      </c>
      <c r="O1476" s="36">
        <v>3</v>
      </c>
      <c r="P1476" s="37" t="s">
        <v>292</v>
      </c>
      <c r="Q1476" s="37"/>
      <c r="R1476" s="37" t="s">
        <v>4010</v>
      </c>
    </row>
    <row r="1477" spans="1:18" ht="27.7" hidden="1" thickBot="1" x14ac:dyDescent="0.55000000000000004">
      <c r="A1477" s="36">
        <v>1716</v>
      </c>
      <c r="B1477" s="37" t="s">
        <v>4011</v>
      </c>
      <c r="C1477" s="37" t="s">
        <v>1934</v>
      </c>
      <c r="D1477" s="37" t="s">
        <v>1366</v>
      </c>
      <c r="E1477" s="37" t="s">
        <v>1345</v>
      </c>
      <c r="F1477" s="37" t="s">
        <v>1464</v>
      </c>
      <c r="G1477" s="37" t="s">
        <v>1464</v>
      </c>
      <c r="H1477" s="37" t="s">
        <v>1464</v>
      </c>
      <c r="I1477" s="37" t="s">
        <v>1465</v>
      </c>
      <c r="J1477" s="37" t="s">
        <v>1465</v>
      </c>
      <c r="K1477" s="37" t="s">
        <v>88</v>
      </c>
      <c r="L1477" s="36">
        <v>1</v>
      </c>
      <c r="M1477" s="36">
        <v>1</v>
      </c>
      <c r="N1477" s="36">
        <v>1</v>
      </c>
      <c r="O1477" s="36">
        <v>2</v>
      </c>
      <c r="P1477" s="37" t="s">
        <v>292</v>
      </c>
      <c r="Q1477" s="37"/>
      <c r="R1477" s="37" t="s">
        <v>4012</v>
      </c>
    </row>
    <row r="1478" spans="1:18" ht="27.7" hidden="1" thickBot="1" x14ac:dyDescent="0.55000000000000004">
      <c r="A1478" s="36">
        <v>1717</v>
      </c>
      <c r="B1478" s="37" t="s">
        <v>4013</v>
      </c>
      <c r="C1478" s="37" t="s">
        <v>1934</v>
      </c>
      <c r="D1478" s="37" t="s">
        <v>1366</v>
      </c>
      <c r="E1478" s="37" t="s">
        <v>1345</v>
      </c>
      <c r="F1478" s="37" t="s">
        <v>1464</v>
      </c>
      <c r="G1478" s="37" t="s">
        <v>1464</v>
      </c>
      <c r="H1478" s="37" t="s">
        <v>1464</v>
      </c>
      <c r="I1478" s="37" t="s">
        <v>1465</v>
      </c>
      <c r="J1478" s="37" t="s">
        <v>1465</v>
      </c>
      <c r="K1478" s="37" t="s">
        <v>88</v>
      </c>
      <c r="L1478" s="36">
        <v>1</v>
      </c>
      <c r="M1478" s="36">
        <v>1</v>
      </c>
      <c r="N1478" s="36">
        <v>1</v>
      </c>
      <c r="O1478" s="36">
        <v>3</v>
      </c>
      <c r="P1478" s="37" t="s">
        <v>292</v>
      </c>
      <c r="Q1478" s="37"/>
      <c r="R1478" s="37" t="s">
        <v>4014</v>
      </c>
    </row>
    <row r="1479" spans="1:18" ht="27.7" hidden="1" thickBot="1" x14ac:dyDescent="0.55000000000000004">
      <c r="A1479" s="36">
        <v>1718</v>
      </c>
      <c r="B1479" s="37" t="s">
        <v>4015</v>
      </c>
      <c r="C1479" s="37" t="s">
        <v>1934</v>
      </c>
      <c r="D1479" s="37" t="s">
        <v>1366</v>
      </c>
      <c r="E1479" s="37" t="s">
        <v>1345</v>
      </c>
      <c r="F1479" s="37" t="s">
        <v>1938</v>
      </c>
      <c r="G1479" s="37" t="s">
        <v>1938</v>
      </c>
      <c r="H1479" s="37" t="s">
        <v>1938</v>
      </c>
      <c r="I1479" s="37" t="s">
        <v>1003</v>
      </c>
      <c r="J1479" s="37" t="s">
        <v>1003</v>
      </c>
      <c r="K1479" s="37" t="s">
        <v>1003</v>
      </c>
      <c r="L1479" s="36">
        <v>1</v>
      </c>
      <c r="M1479" s="36">
        <v>1</v>
      </c>
      <c r="N1479" s="36">
        <v>1</v>
      </c>
      <c r="O1479" s="36">
        <v>3</v>
      </c>
      <c r="P1479" s="37" t="s">
        <v>292</v>
      </c>
      <c r="Q1479" s="37"/>
      <c r="R1479" s="37" t="s">
        <v>4016</v>
      </c>
    </row>
    <row r="1480" spans="1:18" ht="27.7" hidden="1" thickBot="1" x14ac:dyDescent="0.55000000000000004">
      <c r="A1480" s="36">
        <v>1719</v>
      </c>
      <c r="B1480" s="37" t="s">
        <v>4017</v>
      </c>
      <c r="C1480" s="37" t="s">
        <v>1359</v>
      </c>
      <c r="D1480" s="37" t="s">
        <v>1359</v>
      </c>
      <c r="E1480" s="37" t="s">
        <v>1345</v>
      </c>
      <c r="F1480" s="37" t="s">
        <v>1938</v>
      </c>
      <c r="G1480" s="37" t="s">
        <v>1938</v>
      </c>
      <c r="H1480" s="37" t="s">
        <v>1938</v>
      </c>
      <c r="I1480" s="37" t="s">
        <v>1003</v>
      </c>
      <c r="J1480" s="37" t="s">
        <v>1003</v>
      </c>
      <c r="K1480" s="37" t="s">
        <v>1003</v>
      </c>
      <c r="L1480" s="36">
        <v>1</v>
      </c>
      <c r="M1480" s="36">
        <v>1</v>
      </c>
      <c r="N1480" s="36">
        <v>1</v>
      </c>
      <c r="O1480" s="36">
        <v>3</v>
      </c>
      <c r="P1480" s="37" t="s">
        <v>292</v>
      </c>
      <c r="Q1480" s="37"/>
      <c r="R1480" s="37" t="s">
        <v>4018</v>
      </c>
    </row>
    <row r="1481" spans="1:18" ht="27.7" hidden="1" thickBot="1" x14ac:dyDescent="0.55000000000000004">
      <c r="A1481" s="36">
        <v>1720</v>
      </c>
      <c r="B1481" s="37" t="s">
        <v>4019</v>
      </c>
      <c r="C1481" s="37" t="s">
        <v>1359</v>
      </c>
      <c r="D1481" s="37" t="s">
        <v>1359</v>
      </c>
      <c r="E1481" s="37" t="s">
        <v>1345</v>
      </c>
      <c r="F1481" s="37" t="s">
        <v>871</v>
      </c>
      <c r="G1481" s="37" t="s">
        <v>872</v>
      </c>
      <c r="H1481" s="37" t="s">
        <v>872</v>
      </c>
      <c r="I1481" s="37" t="s">
        <v>105</v>
      </c>
      <c r="J1481" s="37" t="s">
        <v>105</v>
      </c>
      <c r="K1481" s="37" t="s">
        <v>105</v>
      </c>
      <c r="L1481" s="36">
        <v>1</v>
      </c>
      <c r="M1481" s="36">
        <v>1</v>
      </c>
      <c r="N1481" s="36">
        <v>1</v>
      </c>
      <c r="O1481" s="36">
        <v>2</v>
      </c>
      <c r="P1481" s="37" t="s">
        <v>292</v>
      </c>
      <c r="Q1481" s="37"/>
      <c r="R1481" s="37" t="s">
        <v>4020</v>
      </c>
    </row>
    <row r="1482" spans="1:18" ht="27.7" hidden="1" thickBot="1" x14ac:dyDescent="0.55000000000000004">
      <c r="A1482" s="36">
        <v>1721</v>
      </c>
      <c r="B1482" s="37" t="s">
        <v>4021</v>
      </c>
      <c r="C1482" s="37" t="s">
        <v>2442</v>
      </c>
      <c r="D1482" s="37" t="s">
        <v>2434</v>
      </c>
      <c r="E1482" s="37" t="s">
        <v>2435</v>
      </c>
      <c r="F1482" s="37" t="s">
        <v>1180</v>
      </c>
      <c r="G1482" s="37" t="s">
        <v>1180</v>
      </c>
      <c r="H1482" s="37" t="s">
        <v>1180</v>
      </c>
      <c r="I1482" s="37" t="s">
        <v>2452</v>
      </c>
      <c r="J1482" s="37" t="s">
        <v>2452</v>
      </c>
      <c r="K1482" s="37" t="s">
        <v>88</v>
      </c>
      <c r="L1482" s="36">
        <v>1</v>
      </c>
      <c r="M1482" s="36">
        <v>1</v>
      </c>
      <c r="N1482" s="36">
        <v>1</v>
      </c>
      <c r="O1482" s="36">
        <v>3</v>
      </c>
      <c r="P1482" s="37" t="s">
        <v>265</v>
      </c>
      <c r="Q1482" s="37"/>
      <c r="R1482" s="37" t="s">
        <v>4022</v>
      </c>
    </row>
    <row r="1483" spans="1:18" ht="14.7" hidden="1" thickBot="1" x14ac:dyDescent="0.55000000000000004">
      <c r="A1483" s="36">
        <v>1722</v>
      </c>
      <c r="B1483" s="37" t="s">
        <v>4023</v>
      </c>
      <c r="C1483" s="37" t="s">
        <v>2442</v>
      </c>
      <c r="D1483" s="37" t="s">
        <v>2434</v>
      </c>
      <c r="E1483" s="37" t="s">
        <v>2435</v>
      </c>
      <c r="F1483" s="37" t="s">
        <v>1180</v>
      </c>
      <c r="G1483" s="37" t="s">
        <v>1180</v>
      </c>
      <c r="H1483" s="37" t="s">
        <v>1180</v>
      </c>
      <c r="I1483" s="37" t="s">
        <v>2452</v>
      </c>
      <c r="J1483" s="37" t="s">
        <v>2452</v>
      </c>
      <c r="K1483" s="37" t="s">
        <v>2452</v>
      </c>
      <c r="L1483" s="36">
        <v>1</v>
      </c>
      <c r="M1483" s="36">
        <v>1</v>
      </c>
      <c r="N1483" s="36">
        <v>1</v>
      </c>
      <c r="O1483" s="36">
        <v>2</v>
      </c>
      <c r="P1483" s="37" t="s">
        <v>292</v>
      </c>
      <c r="Q1483" s="37"/>
      <c r="R1483" s="37" t="s">
        <v>4024</v>
      </c>
    </row>
    <row r="1484" spans="1:18" ht="27.7" hidden="1" thickBot="1" x14ac:dyDescent="0.55000000000000004">
      <c r="A1484" s="36">
        <v>1723</v>
      </c>
      <c r="B1484" s="37" t="s">
        <v>4025</v>
      </c>
      <c r="C1484" s="37" t="s">
        <v>2443</v>
      </c>
      <c r="D1484" s="37" t="s">
        <v>2434</v>
      </c>
      <c r="E1484" s="37" t="s">
        <v>2435</v>
      </c>
      <c r="F1484" s="37" t="s">
        <v>1180</v>
      </c>
      <c r="G1484" s="37" t="s">
        <v>1180</v>
      </c>
      <c r="H1484" s="37" t="s">
        <v>1180</v>
      </c>
      <c r="I1484" s="37" t="s">
        <v>2452</v>
      </c>
      <c r="J1484" s="37" t="s">
        <v>2452</v>
      </c>
      <c r="K1484" s="37" t="s">
        <v>2452</v>
      </c>
      <c r="L1484" s="36">
        <v>1</v>
      </c>
      <c r="M1484" s="36">
        <v>1</v>
      </c>
      <c r="N1484" s="36">
        <v>1</v>
      </c>
      <c r="O1484" s="36">
        <v>1</v>
      </c>
      <c r="P1484" s="37" t="s">
        <v>292</v>
      </c>
      <c r="Q1484" s="37"/>
      <c r="R1484" s="37" t="s">
        <v>4026</v>
      </c>
    </row>
    <row r="1485" spans="1:18" ht="27.7" hidden="1" thickBot="1" x14ac:dyDescent="0.55000000000000004">
      <c r="A1485" s="36">
        <v>1724</v>
      </c>
      <c r="B1485" s="37" t="s">
        <v>4027</v>
      </c>
      <c r="C1485" s="37" t="s">
        <v>2443</v>
      </c>
      <c r="D1485" s="37" t="s">
        <v>2434</v>
      </c>
      <c r="E1485" s="37" t="s">
        <v>2435</v>
      </c>
      <c r="F1485" s="37" t="s">
        <v>1180</v>
      </c>
      <c r="G1485" s="37" t="s">
        <v>1180</v>
      </c>
      <c r="H1485" s="37" t="s">
        <v>1180</v>
      </c>
      <c r="I1485" s="37" t="s">
        <v>2452</v>
      </c>
      <c r="J1485" s="37" t="s">
        <v>2452</v>
      </c>
      <c r="K1485" s="37" t="s">
        <v>88</v>
      </c>
      <c r="L1485" s="36">
        <v>1</v>
      </c>
      <c r="M1485" s="36">
        <v>1</v>
      </c>
      <c r="N1485" s="36">
        <v>1</v>
      </c>
      <c r="O1485" s="36">
        <v>2</v>
      </c>
      <c r="P1485" s="37" t="s">
        <v>292</v>
      </c>
      <c r="Q1485" s="37"/>
      <c r="R1485" s="37" t="s">
        <v>4028</v>
      </c>
    </row>
    <row r="1486" spans="1:18" ht="14.7" hidden="1" thickBot="1" x14ac:dyDescent="0.55000000000000004">
      <c r="A1486" s="36">
        <v>1725</v>
      </c>
      <c r="B1486" s="37" t="s">
        <v>4029</v>
      </c>
      <c r="C1486" s="37" t="s">
        <v>4030</v>
      </c>
      <c r="D1486" s="37" t="s">
        <v>2434</v>
      </c>
      <c r="E1486" s="37" t="s">
        <v>2435</v>
      </c>
      <c r="F1486" s="37" t="s">
        <v>1180</v>
      </c>
      <c r="G1486" s="37" t="s">
        <v>1180</v>
      </c>
      <c r="H1486" s="37" t="s">
        <v>1180</v>
      </c>
      <c r="I1486" s="37" t="s">
        <v>88</v>
      </c>
      <c r="J1486" s="37" t="s">
        <v>88</v>
      </c>
      <c r="K1486" s="37" t="s">
        <v>88</v>
      </c>
      <c r="L1486" s="36">
        <v>1</v>
      </c>
      <c r="M1486" s="36">
        <v>1</v>
      </c>
      <c r="N1486" s="36">
        <v>1</v>
      </c>
      <c r="O1486" s="36">
        <v>1</v>
      </c>
      <c r="P1486" s="37" t="s">
        <v>292</v>
      </c>
      <c r="Q1486" s="37"/>
      <c r="R1486" s="37" t="s">
        <v>4031</v>
      </c>
    </row>
    <row r="1487" spans="1:18" ht="14.7" hidden="1" thickBot="1" x14ac:dyDescent="0.55000000000000004">
      <c r="A1487" s="36">
        <v>1726</v>
      </c>
      <c r="B1487" s="37" t="s">
        <v>4032</v>
      </c>
      <c r="C1487" s="37" t="s">
        <v>4030</v>
      </c>
      <c r="D1487" s="37" t="s">
        <v>2434</v>
      </c>
      <c r="E1487" s="37" t="s">
        <v>2435</v>
      </c>
      <c r="F1487" s="37" t="s">
        <v>1180</v>
      </c>
      <c r="G1487" s="37" t="s">
        <v>1180</v>
      </c>
      <c r="H1487" s="37" t="s">
        <v>1180</v>
      </c>
      <c r="I1487" s="37" t="s">
        <v>88</v>
      </c>
      <c r="J1487" s="37" t="s">
        <v>88</v>
      </c>
      <c r="K1487" s="37" t="s">
        <v>88</v>
      </c>
      <c r="L1487" s="36">
        <v>2</v>
      </c>
      <c r="M1487" s="36">
        <v>2</v>
      </c>
      <c r="N1487" s="36">
        <v>2</v>
      </c>
      <c r="O1487" s="36">
        <v>4</v>
      </c>
      <c r="P1487" s="37" t="s">
        <v>292</v>
      </c>
      <c r="Q1487" s="37"/>
      <c r="R1487" s="37" t="s">
        <v>4033</v>
      </c>
    </row>
    <row r="1488" spans="1:18" ht="14.7" hidden="1" thickBot="1" x14ac:dyDescent="0.55000000000000004">
      <c r="A1488" s="36">
        <v>1727</v>
      </c>
      <c r="B1488" s="37" t="s">
        <v>4034</v>
      </c>
      <c r="C1488" s="37" t="s">
        <v>4035</v>
      </c>
      <c r="D1488" s="37" t="s">
        <v>2434</v>
      </c>
      <c r="E1488" s="37" t="s">
        <v>2435</v>
      </c>
      <c r="F1488" s="37" t="s">
        <v>1180</v>
      </c>
      <c r="G1488" s="37" t="s">
        <v>1180</v>
      </c>
      <c r="H1488" s="37" t="s">
        <v>1180</v>
      </c>
      <c r="I1488" s="37" t="s">
        <v>2475</v>
      </c>
      <c r="J1488" s="37" t="s">
        <v>2475</v>
      </c>
      <c r="K1488" s="37" t="s">
        <v>2475</v>
      </c>
      <c r="L1488" s="36">
        <v>1</v>
      </c>
      <c r="M1488" s="36">
        <v>1</v>
      </c>
      <c r="N1488" s="36">
        <v>1</v>
      </c>
      <c r="O1488" s="36">
        <v>2</v>
      </c>
      <c r="P1488" s="37" t="s">
        <v>292</v>
      </c>
      <c r="Q1488" s="37"/>
      <c r="R1488" s="37" t="s">
        <v>4036</v>
      </c>
    </row>
    <row r="1489" spans="1:18" ht="27.7" hidden="1" thickBot="1" x14ac:dyDescent="0.55000000000000004">
      <c r="A1489" s="36">
        <v>1728</v>
      </c>
      <c r="B1489" s="37" t="s">
        <v>4037</v>
      </c>
      <c r="C1489" s="37" t="s">
        <v>2467</v>
      </c>
      <c r="D1489" s="37" t="s">
        <v>2434</v>
      </c>
      <c r="E1489" s="37" t="s">
        <v>2435</v>
      </c>
      <c r="F1489" s="37" t="s">
        <v>1180</v>
      </c>
      <c r="G1489" s="37" t="s">
        <v>1180</v>
      </c>
      <c r="H1489" s="37" t="s">
        <v>1180</v>
      </c>
      <c r="I1489" s="37" t="s">
        <v>88</v>
      </c>
      <c r="J1489" s="37" t="s">
        <v>88</v>
      </c>
      <c r="K1489" s="37" t="s">
        <v>88</v>
      </c>
      <c r="L1489" s="36">
        <v>2</v>
      </c>
      <c r="M1489" s="36">
        <v>2</v>
      </c>
      <c r="N1489" s="36">
        <v>2</v>
      </c>
      <c r="O1489" s="36">
        <v>3</v>
      </c>
      <c r="P1489" s="37" t="s">
        <v>292</v>
      </c>
      <c r="Q1489" s="37"/>
      <c r="R1489" s="37" t="s">
        <v>4038</v>
      </c>
    </row>
    <row r="1490" spans="1:18" ht="14.7" hidden="1" thickBot="1" x14ac:dyDescent="0.55000000000000004">
      <c r="A1490" s="36">
        <v>1729</v>
      </c>
      <c r="B1490" s="37" t="s">
        <v>4039</v>
      </c>
      <c r="C1490" s="37" t="s">
        <v>4035</v>
      </c>
      <c r="D1490" s="37" t="s">
        <v>2434</v>
      </c>
      <c r="E1490" s="37" t="s">
        <v>2435</v>
      </c>
      <c r="F1490" s="37" t="s">
        <v>1180</v>
      </c>
      <c r="G1490" s="37" t="s">
        <v>1180</v>
      </c>
      <c r="H1490" s="37" t="s">
        <v>1180</v>
      </c>
      <c r="I1490" s="37" t="s">
        <v>2452</v>
      </c>
      <c r="J1490" s="37" t="s">
        <v>2452</v>
      </c>
      <c r="K1490" s="37" t="s">
        <v>88</v>
      </c>
      <c r="L1490" s="36">
        <v>1</v>
      </c>
      <c r="M1490" s="36">
        <v>1</v>
      </c>
      <c r="N1490" s="36">
        <v>1</v>
      </c>
      <c r="O1490" s="36">
        <v>1</v>
      </c>
      <c r="P1490" s="37" t="s">
        <v>292</v>
      </c>
      <c r="Q1490" s="37"/>
      <c r="R1490" s="37" t="s">
        <v>4040</v>
      </c>
    </row>
    <row r="1491" spans="1:18" ht="27.7" hidden="1" thickBot="1" x14ac:dyDescent="0.55000000000000004">
      <c r="A1491" s="36">
        <v>1730</v>
      </c>
      <c r="B1491" s="37" t="s">
        <v>4041</v>
      </c>
      <c r="C1491" s="37" t="s">
        <v>4042</v>
      </c>
      <c r="D1491" s="37" t="s">
        <v>4043</v>
      </c>
      <c r="E1491" s="37" t="s">
        <v>4044</v>
      </c>
      <c r="F1491" s="37" t="s">
        <v>1180</v>
      </c>
      <c r="G1491" s="37" t="s">
        <v>1180</v>
      </c>
      <c r="H1491" s="37" t="s">
        <v>1180</v>
      </c>
      <c r="I1491" s="37" t="s">
        <v>2452</v>
      </c>
      <c r="J1491" s="37" t="s">
        <v>2452</v>
      </c>
      <c r="K1491" s="37" t="s">
        <v>2452</v>
      </c>
      <c r="L1491" s="36">
        <v>1</v>
      </c>
      <c r="M1491" s="36">
        <v>1</v>
      </c>
      <c r="N1491" s="36">
        <v>1</v>
      </c>
      <c r="O1491" s="36">
        <v>2</v>
      </c>
      <c r="P1491" s="37" t="s">
        <v>292</v>
      </c>
      <c r="Q1491" s="37"/>
      <c r="R1491" s="37" t="s">
        <v>4045</v>
      </c>
    </row>
    <row r="1492" spans="1:18" ht="27.7" hidden="1" thickBot="1" x14ac:dyDescent="0.55000000000000004">
      <c r="A1492" s="36">
        <v>1731</v>
      </c>
      <c r="B1492" s="37" t="s">
        <v>4046</v>
      </c>
      <c r="C1492" s="37" t="s">
        <v>4042</v>
      </c>
      <c r="D1492" s="37" t="s">
        <v>4043</v>
      </c>
      <c r="E1492" s="37" t="s">
        <v>4044</v>
      </c>
      <c r="F1492" s="37" t="s">
        <v>1180</v>
      </c>
      <c r="G1492" s="37" t="s">
        <v>1180</v>
      </c>
      <c r="H1492" s="37" t="s">
        <v>1180</v>
      </c>
      <c r="I1492" s="37" t="s">
        <v>2452</v>
      </c>
      <c r="J1492" s="37" t="s">
        <v>2452</v>
      </c>
      <c r="K1492" s="37" t="s">
        <v>2452</v>
      </c>
      <c r="L1492" s="36">
        <v>1</v>
      </c>
      <c r="M1492" s="36">
        <v>1</v>
      </c>
      <c r="N1492" s="36">
        <v>1</v>
      </c>
      <c r="O1492" s="36">
        <v>2</v>
      </c>
      <c r="P1492" s="37" t="s">
        <v>292</v>
      </c>
      <c r="Q1492" s="37"/>
      <c r="R1492" s="37" t="s">
        <v>4047</v>
      </c>
    </row>
    <row r="1493" spans="1:18" ht="27.7" hidden="1" thickBot="1" x14ac:dyDescent="0.55000000000000004">
      <c r="A1493" s="36">
        <v>1732</v>
      </c>
      <c r="B1493" s="37" t="s">
        <v>4048</v>
      </c>
      <c r="C1493" s="37" t="s">
        <v>4042</v>
      </c>
      <c r="D1493" s="37" t="s">
        <v>4043</v>
      </c>
      <c r="E1493" s="37" t="s">
        <v>4044</v>
      </c>
      <c r="F1493" s="37" t="s">
        <v>1180</v>
      </c>
      <c r="G1493" s="37" t="s">
        <v>1180</v>
      </c>
      <c r="H1493" s="37" t="s">
        <v>1180</v>
      </c>
      <c r="I1493" s="37" t="s">
        <v>2452</v>
      </c>
      <c r="J1493" s="37" t="s">
        <v>2452</v>
      </c>
      <c r="K1493" s="37" t="s">
        <v>2452</v>
      </c>
      <c r="L1493" s="36">
        <v>1</v>
      </c>
      <c r="M1493" s="36">
        <v>1</v>
      </c>
      <c r="N1493" s="36">
        <v>1</v>
      </c>
      <c r="O1493" s="36">
        <v>1</v>
      </c>
      <c r="P1493" s="37" t="s">
        <v>292</v>
      </c>
      <c r="Q1493" s="37"/>
      <c r="R1493" s="37" t="s">
        <v>4049</v>
      </c>
    </row>
    <row r="1494" spans="1:18" ht="14.7" hidden="1" thickBot="1" x14ac:dyDescent="0.55000000000000004">
      <c r="A1494" s="36">
        <v>1733</v>
      </c>
      <c r="B1494" s="37" t="s">
        <v>4050</v>
      </c>
      <c r="C1494" s="37" t="s">
        <v>2506</v>
      </c>
      <c r="D1494" s="37" t="s">
        <v>2435</v>
      </c>
      <c r="E1494" s="37" t="s">
        <v>2435</v>
      </c>
      <c r="F1494" s="37" t="s">
        <v>1180</v>
      </c>
      <c r="G1494" s="37" t="s">
        <v>1180</v>
      </c>
      <c r="H1494" s="37" t="s">
        <v>1180</v>
      </c>
      <c r="I1494" s="37" t="s">
        <v>2452</v>
      </c>
      <c r="J1494" s="37" t="s">
        <v>2452</v>
      </c>
      <c r="K1494" s="37" t="s">
        <v>88</v>
      </c>
      <c r="L1494" s="36">
        <v>1</v>
      </c>
      <c r="M1494" s="36">
        <v>1</v>
      </c>
      <c r="N1494" s="36">
        <v>1</v>
      </c>
      <c r="O1494" s="36">
        <v>2</v>
      </c>
      <c r="P1494" s="37" t="s">
        <v>292</v>
      </c>
      <c r="Q1494" s="37"/>
      <c r="R1494" s="37" t="s">
        <v>4051</v>
      </c>
    </row>
    <row r="1495" spans="1:18" ht="14.7" hidden="1" thickBot="1" x14ac:dyDescent="0.55000000000000004">
      <c r="A1495" s="36">
        <v>1734</v>
      </c>
      <c r="B1495" s="37" t="s">
        <v>4052</v>
      </c>
      <c r="C1495" s="37" t="s">
        <v>2491</v>
      </c>
      <c r="D1495" s="37" t="s">
        <v>2435</v>
      </c>
      <c r="E1495" s="37" t="s">
        <v>2435</v>
      </c>
      <c r="F1495" s="37" t="s">
        <v>1180</v>
      </c>
      <c r="G1495" s="37" t="s">
        <v>1180</v>
      </c>
      <c r="H1495" s="37" t="s">
        <v>1180</v>
      </c>
      <c r="I1495" s="37" t="s">
        <v>2452</v>
      </c>
      <c r="J1495" s="37" t="s">
        <v>2452</v>
      </c>
      <c r="K1495" s="37" t="s">
        <v>88</v>
      </c>
      <c r="L1495" s="36">
        <v>2</v>
      </c>
      <c r="M1495" s="36">
        <v>2</v>
      </c>
      <c r="N1495" s="36">
        <v>2</v>
      </c>
      <c r="O1495" s="36">
        <v>2</v>
      </c>
      <c r="P1495" s="37" t="s">
        <v>292</v>
      </c>
      <c r="Q1495" s="37"/>
      <c r="R1495" s="37" t="s">
        <v>4053</v>
      </c>
    </row>
    <row r="1496" spans="1:18" ht="27.7" hidden="1" thickBot="1" x14ac:dyDescent="0.55000000000000004">
      <c r="A1496" s="36">
        <v>1735</v>
      </c>
      <c r="B1496" s="37" t="s">
        <v>4054</v>
      </c>
      <c r="C1496" s="37" t="s">
        <v>4043</v>
      </c>
      <c r="D1496" s="37" t="s">
        <v>4043</v>
      </c>
      <c r="E1496" s="37" t="s">
        <v>4044</v>
      </c>
      <c r="F1496" s="37" t="s">
        <v>1180</v>
      </c>
      <c r="G1496" s="37" t="s">
        <v>1180</v>
      </c>
      <c r="H1496" s="37" t="s">
        <v>1180</v>
      </c>
      <c r="I1496" s="37" t="s">
        <v>2530</v>
      </c>
      <c r="J1496" s="37" t="s">
        <v>2530</v>
      </c>
      <c r="K1496" s="37" t="s">
        <v>2530</v>
      </c>
      <c r="L1496" s="36">
        <v>1</v>
      </c>
      <c r="M1496" s="36">
        <v>1</v>
      </c>
      <c r="N1496" s="36">
        <v>1</v>
      </c>
      <c r="O1496" s="36">
        <v>2</v>
      </c>
      <c r="P1496" s="37" t="s">
        <v>292</v>
      </c>
      <c r="Q1496" s="37"/>
      <c r="R1496" s="37" t="s">
        <v>4055</v>
      </c>
    </row>
    <row r="1497" spans="1:18" ht="27.7" hidden="1" thickBot="1" x14ac:dyDescent="0.55000000000000004">
      <c r="A1497" s="36">
        <v>1736</v>
      </c>
      <c r="B1497" s="37" t="s">
        <v>4056</v>
      </c>
      <c r="C1497" s="37" t="s">
        <v>4043</v>
      </c>
      <c r="D1497" s="37" t="s">
        <v>4043</v>
      </c>
      <c r="E1497" s="37" t="s">
        <v>4044</v>
      </c>
      <c r="F1497" s="37" t="s">
        <v>4057</v>
      </c>
      <c r="G1497" s="37" t="s">
        <v>4057</v>
      </c>
      <c r="H1497" s="37" t="s">
        <v>4057</v>
      </c>
      <c r="I1497" s="37" t="s">
        <v>2530</v>
      </c>
      <c r="J1497" s="37" t="s">
        <v>2530</v>
      </c>
      <c r="K1497" s="37" t="s">
        <v>2530</v>
      </c>
      <c r="L1497" s="36">
        <v>1</v>
      </c>
      <c r="M1497" s="36">
        <v>1</v>
      </c>
      <c r="N1497" s="36">
        <v>1</v>
      </c>
      <c r="O1497" s="36">
        <v>3</v>
      </c>
      <c r="P1497" s="37" t="s">
        <v>292</v>
      </c>
      <c r="Q1497" s="37"/>
      <c r="R1497" s="37" t="s">
        <v>4058</v>
      </c>
    </row>
    <row r="1498" spans="1:18" ht="27.7" hidden="1" thickBot="1" x14ac:dyDescent="0.55000000000000004">
      <c r="A1498" s="36">
        <v>1737</v>
      </c>
      <c r="B1498" s="37" t="s">
        <v>4059</v>
      </c>
      <c r="C1498" s="37" t="s">
        <v>4060</v>
      </c>
      <c r="D1498" s="37" t="s">
        <v>4061</v>
      </c>
      <c r="E1498" s="37" t="s">
        <v>4044</v>
      </c>
      <c r="F1498" s="37" t="s">
        <v>1180</v>
      </c>
      <c r="G1498" s="37" t="s">
        <v>1180</v>
      </c>
      <c r="H1498" s="37" t="s">
        <v>1180</v>
      </c>
      <c r="I1498" s="37" t="s">
        <v>2530</v>
      </c>
      <c r="J1498" s="37" t="s">
        <v>2530</v>
      </c>
      <c r="K1498" s="37" t="s">
        <v>2530</v>
      </c>
      <c r="L1498" s="36">
        <v>1</v>
      </c>
      <c r="M1498" s="36">
        <v>1</v>
      </c>
      <c r="N1498" s="36">
        <v>1</v>
      </c>
      <c r="O1498" s="36">
        <v>1</v>
      </c>
      <c r="P1498" s="37" t="s">
        <v>292</v>
      </c>
      <c r="Q1498" s="37"/>
      <c r="R1498" s="37" t="s">
        <v>4062</v>
      </c>
    </row>
    <row r="1499" spans="1:18" ht="27.7" hidden="1" thickBot="1" x14ac:dyDescent="0.55000000000000004">
      <c r="A1499" s="36">
        <v>1738</v>
      </c>
      <c r="B1499" s="37" t="s">
        <v>4060</v>
      </c>
      <c r="C1499" s="37" t="s">
        <v>4060</v>
      </c>
      <c r="D1499" s="37" t="s">
        <v>4061</v>
      </c>
      <c r="E1499" s="37" t="s">
        <v>4044</v>
      </c>
      <c r="F1499" s="37" t="s">
        <v>1180</v>
      </c>
      <c r="G1499" s="37" t="s">
        <v>1180</v>
      </c>
      <c r="H1499" s="37" t="s">
        <v>1180</v>
      </c>
      <c r="I1499" s="37" t="s">
        <v>2530</v>
      </c>
      <c r="J1499" s="37" t="s">
        <v>2530</v>
      </c>
      <c r="K1499" s="37" t="s">
        <v>88</v>
      </c>
      <c r="L1499" s="36">
        <v>1</v>
      </c>
      <c r="M1499" s="36">
        <v>1</v>
      </c>
      <c r="N1499" s="36">
        <v>1</v>
      </c>
      <c r="O1499" s="36">
        <v>2</v>
      </c>
      <c r="P1499" s="37" t="s">
        <v>292</v>
      </c>
      <c r="Q1499" s="37"/>
      <c r="R1499" s="37" t="s">
        <v>4063</v>
      </c>
    </row>
    <row r="1500" spans="1:18" ht="27.7" hidden="1" thickBot="1" x14ac:dyDescent="0.55000000000000004">
      <c r="A1500" s="36">
        <v>1739</v>
      </c>
      <c r="B1500" s="37" t="s">
        <v>4064</v>
      </c>
      <c r="C1500" s="37" t="s">
        <v>4043</v>
      </c>
      <c r="D1500" s="37" t="s">
        <v>4043</v>
      </c>
      <c r="E1500" s="37" t="s">
        <v>4044</v>
      </c>
      <c r="F1500" s="37" t="s">
        <v>4065</v>
      </c>
      <c r="G1500" s="37" t="s">
        <v>4065</v>
      </c>
      <c r="H1500" s="37" t="s">
        <v>4065</v>
      </c>
      <c r="I1500" s="37" t="s">
        <v>2530</v>
      </c>
      <c r="J1500" s="37" t="s">
        <v>2530</v>
      </c>
      <c r="K1500" s="37" t="s">
        <v>2530</v>
      </c>
      <c r="L1500" s="36">
        <v>2</v>
      </c>
      <c r="M1500" s="36">
        <v>2</v>
      </c>
      <c r="N1500" s="36">
        <v>2</v>
      </c>
      <c r="O1500" s="36">
        <v>5</v>
      </c>
      <c r="P1500" s="37" t="s">
        <v>292</v>
      </c>
      <c r="Q1500" s="37"/>
      <c r="R1500" s="37" t="s">
        <v>4066</v>
      </c>
    </row>
    <row r="1501" spans="1:18" ht="27.7" hidden="1" thickBot="1" x14ac:dyDescent="0.55000000000000004">
      <c r="A1501" s="36">
        <v>1740</v>
      </c>
      <c r="B1501" s="37" t="s">
        <v>4067</v>
      </c>
      <c r="C1501" s="37" t="s">
        <v>4068</v>
      </c>
      <c r="D1501" s="37" t="s">
        <v>4043</v>
      </c>
      <c r="E1501" s="37" t="s">
        <v>4044</v>
      </c>
      <c r="F1501" s="37" t="s">
        <v>4065</v>
      </c>
      <c r="G1501" s="37" t="s">
        <v>4065</v>
      </c>
      <c r="H1501" s="37" t="s">
        <v>4065</v>
      </c>
      <c r="I1501" s="37" t="s">
        <v>2530</v>
      </c>
      <c r="J1501" s="37" t="s">
        <v>2530</v>
      </c>
      <c r="K1501" s="37" t="s">
        <v>2530</v>
      </c>
      <c r="L1501" s="36">
        <v>1</v>
      </c>
      <c r="M1501" s="36">
        <v>1</v>
      </c>
      <c r="N1501" s="36">
        <v>1</v>
      </c>
      <c r="O1501" s="36">
        <v>2</v>
      </c>
      <c r="P1501" s="37" t="s">
        <v>292</v>
      </c>
      <c r="Q1501" s="37"/>
      <c r="R1501" s="37" t="s">
        <v>4069</v>
      </c>
    </row>
    <row r="1502" spans="1:18" ht="27.7" hidden="1" thickBot="1" x14ac:dyDescent="0.55000000000000004">
      <c r="A1502" s="36">
        <v>1741</v>
      </c>
      <c r="B1502" s="37" t="s">
        <v>4070</v>
      </c>
      <c r="C1502" s="37" t="s">
        <v>4068</v>
      </c>
      <c r="D1502" s="37" t="s">
        <v>4043</v>
      </c>
      <c r="E1502" s="37" t="s">
        <v>4044</v>
      </c>
      <c r="F1502" s="37" t="s">
        <v>4065</v>
      </c>
      <c r="G1502" s="37" t="s">
        <v>4065</v>
      </c>
      <c r="H1502" s="37" t="s">
        <v>4065</v>
      </c>
      <c r="I1502" s="37" t="s">
        <v>2530</v>
      </c>
      <c r="J1502" s="37" t="s">
        <v>2530</v>
      </c>
      <c r="K1502" s="37" t="s">
        <v>2530</v>
      </c>
      <c r="L1502" s="36">
        <v>1</v>
      </c>
      <c r="M1502" s="36">
        <v>1</v>
      </c>
      <c r="N1502" s="36">
        <v>1</v>
      </c>
      <c r="O1502" s="36">
        <v>3</v>
      </c>
      <c r="P1502" s="37" t="s">
        <v>292</v>
      </c>
      <c r="Q1502" s="37"/>
      <c r="R1502" s="37" t="s">
        <v>4071</v>
      </c>
    </row>
    <row r="1503" spans="1:18" ht="27.7" hidden="1" thickBot="1" x14ac:dyDescent="0.55000000000000004">
      <c r="A1503" s="36">
        <v>1742</v>
      </c>
      <c r="B1503" s="37" t="s">
        <v>4072</v>
      </c>
      <c r="C1503" s="37" t="s">
        <v>4068</v>
      </c>
      <c r="D1503" s="37" t="s">
        <v>4043</v>
      </c>
      <c r="E1503" s="37" t="s">
        <v>4044</v>
      </c>
      <c r="F1503" s="37" t="s">
        <v>4065</v>
      </c>
      <c r="G1503" s="37" t="s">
        <v>4065</v>
      </c>
      <c r="H1503" s="37" t="s">
        <v>4065</v>
      </c>
      <c r="I1503" s="37" t="s">
        <v>2530</v>
      </c>
      <c r="J1503" s="37" t="s">
        <v>2530</v>
      </c>
      <c r="K1503" s="37" t="s">
        <v>2530</v>
      </c>
      <c r="L1503" s="36">
        <v>1</v>
      </c>
      <c r="M1503" s="36">
        <v>1</v>
      </c>
      <c r="N1503" s="36">
        <v>1</v>
      </c>
      <c r="O1503" s="36">
        <v>3</v>
      </c>
      <c r="P1503" s="37" t="s">
        <v>292</v>
      </c>
      <c r="Q1503" s="37"/>
      <c r="R1503" s="37" t="s">
        <v>4073</v>
      </c>
    </row>
    <row r="1504" spans="1:18" ht="27.7" hidden="1" thickBot="1" x14ac:dyDescent="0.55000000000000004">
      <c r="A1504" s="36">
        <v>1743</v>
      </c>
      <c r="B1504" s="37" t="s">
        <v>4068</v>
      </c>
      <c r="C1504" s="37" t="s">
        <v>4068</v>
      </c>
      <c r="D1504" s="37" t="s">
        <v>4043</v>
      </c>
      <c r="E1504" s="37" t="s">
        <v>4044</v>
      </c>
      <c r="F1504" s="37" t="s">
        <v>4057</v>
      </c>
      <c r="G1504" s="37" t="s">
        <v>4057</v>
      </c>
      <c r="H1504" s="37" t="s">
        <v>4057</v>
      </c>
      <c r="I1504" s="37" t="s">
        <v>2530</v>
      </c>
      <c r="J1504" s="37" t="s">
        <v>2530</v>
      </c>
      <c r="K1504" s="37" t="s">
        <v>2530</v>
      </c>
      <c r="L1504" s="36">
        <v>1</v>
      </c>
      <c r="M1504" s="36">
        <v>1</v>
      </c>
      <c r="N1504" s="36">
        <v>1</v>
      </c>
      <c r="O1504" s="36">
        <v>5</v>
      </c>
      <c r="P1504" s="37" t="s">
        <v>292</v>
      </c>
      <c r="Q1504" s="37"/>
      <c r="R1504" s="37" t="s">
        <v>4074</v>
      </c>
    </row>
    <row r="1505" spans="1:18" ht="27.7" hidden="1" thickBot="1" x14ac:dyDescent="0.55000000000000004">
      <c r="A1505" s="36">
        <v>1744</v>
      </c>
      <c r="B1505" s="37" t="s">
        <v>4075</v>
      </c>
      <c r="C1505" s="37" t="s">
        <v>4068</v>
      </c>
      <c r="D1505" s="37" t="s">
        <v>4043</v>
      </c>
      <c r="E1505" s="37" t="s">
        <v>4044</v>
      </c>
      <c r="F1505" s="37" t="s">
        <v>4057</v>
      </c>
      <c r="G1505" s="37" t="s">
        <v>4057</v>
      </c>
      <c r="H1505" s="37" t="s">
        <v>4057</v>
      </c>
      <c r="I1505" s="37" t="s">
        <v>2530</v>
      </c>
      <c r="J1505" s="37" t="s">
        <v>2530</v>
      </c>
      <c r="K1505" s="37" t="s">
        <v>2530</v>
      </c>
      <c r="L1505" s="36">
        <v>1</v>
      </c>
      <c r="M1505" s="36">
        <v>1</v>
      </c>
      <c r="N1505" s="36">
        <v>1</v>
      </c>
      <c r="O1505" s="36">
        <v>3</v>
      </c>
      <c r="P1505" s="37" t="s">
        <v>292</v>
      </c>
      <c r="Q1505" s="37"/>
      <c r="R1505" s="37" t="s">
        <v>4076</v>
      </c>
    </row>
    <row r="1506" spans="1:18" ht="27.7" hidden="1" thickBot="1" x14ac:dyDescent="0.55000000000000004">
      <c r="A1506" s="36">
        <v>1745</v>
      </c>
      <c r="B1506" s="37" t="s">
        <v>4077</v>
      </c>
      <c r="C1506" s="37" t="s">
        <v>4068</v>
      </c>
      <c r="D1506" s="37" t="s">
        <v>4043</v>
      </c>
      <c r="E1506" s="37" t="s">
        <v>4044</v>
      </c>
      <c r="F1506" s="37" t="s">
        <v>4057</v>
      </c>
      <c r="G1506" s="37" t="s">
        <v>4057</v>
      </c>
      <c r="H1506" s="37" t="s">
        <v>4057</v>
      </c>
      <c r="I1506" s="37" t="s">
        <v>2530</v>
      </c>
      <c r="J1506" s="37" t="s">
        <v>2530</v>
      </c>
      <c r="K1506" s="37" t="s">
        <v>2530</v>
      </c>
      <c r="L1506" s="36">
        <v>1</v>
      </c>
      <c r="M1506" s="36">
        <v>1</v>
      </c>
      <c r="N1506" s="36">
        <v>1</v>
      </c>
      <c r="O1506" s="36">
        <v>3</v>
      </c>
      <c r="P1506" s="37" t="s">
        <v>292</v>
      </c>
      <c r="Q1506" s="37"/>
      <c r="R1506" s="37" t="s">
        <v>4078</v>
      </c>
    </row>
    <row r="1507" spans="1:18" ht="27.7" hidden="1" thickBot="1" x14ac:dyDescent="0.55000000000000004">
      <c r="A1507" s="36">
        <v>1746</v>
      </c>
      <c r="B1507" s="37" t="s">
        <v>4079</v>
      </c>
      <c r="C1507" s="37" t="s">
        <v>4061</v>
      </c>
      <c r="D1507" s="37" t="s">
        <v>4061</v>
      </c>
      <c r="E1507" s="37" t="s">
        <v>4044</v>
      </c>
      <c r="F1507" s="37" t="s">
        <v>4080</v>
      </c>
      <c r="G1507" s="37" t="s">
        <v>4080</v>
      </c>
      <c r="H1507" s="37" t="s">
        <v>4080</v>
      </c>
      <c r="I1507" s="37" t="s">
        <v>2530</v>
      </c>
      <c r="J1507" s="37" t="s">
        <v>2530</v>
      </c>
      <c r="K1507" s="37" t="s">
        <v>2530</v>
      </c>
      <c r="L1507" s="36">
        <v>2</v>
      </c>
      <c r="M1507" s="36">
        <v>2</v>
      </c>
      <c r="N1507" s="36">
        <v>2</v>
      </c>
      <c r="O1507" s="36">
        <v>4</v>
      </c>
      <c r="P1507" s="37" t="s">
        <v>292</v>
      </c>
      <c r="Q1507" s="37"/>
      <c r="R1507" s="37" t="s">
        <v>4081</v>
      </c>
    </row>
    <row r="1508" spans="1:18" ht="27.7" hidden="1" thickBot="1" x14ac:dyDescent="0.55000000000000004">
      <c r="A1508" s="36">
        <v>1747</v>
      </c>
      <c r="B1508" s="37" t="s">
        <v>4082</v>
      </c>
      <c r="C1508" s="37" t="s">
        <v>4061</v>
      </c>
      <c r="D1508" s="37" t="s">
        <v>4061</v>
      </c>
      <c r="E1508" s="37" t="s">
        <v>4044</v>
      </c>
      <c r="F1508" s="37" t="s">
        <v>4080</v>
      </c>
      <c r="G1508" s="37" t="s">
        <v>4080</v>
      </c>
      <c r="H1508" s="37" t="s">
        <v>4080</v>
      </c>
      <c r="I1508" s="37" t="s">
        <v>2530</v>
      </c>
      <c r="J1508" s="37" t="s">
        <v>2530</v>
      </c>
      <c r="K1508" s="37" t="s">
        <v>2530</v>
      </c>
      <c r="L1508" s="36">
        <v>1</v>
      </c>
      <c r="M1508" s="36">
        <v>1</v>
      </c>
      <c r="N1508" s="36">
        <v>1</v>
      </c>
      <c r="O1508" s="36">
        <v>3</v>
      </c>
      <c r="P1508" s="37" t="s">
        <v>292</v>
      </c>
      <c r="Q1508" s="37"/>
      <c r="R1508" s="37" t="s">
        <v>4083</v>
      </c>
    </row>
    <row r="1509" spans="1:18" ht="27.7" hidden="1" thickBot="1" x14ac:dyDescent="0.55000000000000004">
      <c r="A1509" s="36">
        <v>1748</v>
      </c>
      <c r="B1509" s="37" t="s">
        <v>4084</v>
      </c>
      <c r="C1509" s="37" t="s">
        <v>4061</v>
      </c>
      <c r="D1509" s="37" t="s">
        <v>4061</v>
      </c>
      <c r="E1509" s="37" t="s">
        <v>4044</v>
      </c>
      <c r="F1509" s="37" t="s">
        <v>4080</v>
      </c>
      <c r="G1509" s="37" t="s">
        <v>4080</v>
      </c>
      <c r="H1509" s="37" t="s">
        <v>4080</v>
      </c>
      <c r="I1509" s="37" t="s">
        <v>2530</v>
      </c>
      <c r="J1509" s="37" t="s">
        <v>2530</v>
      </c>
      <c r="K1509" s="37" t="s">
        <v>2530</v>
      </c>
      <c r="L1509" s="36">
        <v>1</v>
      </c>
      <c r="M1509" s="36">
        <v>1</v>
      </c>
      <c r="N1509" s="36">
        <v>1</v>
      </c>
      <c r="O1509" s="36">
        <v>2</v>
      </c>
      <c r="P1509" s="37" t="s">
        <v>292</v>
      </c>
      <c r="Q1509" s="37"/>
      <c r="R1509" s="37" t="s">
        <v>4085</v>
      </c>
    </row>
    <row r="1510" spans="1:18" ht="27.7" hidden="1" thickBot="1" x14ac:dyDescent="0.55000000000000004">
      <c r="A1510" s="36">
        <v>1749</v>
      </c>
      <c r="B1510" s="37" t="s">
        <v>4086</v>
      </c>
      <c r="C1510" s="37" t="s">
        <v>4087</v>
      </c>
      <c r="D1510" s="37" t="s">
        <v>4061</v>
      </c>
      <c r="E1510" s="37" t="s">
        <v>4044</v>
      </c>
      <c r="F1510" s="37" t="s">
        <v>4080</v>
      </c>
      <c r="G1510" s="37" t="s">
        <v>4080</v>
      </c>
      <c r="H1510" s="37" t="s">
        <v>4080</v>
      </c>
      <c r="I1510" s="37" t="s">
        <v>2530</v>
      </c>
      <c r="J1510" s="37" t="s">
        <v>2530</v>
      </c>
      <c r="K1510" s="37" t="s">
        <v>2530</v>
      </c>
      <c r="L1510" s="36">
        <v>1</v>
      </c>
      <c r="M1510" s="36">
        <v>1</v>
      </c>
      <c r="N1510" s="36">
        <v>1</v>
      </c>
      <c r="O1510" s="36">
        <v>1</v>
      </c>
      <c r="P1510" s="37" t="s">
        <v>292</v>
      </c>
      <c r="Q1510" s="37"/>
      <c r="R1510" s="37" t="s">
        <v>4088</v>
      </c>
    </row>
    <row r="1511" spans="1:18" ht="27.7" hidden="1" thickBot="1" x14ac:dyDescent="0.55000000000000004">
      <c r="A1511" s="36">
        <v>1750</v>
      </c>
      <c r="B1511" s="37" t="s">
        <v>4089</v>
      </c>
      <c r="C1511" s="37" t="s">
        <v>4061</v>
      </c>
      <c r="D1511" s="37" t="s">
        <v>4061</v>
      </c>
      <c r="E1511" s="37" t="s">
        <v>4044</v>
      </c>
      <c r="F1511" s="37" t="s">
        <v>4080</v>
      </c>
      <c r="G1511" s="37" t="s">
        <v>4080</v>
      </c>
      <c r="H1511" s="37" t="s">
        <v>4080</v>
      </c>
      <c r="I1511" s="37" t="s">
        <v>2530</v>
      </c>
      <c r="J1511" s="37" t="s">
        <v>2530</v>
      </c>
      <c r="K1511" s="37" t="s">
        <v>2530</v>
      </c>
      <c r="L1511" s="36">
        <v>1</v>
      </c>
      <c r="M1511" s="36">
        <v>1</v>
      </c>
      <c r="N1511" s="36">
        <v>1</v>
      </c>
      <c r="O1511" s="36">
        <v>3</v>
      </c>
      <c r="P1511" s="37" t="s">
        <v>292</v>
      </c>
      <c r="Q1511" s="37"/>
      <c r="R1511" s="37" t="s">
        <v>4090</v>
      </c>
    </row>
    <row r="1512" spans="1:18" ht="27.7" hidden="1" thickBot="1" x14ac:dyDescent="0.55000000000000004">
      <c r="A1512" s="36">
        <v>1751</v>
      </c>
      <c r="B1512" s="37" t="s">
        <v>4091</v>
      </c>
      <c r="C1512" s="37" t="s">
        <v>4061</v>
      </c>
      <c r="D1512" s="37" t="s">
        <v>4061</v>
      </c>
      <c r="E1512" s="37" t="s">
        <v>4044</v>
      </c>
      <c r="F1512" s="37" t="s">
        <v>4080</v>
      </c>
      <c r="G1512" s="37" t="s">
        <v>4080</v>
      </c>
      <c r="H1512" s="37" t="s">
        <v>4080</v>
      </c>
      <c r="I1512" s="37" t="s">
        <v>2530</v>
      </c>
      <c r="J1512" s="37" t="s">
        <v>2530</v>
      </c>
      <c r="K1512" s="37" t="s">
        <v>2530</v>
      </c>
      <c r="L1512" s="36">
        <v>1</v>
      </c>
      <c r="M1512" s="36">
        <v>1</v>
      </c>
      <c r="N1512" s="36">
        <v>1</v>
      </c>
      <c r="O1512" s="36">
        <v>4</v>
      </c>
      <c r="P1512" s="37" t="s">
        <v>292</v>
      </c>
      <c r="Q1512" s="37"/>
      <c r="R1512" s="37" t="s">
        <v>4092</v>
      </c>
    </row>
    <row r="1513" spans="1:18" ht="27.7" hidden="1" thickBot="1" x14ac:dyDescent="0.55000000000000004">
      <c r="A1513" s="36">
        <v>1752</v>
      </c>
      <c r="B1513" s="37" t="s">
        <v>4087</v>
      </c>
      <c r="C1513" s="37" t="s">
        <v>4087</v>
      </c>
      <c r="D1513" s="37" t="s">
        <v>4061</v>
      </c>
      <c r="E1513" s="37" t="s">
        <v>4044</v>
      </c>
      <c r="F1513" s="37" t="s">
        <v>4080</v>
      </c>
      <c r="G1513" s="37" t="s">
        <v>4080</v>
      </c>
      <c r="H1513" s="37" t="s">
        <v>4080</v>
      </c>
      <c r="I1513" s="37" t="s">
        <v>2530</v>
      </c>
      <c r="J1513" s="37" t="s">
        <v>2530</v>
      </c>
      <c r="K1513" s="37" t="s">
        <v>2530</v>
      </c>
      <c r="L1513" s="36">
        <v>1</v>
      </c>
      <c r="M1513" s="36">
        <v>1</v>
      </c>
      <c r="N1513" s="36">
        <v>1</v>
      </c>
      <c r="O1513" s="36">
        <v>4</v>
      </c>
      <c r="P1513" s="37" t="s">
        <v>292</v>
      </c>
      <c r="Q1513" s="37"/>
      <c r="R1513" s="37" t="s">
        <v>4093</v>
      </c>
    </row>
    <row r="1514" spans="1:18" ht="27.7" hidden="1" thickBot="1" x14ac:dyDescent="0.55000000000000004">
      <c r="A1514" s="36">
        <v>1753</v>
      </c>
      <c r="B1514" s="37" t="s">
        <v>4094</v>
      </c>
      <c r="C1514" s="37" t="s">
        <v>4087</v>
      </c>
      <c r="D1514" s="37" t="s">
        <v>4061</v>
      </c>
      <c r="E1514" s="37" t="s">
        <v>4044</v>
      </c>
      <c r="F1514" s="37" t="s">
        <v>2680</v>
      </c>
      <c r="G1514" s="37" t="s">
        <v>2680</v>
      </c>
      <c r="H1514" s="37" t="s">
        <v>2680</v>
      </c>
      <c r="I1514" s="37" t="s">
        <v>2530</v>
      </c>
      <c r="J1514" s="37" t="s">
        <v>2530</v>
      </c>
      <c r="K1514" s="37" t="s">
        <v>2530</v>
      </c>
      <c r="L1514" s="36">
        <v>1</v>
      </c>
      <c r="M1514" s="36">
        <v>1</v>
      </c>
      <c r="N1514" s="36">
        <v>1</v>
      </c>
      <c r="O1514" s="36">
        <v>3</v>
      </c>
      <c r="P1514" s="37" t="s">
        <v>292</v>
      </c>
      <c r="Q1514" s="37"/>
      <c r="R1514" s="37" t="s">
        <v>4095</v>
      </c>
    </row>
    <row r="1515" spans="1:18" ht="27.7" hidden="1" thickBot="1" x14ac:dyDescent="0.55000000000000004">
      <c r="A1515" s="36">
        <v>1754</v>
      </c>
      <c r="B1515" s="37" t="s">
        <v>2680</v>
      </c>
      <c r="C1515" s="37" t="s">
        <v>2680</v>
      </c>
      <c r="D1515" s="37" t="s">
        <v>2680</v>
      </c>
      <c r="E1515" s="37" t="s">
        <v>2672</v>
      </c>
      <c r="F1515" s="37" t="s">
        <v>2680</v>
      </c>
      <c r="G1515" s="37" t="s">
        <v>2680</v>
      </c>
      <c r="H1515" s="37" t="s">
        <v>2680</v>
      </c>
      <c r="I1515" s="37" t="s">
        <v>2530</v>
      </c>
      <c r="J1515" s="37" t="s">
        <v>2530</v>
      </c>
      <c r="K1515" s="37" t="s">
        <v>2530</v>
      </c>
      <c r="L1515" s="36">
        <v>1</v>
      </c>
      <c r="M1515" s="36">
        <v>1</v>
      </c>
      <c r="N1515" s="36">
        <v>1</v>
      </c>
      <c r="O1515" s="36">
        <v>3</v>
      </c>
      <c r="P1515" s="37" t="s">
        <v>292</v>
      </c>
      <c r="Q1515" s="37"/>
      <c r="R1515" s="37" t="s">
        <v>4096</v>
      </c>
    </row>
    <row r="1516" spans="1:18" ht="27.7" hidden="1" thickBot="1" x14ac:dyDescent="0.55000000000000004">
      <c r="A1516" s="36">
        <v>1755</v>
      </c>
      <c r="B1516" s="37" t="s">
        <v>4097</v>
      </c>
      <c r="C1516" s="37" t="s">
        <v>2706</v>
      </c>
      <c r="D1516" s="37" t="s">
        <v>2680</v>
      </c>
      <c r="E1516" s="37" t="s">
        <v>2672</v>
      </c>
      <c r="F1516" s="37" t="s">
        <v>2680</v>
      </c>
      <c r="G1516" s="37" t="s">
        <v>2680</v>
      </c>
      <c r="H1516" s="37" t="s">
        <v>2680</v>
      </c>
      <c r="I1516" s="37" t="s">
        <v>2530</v>
      </c>
      <c r="J1516" s="37" t="s">
        <v>2530</v>
      </c>
      <c r="K1516" s="37" t="s">
        <v>2530</v>
      </c>
      <c r="L1516" s="36">
        <v>1</v>
      </c>
      <c r="M1516" s="36">
        <v>1</v>
      </c>
      <c r="N1516" s="36">
        <v>1</v>
      </c>
      <c r="O1516" s="36">
        <v>3</v>
      </c>
      <c r="P1516" s="37" t="s">
        <v>292</v>
      </c>
      <c r="Q1516" s="37"/>
      <c r="R1516" s="37" t="s">
        <v>4098</v>
      </c>
    </row>
    <row r="1517" spans="1:18" ht="27.7" hidden="1" thickBot="1" x14ac:dyDescent="0.55000000000000004">
      <c r="A1517" s="36">
        <v>1756</v>
      </c>
      <c r="B1517" s="37" t="s">
        <v>4099</v>
      </c>
      <c r="C1517" s="37" t="s">
        <v>2680</v>
      </c>
      <c r="D1517" s="37" t="s">
        <v>2680</v>
      </c>
      <c r="E1517" s="37" t="s">
        <v>2672</v>
      </c>
      <c r="F1517" s="37" t="s">
        <v>2680</v>
      </c>
      <c r="G1517" s="37" t="s">
        <v>2680</v>
      </c>
      <c r="H1517" s="37" t="s">
        <v>2680</v>
      </c>
      <c r="I1517" s="37" t="s">
        <v>2530</v>
      </c>
      <c r="J1517" s="37" t="s">
        <v>2530</v>
      </c>
      <c r="K1517" s="37" t="s">
        <v>2530</v>
      </c>
      <c r="L1517" s="36">
        <v>2</v>
      </c>
      <c r="M1517" s="36">
        <v>2</v>
      </c>
      <c r="N1517" s="36">
        <v>2</v>
      </c>
      <c r="O1517" s="36">
        <v>3</v>
      </c>
      <c r="P1517" s="37" t="s">
        <v>292</v>
      </c>
      <c r="Q1517" s="37"/>
      <c r="R1517" s="37" t="s">
        <v>4100</v>
      </c>
    </row>
    <row r="1518" spans="1:18" ht="27.7" hidden="1" thickBot="1" x14ac:dyDescent="0.55000000000000004">
      <c r="A1518" s="36">
        <v>1757</v>
      </c>
      <c r="B1518" s="37" t="s">
        <v>4101</v>
      </c>
      <c r="C1518" s="37" t="s">
        <v>4101</v>
      </c>
      <c r="D1518" s="37" t="s">
        <v>2672</v>
      </c>
      <c r="E1518" s="37" t="s">
        <v>2672</v>
      </c>
      <c r="F1518" s="37" t="s">
        <v>2700</v>
      </c>
      <c r="G1518" s="37" t="s">
        <v>2700</v>
      </c>
      <c r="H1518" s="37" t="s">
        <v>2700</v>
      </c>
      <c r="I1518" s="37" t="s">
        <v>2530</v>
      </c>
      <c r="J1518" s="37" t="s">
        <v>2530</v>
      </c>
      <c r="K1518" s="37" t="s">
        <v>2530</v>
      </c>
      <c r="L1518" s="36">
        <v>1</v>
      </c>
      <c r="M1518" s="36">
        <v>1</v>
      </c>
      <c r="N1518" s="36">
        <v>1</v>
      </c>
      <c r="O1518" s="36">
        <v>4</v>
      </c>
      <c r="P1518" s="37" t="s">
        <v>292</v>
      </c>
      <c r="Q1518" s="37"/>
      <c r="R1518" s="37" t="s">
        <v>4102</v>
      </c>
    </row>
    <row r="1519" spans="1:18" ht="27.7" hidden="1" thickBot="1" x14ac:dyDescent="0.55000000000000004">
      <c r="A1519" s="36">
        <v>1758</v>
      </c>
      <c r="B1519" s="37" t="s">
        <v>4103</v>
      </c>
      <c r="C1519" s="37" t="s">
        <v>4101</v>
      </c>
      <c r="D1519" s="37" t="s">
        <v>2672</v>
      </c>
      <c r="E1519" s="37" t="s">
        <v>2672</v>
      </c>
      <c r="F1519" s="37" t="s">
        <v>2700</v>
      </c>
      <c r="G1519" s="37" t="s">
        <v>2700</v>
      </c>
      <c r="H1519" s="37" t="s">
        <v>2700</v>
      </c>
      <c r="I1519" s="37" t="s">
        <v>2530</v>
      </c>
      <c r="J1519" s="37" t="s">
        <v>2530</v>
      </c>
      <c r="K1519" s="37" t="s">
        <v>2530</v>
      </c>
      <c r="L1519" s="36">
        <v>1</v>
      </c>
      <c r="M1519" s="36">
        <v>1</v>
      </c>
      <c r="N1519" s="36">
        <v>1</v>
      </c>
      <c r="O1519" s="36">
        <v>3</v>
      </c>
      <c r="P1519" s="37" t="s">
        <v>292</v>
      </c>
      <c r="Q1519" s="37"/>
      <c r="R1519" s="37" t="s">
        <v>4104</v>
      </c>
    </row>
    <row r="1520" spans="1:18" ht="27.7" hidden="1" thickBot="1" x14ac:dyDescent="0.55000000000000004">
      <c r="A1520" s="36">
        <v>1759</v>
      </c>
      <c r="B1520" s="37" t="s">
        <v>4105</v>
      </c>
      <c r="C1520" s="37" t="s">
        <v>4101</v>
      </c>
      <c r="D1520" s="37" t="s">
        <v>2672</v>
      </c>
      <c r="E1520" s="37" t="s">
        <v>2672</v>
      </c>
      <c r="F1520" s="37" t="s">
        <v>2700</v>
      </c>
      <c r="G1520" s="37" t="s">
        <v>2700</v>
      </c>
      <c r="H1520" s="37" t="s">
        <v>2700</v>
      </c>
      <c r="I1520" s="37" t="s">
        <v>2530</v>
      </c>
      <c r="J1520" s="37" t="s">
        <v>2530</v>
      </c>
      <c r="K1520" s="37" t="s">
        <v>2530</v>
      </c>
      <c r="L1520" s="36">
        <v>1</v>
      </c>
      <c r="M1520" s="36">
        <v>1</v>
      </c>
      <c r="N1520" s="36">
        <v>1</v>
      </c>
      <c r="O1520" s="36">
        <v>3</v>
      </c>
      <c r="P1520" s="37" t="s">
        <v>292</v>
      </c>
      <c r="Q1520" s="37"/>
      <c r="R1520" s="37" t="s">
        <v>4106</v>
      </c>
    </row>
    <row r="1521" spans="1:18" ht="27.7" hidden="1" thickBot="1" x14ac:dyDescent="0.55000000000000004">
      <c r="A1521" s="36">
        <v>1760</v>
      </c>
      <c r="B1521" s="37" t="s">
        <v>4107</v>
      </c>
      <c r="C1521" s="37" t="s">
        <v>2699</v>
      </c>
      <c r="D1521" s="37" t="s">
        <v>2672</v>
      </c>
      <c r="E1521" s="37" t="s">
        <v>2672</v>
      </c>
      <c r="F1521" s="37" t="s">
        <v>2700</v>
      </c>
      <c r="G1521" s="37" t="s">
        <v>2700</v>
      </c>
      <c r="H1521" s="37" t="s">
        <v>2700</v>
      </c>
      <c r="I1521" s="37" t="s">
        <v>2530</v>
      </c>
      <c r="J1521" s="37" t="s">
        <v>2530</v>
      </c>
      <c r="K1521" s="37" t="s">
        <v>2530</v>
      </c>
      <c r="L1521" s="36">
        <v>1</v>
      </c>
      <c r="M1521" s="36">
        <v>1</v>
      </c>
      <c r="N1521" s="36">
        <v>1</v>
      </c>
      <c r="O1521" s="36">
        <v>3</v>
      </c>
      <c r="P1521" s="37" t="s">
        <v>292</v>
      </c>
      <c r="Q1521" s="37"/>
      <c r="R1521" s="37" t="s">
        <v>4108</v>
      </c>
    </row>
    <row r="1522" spans="1:18" ht="27.7" hidden="1" thickBot="1" x14ac:dyDescent="0.55000000000000004">
      <c r="A1522" s="36">
        <v>1761</v>
      </c>
      <c r="B1522" s="37" t="s">
        <v>4109</v>
      </c>
      <c r="C1522" s="37" t="s">
        <v>2699</v>
      </c>
      <c r="D1522" s="37" t="s">
        <v>2672</v>
      </c>
      <c r="E1522" s="37" t="s">
        <v>2672</v>
      </c>
      <c r="F1522" s="37" t="s">
        <v>2700</v>
      </c>
      <c r="G1522" s="37" t="s">
        <v>2700</v>
      </c>
      <c r="H1522" s="37" t="s">
        <v>2700</v>
      </c>
      <c r="I1522" s="37" t="s">
        <v>2530</v>
      </c>
      <c r="J1522" s="37" t="s">
        <v>2530</v>
      </c>
      <c r="K1522" s="37" t="s">
        <v>2530</v>
      </c>
      <c r="L1522" s="36">
        <v>1</v>
      </c>
      <c r="M1522" s="36">
        <v>1</v>
      </c>
      <c r="N1522" s="36">
        <v>1</v>
      </c>
      <c r="O1522" s="36">
        <v>4</v>
      </c>
      <c r="P1522" s="37" t="s">
        <v>292</v>
      </c>
      <c r="Q1522" s="37"/>
      <c r="R1522" s="37" t="s">
        <v>4110</v>
      </c>
    </row>
    <row r="1523" spans="1:18" ht="27.7" hidden="1" thickBot="1" x14ac:dyDescent="0.55000000000000004">
      <c r="A1523" s="36">
        <v>1762</v>
      </c>
      <c r="B1523" s="37" t="s">
        <v>4111</v>
      </c>
      <c r="C1523" s="37" t="s">
        <v>4111</v>
      </c>
      <c r="D1523" s="37" t="s">
        <v>2671</v>
      </c>
      <c r="E1523" s="37" t="s">
        <v>2672</v>
      </c>
      <c r="F1523" s="37" t="s">
        <v>2673</v>
      </c>
      <c r="G1523" s="37" t="s">
        <v>2673</v>
      </c>
      <c r="H1523" s="37" t="s">
        <v>2673</v>
      </c>
      <c r="I1523" s="37" t="s">
        <v>2530</v>
      </c>
      <c r="J1523" s="37" t="s">
        <v>2530</v>
      </c>
      <c r="K1523" s="37" t="s">
        <v>88</v>
      </c>
      <c r="L1523" s="36">
        <v>1</v>
      </c>
      <c r="M1523" s="36">
        <v>1</v>
      </c>
      <c r="N1523" s="36">
        <v>1</v>
      </c>
      <c r="O1523" s="36">
        <v>2</v>
      </c>
      <c r="P1523" s="37" t="s">
        <v>292</v>
      </c>
      <c r="Q1523" s="37"/>
      <c r="R1523" s="37" t="s">
        <v>4112</v>
      </c>
    </row>
    <row r="1524" spans="1:18" ht="27.7" hidden="1" thickBot="1" x14ac:dyDescent="0.55000000000000004">
      <c r="A1524" s="36">
        <v>1763</v>
      </c>
      <c r="B1524" s="37" t="s">
        <v>4113</v>
      </c>
      <c r="C1524" s="37" t="s">
        <v>2699</v>
      </c>
      <c r="D1524" s="37" t="s">
        <v>2672</v>
      </c>
      <c r="E1524" s="37" t="s">
        <v>2672</v>
      </c>
      <c r="F1524" s="37" t="s">
        <v>2700</v>
      </c>
      <c r="G1524" s="37" t="s">
        <v>2700</v>
      </c>
      <c r="H1524" s="37" t="s">
        <v>2700</v>
      </c>
      <c r="I1524" s="37" t="s">
        <v>2530</v>
      </c>
      <c r="J1524" s="37" t="s">
        <v>2530</v>
      </c>
      <c r="K1524" s="37" t="s">
        <v>2530</v>
      </c>
      <c r="L1524" s="36">
        <v>1</v>
      </c>
      <c r="M1524" s="36">
        <v>1</v>
      </c>
      <c r="N1524" s="36">
        <v>1</v>
      </c>
      <c r="O1524" s="36">
        <v>4</v>
      </c>
      <c r="P1524" s="37" t="s">
        <v>292</v>
      </c>
      <c r="Q1524" s="37"/>
      <c r="R1524" s="37" t="s">
        <v>4114</v>
      </c>
    </row>
    <row r="1525" spans="1:18" ht="27.7" hidden="1" thickBot="1" x14ac:dyDescent="0.55000000000000004">
      <c r="A1525" s="36">
        <v>1764</v>
      </c>
      <c r="B1525" s="37" t="s">
        <v>4115</v>
      </c>
      <c r="C1525" s="37" t="s">
        <v>2702</v>
      </c>
      <c r="D1525" s="37" t="s">
        <v>2672</v>
      </c>
      <c r="E1525" s="37" t="s">
        <v>2672</v>
      </c>
      <c r="F1525" s="37" t="s">
        <v>2673</v>
      </c>
      <c r="G1525" s="37" t="s">
        <v>2673</v>
      </c>
      <c r="H1525" s="37" t="s">
        <v>2673</v>
      </c>
      <c r="I1525" s="37" t="s">
        <v>2530</v>
      </c>
      <c r="J1525" s="37" t="s">
        <v>2530</v>
      </c>
      <c r="K1525" s="37" t="s">
        <v>2530</v>
      </c>
      <c r="L1525" s="36">
        <v>1</v>
      </c>
      <c r="M1525" s="36">
        <v>1</v>
      </c>
      <c r="N1525" s="36">
        <v>1</v>
      </c>
      <c r="O1525" s="36">
        <v>3</v>
      </c>
      <c r="P1525" s="37" t="s">
        <v>292</v>
      </c>
      <c r="Q1525" s="37"/>
      <c r="R1525" s="37" t="s">
        <v>4116</v>
      </c>
    </row>
    <row r="1526" spans="1:18" ht="27.7" hidden="1" thickBot="1" x14ac:dyDescent="0.55000000000000004">
      <c r="A1526" s="36">
        <v>1765</v>
      </c>
      <c r="B1526" s="37" t="s">
        <v>4117</v>
      </c>
      <c r="C1526" s="37" t="s">
        <v>2702</v>
      </c>
      <c r="D1526" s="37" t="s">
        <v>2672</v>
      </c>
      <c r="E1526" s="37" t="s">
        <v>2672</v>
      </c>
      <c r="F1526" s="37" t="s">
        <v>2700</v>
      </c>
      <c r="G1526" s="37" t="s">
        <v>2700</v>
      </c>
      <c r="H1526" s="37" t="s">
        <v>2700</v>
      </c>
      <c r="I1526" s="37" t="s">
        <v>2530</v>
      </c>
      <c r="J1526" s="37" t="s">
        <v>2530</v>
      </c>
      <c r="K1526" s="37" t="s">
        <v>2530</v>
      </c>
      <c r="L1526" s="36">
        <v>1</v>
      </c>
      <c r="M1526" s="36">
        <v>1</v>
      </c>
      <c r="N1526" s="36">
        <v>1</v>
      </c>
      <c r="O1526" s="36">
        <v>2</v>
      </c>
      <c r="P1526" s="37" t="s">
        <v>292</v>
      </c>
      <c r="Q1526" s="37"/>
      <c r="R1526" s="37" t="s">
        <v>4118</v>
      </c>
    </row>
    <row r="1527" spans="1:18" ht="27.7" hidden="1" thickBot="1" x14ac:dyDescent="0.55000000000000004">
      <c r="A1527" s="36">
        <v>1768</v>
      </c>
      <c r="B1527" s="37" t="s">
        <v>4119</v>
      </c>
      <c r="C1527" s="37" t="s">
        <v>2671</v>
      </c>
      <c r="D1527" s="37" t="s">
        <v>2671</v>
      </c>
      <c r="E1527" s="37" t="s">
        <v>2672</v>
      </c>
      <c r="F1527" s="37" t="s">
        <v>2673</v>
      </c>
      <c r="G1527" s="37" t="s">
        <v>2673</v>
      </c>
      <c r="H1527" s="37" t="s">
        <v>2673</v>
      </c>
      <c r="I1527" s="37" t="s">
        <v>2530</v>
      </c>
      <c r="J1527" s="37" t="s">
        <v>2530</v>
      </c>
      <c r="K1527" s="37" t="s">
        <v>2530</v>
      </c>
      <c r="L1527" s="36">
        <v>1</v>
      </c>
      <c r="M1527" s="36">
        <v>1</v>
      </c>
      <c r="N1527" s="36">
        <v>1</v>
      </c>
      <c r="O1527" s="36">
        <v>4</v>
      </c>
      <c r="P1527" s="37" t="s">
        <v>292</v>
      </c>
      <c r="Q1527" s="37"/>
      <c r="R1527" s="37" t="s">
        <v>4120</v>
      </c>
    </row>
    <row r="1528" spans="1:18" ht="27.7" hidden="1" thickBot="1" x14ac:dyDescent="0.55000000000000004">
      <c r="A1528" s="36">
        <v>1769</v>
      </c>
      <c r="B1528" s="37" t="s">
        <v>4121</v>
      </c>
      <c r="C1528" s="37" t="s">
        <v>4122</v>
      </c>
      <c r="D1528" s="37" t="s">
        <v>4043</v>
      </c>
      <c r="E1528" s="37" t="s">
        <v>4044</v>
      </c>
      <c r="F1528" s="37" t="s">
        <v>4065</v>
      </c>
      <c r="G1528" s="37" t="s">
        <v>4065</v>
      </c>
      <c r="H1528" s="37" t="s">
        <v>4065</v>
      </c>
      <c r="I1528" s="37" t="s">
        <v>2530</v>
      </c>
      <c r="J1528" s="37" t="s">
        <v>2530</v>
      </c>
      <c r="K1528" s="37" t="s">
        <v>2530</v>
      </c>
      <c r="L1528" s="36">
        <v>1</v>
      </c>
      <c r="M1528" s="36">
        <v>1</v>
      </c>
      <c r="N1528" s="36">
        <v>1</v>
      </c>
      <c r="O1528" s="36">
        <v>2</v>
      </c>
      <c r="P1528" s="37" t="s">
        <v>292</v>
      </c>
      <c r="Q1528" s="37"/>
      <c r="R1528" s="37" t="s">
        <v>4123</v>
      </c>
    </row>
    <row r="1529" spans="1:18" ht="27.7" hidden="1" thickBot="1" x14ac:dyDescent="0.55000000000000004">
      <c r="A1529" s="36">
        <v>1770</v>
      </c>
      <c r="B1529" s="37" t="s">
        <v>4122</v>
      </c>
      <c r="C1529" s="37" t="s">
        <v>4122</v>
      </c>
      <c r="D1529" s="37" t="s">
        <v>4043</v>
      </c>
      <c r="E1529" s="37" t="s">
        <v>4044</v>
      </c>
      <c r="F1529" s="37" t="s">
        <v>4124</v>
      </c>
      <c r="G1529" s="37" t="s">
        <v>4124</v>
      </c>
      <c r="H1529" s="37" t="s">
        <v>4124</v>
      </c>
      <c r="I1529" s="37" t="s">
        <v>2530</v>
      </c>
      <c r="J1529" s="37" t="s">
        <v>2530</v>
      </c>
      <c r="K1529" s="37" t="s">
        <v>2530</v>
      </c>
      <c r="L1529" s="36">
        <v>1</v>
      </c>
      <c r="M1529" s="36">
        <v>1</v>
      </c>
      <c r="N1529" s="36">
        <v>1</v>
      </c>
      <c r="O1529" s="36">
        <v>3</v>
      </c>
      <c r="P1529" s="37" t="s">
        <v>292</v>
      </c>
      <c r="Q1529" s="37"/>
      <c r="R1529" s="37" t="s">
        <v>4125</v>
      </c>
    </row>
    <row r="1530" spans="1:18" ht="27.7" hidden="1" thickBot="1" x14ac:dyDescent="0.55000000000000004">
      <c r="A1530" s="36">
        <v>1771</v>
      </c>
      <c r="B1530" s="37" t="s">
        <v>4126</v>
      </c>
      <c r="C1530" s="37" t="s">
        <v>4122</v>
      </c>
      <c r="D1530" s="37" t="s">
        <v>4043</v>
      </c>
      <c r="E1530" s="37" t="s">
        <v>4044</v>
      </c>
      <c r="F1530" s="37" t="s">
        <v>1180</v>
      </c>
      <c r="G1530" s="37" t="s">
        <v>1180</v>
      </c>
      <c r="H1530" s="37" t="s">
        <v>1180</v>
      </c>
      <c r="I1530" s="37" t="s">
        <v>2530</v>
      </c>
      <c r="J1530" s="37" t="s">
        <v>2530</v>
      </c>
      <c r="K1530" s="37" t="s">
        <v>2530</v>
      </c>
      <c r="L1530" s="36">
        <v>1</v>
      </c>
      <c r="M1530" s="36">
        <v>1</v>
      </c>
      <c r="N1530" s="36">
        <v>1</v>
      </c>
      <c r="O1530" s="36">
        <v>1</v>
      </c>
      <c r="P1530" s="37" t="s">
        <v>292</v>
      </c>
      <c r="Q1530" s="37"/>
      <c r="R1530" s="37" t="s">
        <v>4127</v>
      </c>
    </row>
    <row r="1531" spans="1:18" ht="27.7" hidden="1" thickBot="1" x14ac:dyDescent="0.55000000000000004">
      <c r="A1531" s="36">
        <v>1772</v>
      </c>
      <c r="B1531" s="37" t="s">
        <v>4128</v>
      </c>
      <c r="C1531" s="37" t="s">
        <v>2606</v>
      </c>
      <c r="D1531" s="37" t="s">
        <v>2402</v>
      </c>
      <c r="E1531" s="37" t="s">
        <v>2404</v>
      </c>
      <c r="F1531" s="37" t="s">
        <v>4124</v>
      </c>
      <c r="G1531" s="37" t="s">
        <v>4124</v>
      </c>
      <c r="H1531" s="37" t="s">
        <v>4124</v>
      </c>
      <c r="I1531" s="37" t="s">
        <v>2530</v>
      </c>
      <c r="J1531" s="37" t="s">
        <v>2530</v>
      </c>
      <c r="K1531" s="37" t="s">
        <v>88</v>
      </c>
      <c r="L1531" s="36">
        <v>1</v>
      </c>
      <c r="M1531" s="36">
        <v>1</v>
      </c>
      <c r="N1531" s="36">
        <v>1</v>
      </c>
      <c r="O1531" s="36">
        <v>3</v>
      </c>
      <c r="P1531" s="37" t="s">
        <v>292</v>
      </c>
      <c r="Q1531" s="37"/>
      <c r="R1531" s="37" t="s">
        <v>4129</v>
      </c>
    </row>
    <row r="1532" spans="1:18" ht="14.7" hidden="1" thickBot="1" x14ac:dyDescent="0.55000000000000004">
      <c r="A1532" s="36">
        <v>1773</v>
      </c>
      <c r="B1532" s="37" t="s">
        <v>4130</v>
      </c>
      <c r="C1532" s="37" t="s">
        <v>2506</v>
      </c>
      <c r="D1532" s="37" t="s">
        <v>2435</v>
      </c>
      <c r="E1532" s="37" t="s">
        <v>2435</v>
      </c>
      <c r="F1532" s="37" t="s">
        <v>1180</v>
      </c>
      <c r="G1532" s="37" t="s">
        <v>1180</v>
      </c>
      <c r="H1532" s="37" t="s">
        <v>1180</v>
      </c>
      <c r="I1532" s="37" t="s">
        <v>2452</v>
      </c>
      <c r="J1532" s="37" t="s">
        <v>2452</v>
      </c>
      <c r="K1532" s="37" t="s">
        <v>88</v>
      </c>
      <c r="L1532" s="36">
        <v>1</v>
      </c>
      <c r="M1532" s="36">
        <v>1</v>
      </c>
      <c r="N1532" s="36">
        <v>1</v>
      </c>
      <c r="O1532" s="36">
        <v>4</v>
      </c>
      <c r="P1532" s="37" t="s">
        <v>292</v>
      </c>
      <c r="Q1532" s="37"/>
      <c r="R1532" s="37" t="s">
        <v>4131</v>
      </c>
    </row>
    <row r="1533" spans="1:18" ht="27.7" hidden="1" thickBot="1" x14ac:dyDescent="0.55000000000000004">
      <c r="A1533" s="36">
        <v>1774</v>
      </c>
      <c r="B1533" s="37" t="s">
        <v>4132</v>
      </c>
      <c r="C1533" s="37" t="s">
        <v>2506</v>
      </c>
      <c r="D1533" s="37" t="s">
        <v>2435</v>
      </c>
      <c r="E1533" s="37" t="s">
        <v>2435</v>
      </c>
      <c r="F1533" s="37" t="s">
        <v>1180</v>
      </c>
      <c r="G1533" s="37" t="s">
        <v>1180</v>
      </c>
      <c r="H1533" s="37" t="s">
        <v>1180</v>
      </c>
      <c r="I1533" s="37" t="s">
        <v>2452</v>
      </c>
      <c r="J1533" s="37" t="s">
        <v>2452</v>
      </c>
      <c r="K1533" s="37" t="s">
        <v>88</v>
      </c>
      <c r="L1533" s="36">
        <v>3</v>
      </c>
      <c r="M1533" s="36">
        <v>3</v>
      </c>
      <c r="N1533" s="36">
        <v>3</v>
      </c>
      <c r="O1533" s="36">
        <v>3</v>
      </c>
      <c r="P1533" s="37" t="s">
        <v>292</v>
      </c>
      <c r="Q1533" s="37"/>
      <c r="R1533" s="37" t="s">
        <v>4133</v>
      </c>
    </row>
    <row r="1534" spans="1:18" ht="14.7" hidden="1" thickBot="1" x14ac:dyDescent="0.55000000000000004">
      <c r="A1534" s="36">
        <v>1775</v>
      </c>
      <c r="B1534" s="37" t="s">
        <v>4134</v>
      </c>
      <c r="C1534" s="37" t="s">
        <v>2688</v>
      </c>
      <c r="D1534" s="37" t="s">
        <v>2435</v>
      </c>
      <c r="E1534" s="37" t="s">
        <v>2435</v>
      </c>
      <c r="F1534" s="37" t="s">
        <v>1180</v>
      </c>
      <c r="G1534" s="37" t="s">
        <v>1180</v>
      </c>
      <c r="H1534" s="37" t="s">
        <v>1180</v>
      </c>
      <c r="I1534" s="37" t="s">
        <v>2475</v>
      </c>
      <c r="J1534" s="37" t="s">
        <v>2475</v>
      </c>
      <c r="K1534" s="37" t="s">
        <v>88</v>
      </c>
      <c r="L1534" s="36">
        <v>1</v>
      </c>
      <c r="M1534" s="36">
        <v>1</v>
      </c>
      <c r="N1534" s="36">
        <v>1</v>
      </c>
      <c r="O1534" s="36">
        <v>2</v>
      </c>
      <c r="P1534" s="37" t="s">
        <v>292</v>
      </c>
      <c r="Q1534" s="37"/>
      <c r="R1534" s="37" t="s">
        <v>4135</v>
      </c>
    </row>
    <row r="1535" spans="1:18" ht="27.7" hidden="1" thickBot="1" x14ac:dyDescent="0.55000000000000004">
      <c r="A1535" s="36">
        <v>1776</v>
      </c>
      <c r="B1535" s="37" t="s">
        <v>4136</v>
      </c>
      <c r="C1535" s="37" t="s">
        <v>2525</v>
      </c>
      <c r="D1535" s="37" t="s">
        <v>2435</v>
      </c>
      <c r="E1535" s="37" t="s">
        <v>2435</v>
      </c>
      <c r="F1535" s="37" t="s">
        <v>1180</v>
      </c>
      <c r="G1535" s="37" t="s">
        <v>1180</v>
      </c>
      <c r="H1535" s="37" t="s">
        <v>1180</v>
      </c>
      <c r="I1535" s="37" t="s">
        <v>4137</v>
      </c>
      <c r="J1535" s="37" t="s">
        <v>4137</v>
      </c>
      <c r="K1535" s="37" t="s">
        <v>88</v>
      </c>
      <c r="L1535" s="36">
        <v>1</v>
      </c>
      <c r="M1535" s="36">
        <v>1</v>
      </c>
      <c r="N1535" s="36">
        <v>2</v>
      </c>
      <c r="O1535" s="36">
        <v>3</v>
      </c>
      <c r="P1535" s="37" t="s">
        <v>292</v>
      </c>
      <c r="Q1535" s="37"/>
      <c r="R1535" s="37" t="s">
        <v>4138</v>
      </c>
    </row>
    <row r="1536" spans="1:18" ht="27.7" hidden="1" thickBot="1" x14ac:dyDescent="0.55000000000000004">
      <c r="A1536" s="36">
        <v>1777</v>
      </c>
      <c r="B1536" s="37" t="s">
        <v>4139</v>
      </c>
      <c r="C1536" s="37" t="s">
        <v>2517</v>
      </c>
      <c r="D1536" s="37" t="s">
        <v>2435</v>
      </c>
      <c r="E1536" s="37" t="s">
        <v>2435</v>
      </c>
      <c r="F1536" s="37" t="s">
        <v>1180</v>
      </c>
      <c r="G1536" s="37" t="s">
        <v>1180</v>
      </c>
      <c r="H1536" s="37" t="s">
        <v>1180</v>
      </c>
      <c r="I1536" s="37" t="s">
        <v>4137</v>
      </c>
      <c r="J1536" s="37" t="s">
        <v>4137</v>
      </c>
      <c r="K1536" s="37" t="s">
        <v>88</v>
      </c>
      <c r="L1536" s="36">
        <v>1</v>
      </c>
      <c r="M1536" s="36">
        <v>2</v>
      </c>
      <c r="N1536" s="36">
        <v>2</v>
      </c>
      <c r="O1536" s="36">
        <v>5</v>
      </c>
      <c r="P1536" s="37" t="s">
        <v>292</v>
      </c>
      <c r="Q1536" s="37"/>
      <c r="R1536" s="37" t="s">
        <v>4140</v>
      </c>
    </row>
    <row r="1537" spans="1:18" ht="27.7" hidden="1" thickBot="1" x14ac:dyDescent="0.55000000000000004">
      <c r="A1537" s="36">
        <v>1778</v>
      </c>
      <c r="B1537" s="37" t="s">
        <v>4141</v>
      </c>
      <c r="C1537" s="37" t="s">
        <v>2517</v>
      </c>
      <c r="D1537" s="37" t="s">
        <v>2435</v>
      </c>
      <c r="E1537" s="37" t="s">
        <v>2435</v>
      </c>
      <c r="F1537" s="37" t="s">
        <v>1180</v>
      </c>
      <c r="G1537" s="37" t="s">
        <v>1180</v>
      </c>
      <c r="H1537" s="37" t="s">
        <v>1180</v>
      </c>
      <c r="I1537" s="37" t="s">
        <v>4137</v>
      </c>
      <c r="J1537" s="37" t="s">
        <v>4137</v>
      </c>
      <c r="K1537" s="37" t="s">
        <v>88</v>
      </c>
      <c r="L1537" s="36">
        <v>1</v>
      </c>
      <c r="M1537" s="36">
        <v>1</v>
      </c>
      <c r="N1537" s="36">
        <v>1</v>
      </c>
      <c r="O1537" s="36">
        <v>2</v>
      </c>
      <c r="P1537" s="37" t="s">
        <v>292</v>
      </c>
      <c r="Q1537" s="37"/>
      <c r="R1537" s="37" t="s">
        <v>4142</v>
      </c>
    </row>
    <row r="1538" spans="1:18" ht="14.7" hidden="1" thickBot="1" x14ac:dyDescent="0.55000000000000004">
      <c r="A1538" s="36">
        <v>1779</v>
      </c>
      <c r="B1538" s="37" t="s">
        <v>4143</v>
      </c>
      <c r="C1538" s="37" t="s">
        <v>2525</v>
      </c>
      <c r="D1538" s="37" t="s">
        <v>2435</v>
      </c>
      <c r="E1538" s="37" t="s">
        <v>2435</v>
      </c>
      <c r="F1538" s="37" t="s">
        <v>1180</v>
      </c>
      <c r="G1538" s="37" t="s">
        <v>1180</v>
      </c>
      <c r="H1538" s="37" t="s">
        <v>1180</v>
      </c>
      <c r="I1538" s="37" t="s">
        <v>4137</v>
      </c>
      <c r="J1538" s="37" t="s">
        <v>4137</v>
      </c>
      <c r="K1538" s="37" t="s">
        <v>88</v>
      </c>
      <c r="L1538" s="36">
        <v>1</v>
      </c>
      <c r="M1538" s="36">
        <v>1</v>
      </c>
      <c r="N1538" s="36">
        <v>1</v>
      </c>
      <c r="O1538" s="36">
        <v>2</v>
      </c>
      <c r="P1538" s="37" t="s">
        <v>292</v>
      </c>
      <c r="Q1538" s="37"/>
      <c r="R1538" s="37" t="s">
        <v>4144</v>
      </c>
    </row>
    <row r="1539" spans="1:18" ht="14.7" hidden="1" thickBot="1" x14ac:dyDescent="0.55000000000000004">
      <c r="A1539" s="36">
        <v>1780</v>
      </c>
      <c r="B1539" s="37" t="s">
        <v>4145</v>
      </c>
      <c r="C1539" s="37" t="s">
        <v>2688</v>
      </c>
      <c r="D1539" s="37" t="s">
        <v>2435</v>
      </c>
      <c r="E1539" s="37" t="s">
        <v>2435</v>
      </c>
      <c r="F1539" s="37" t="s">
        <v>1180</v>
      </c>
      <c r="G1539" s="37" t="s">
        <v>1180</v>
      </c>
      <c r="H1539" s="37" t="s">
        <v>1180</v>
      </c>
      <c r="I1539" s="37" t="s">
        <v>2475</v>
      </c>
      <c r="J1539" s="37" t="s">
        <v>2475</v>
      </c>
      <c r="K1539" s="37" t="s">
        <v>88</v>
      </c>
      <c r="L1539" s="36">
        <v>1</v>
      </c>
      <c r="M1539" s="36">
        <v>1</v>
      </c>
      <c r="N1539" s="36">
        <v>1</v>
      </c>
      <c r="O1539" s="36">
        <v>2</v>
      </c>
      <c r="P1539" s="37" t="s">
        <v>292</v>
      </c>
      <c r="Q1539" s="37"/>
      <c r="R1539" s="37" t="s">
        <v>4146</v>
      </c>
    </row>
    <row r="1540" spans="1:18" ht="27.7" hidden="1" thickBot="1" x14ac:dyDescent="0.55000000000000004">
      <c r="A1540" s="36">
        <v>1781</v>
      </c>
      <c r="B1540" s="37" t="s">
        <v>4147</v>
      </c>
      <c r="C1540" s="37" t="s">
        <v>2399</v>
      </c>
      <c r="D1540" s="37" t="s">
        <v>2383</v>
      </c>
      <c r="E1540" s="37" t="s">
        <v>2037</v>
      </c>
      <c r="F1540" s="37" t="s">
        <v>2393</v>
      </c>
      <c r="G1540" s="37" t="s">
        <v>2393</v>
      </c>
      <c r="H1540" s="37" t="s">
        <v>2393</v>
      </c>
      <c r="I1540" s="37" t="s">
        <v>2077</v>
      </c>
      <c r="J1540" s="37" t="s">
        <v>2077</v>
      </c>
      <c r="K1540" s="37" t="s">
        <v>2077</v>
      </c>
      <c r="L1540" s="36">
        <v>2</v>
      </c>
      <c r="M1540" s="36">
        <v>2</v>
      </c>
      <c r="N1540" s="36">
        <v>2</v>
      </c>
      <c r="O1540" s="36">
        <v>3</v>
      </c>
      <c r="P1540" s="37" t="s">
        <v>265</v>
      </c>
      <c r="Q1540" s="37"/>
      <c r="R1540" s="37" t="s">
        <v>4148</v>
      </c>
    </row>
    <row r="1541" spans="1:18" ht="27.7" hidden="1" thickBot="1" x14ac:dyDescent="0.55000000000000004">
      <c r="A1541" s="36">
        <v>1782</v>
      </c>
      <c r="B1541" s="37" t="s">
        <v>4149</v>
      </c>
      <c r="C1541" s="37" t="s">
        <v>2410</v>
      </c>
      <c r="D1541" s="37" t="s">
        <v>2383</v>
      </c>
      <c r="E1541" s="37" t="s">
        <v>2037</v>
      </c>
      <c r="F1541" s="37" t="s">
        <v>2405</v>
      </c>
      <c r="G1541" s="37" t="s">
        <v>2405</v>
      </c>
      <c r="H1541" s="37" t="s">
        <v>2405</v>
      </c>
      <c r="I1541" s="37" t="s">
        <v>2077</v>
      </c>
      <c r="J1541" s="37" t="s">
        <v>2077</v>
      </c>
      <c r="K1541" s="37" t="s">
        <v>2077</v>
      </c>
      <c r="L1541" s="36">
        <v>1</v>
      </c>
      <c r="M1541" s="36">
        <v>1</v>
      </c>
      <c r="N1541" s="36">
        <v>1</v>
      </c>
      <c r="O1541" s="36">
        <v>2</v>
      </c>
      <c r="P1541" s="37" t="s">
        <v>292</v>
      </c>
      <c r="Q1541" s="37"/>
      <c r="R1541" s="37" t="s">
        <v>4150</v>
      </c>
    </row>
    <row r="1542" spans="1:18" ht="27.7" hidden="1" thickBot="1" x14ac:dyDescent="0.55000000000000004">
      <c r="A1542" s="36">
        <v>1787</v>
      </c>
      <c r="B1542" s="37" t="s">
        <v>4151</v>
      </c>
      <c r="C1542" s="37" t="s">
        <v>1967</v>
      </c>
      <c r="D1542" s="37" t="s">
        <v>1958</v>
      </c>
      <c r="E1542" s="37" t="s">
        <v>1959</v>
      </c>
      <c r="F1542" s="37" t="s">
        <v>1840</v>
      </c>
      <c r="G1542" s="37" t="s">
        <v>1840</v>
      </c>
      <c r="H1542" s="37" t="s">
        <v>1840</v>
      </c>
      <c r="I1542" s="37" t="s">
        <v>1964</v>
      </c>
      <c r="J1542" s="37" t="s">
        <v>1964</v>
      </c>
      <c r="K1542" s="37" t="s">
        <v>1964</v>
      </c>
      <c r="L1542" s="36">
        <v>1</v>
      </c>
      <c r="M1542" s="36">
        <v>1</v>
      </c>
      <c r="N1542" s="36">
        <v>1</v>
      </c>
      <c r="O1542" s="36">
        <v>2</v>
      </c>
      <c r="P1542" s="37" t="s">
        <v>265</v>
      </c>
      <c r="Q1542" s="37"/>
      <c r="R1542" s="37" t="s">
        <v>4152</v>
      </c>
    </row>
    <row r="1543" spans="1:18" ht="27.7" hidden="1" thickBot="1" x14ac:dyDescent="0.55000000000000004">
      <c r="A1543" s="36">
        <v>1788</v>
      </c>
      <c r="B1543" s="37" t="s">
        <v>4153</v>
      </c>
      <c r="C1543" s="37" t="s">
        <v>1967</v>
      </c>
      <c r="D1543" s="37" t="s">
        <v>1958</v>
      </c>
      <c r="E1543" s="37" t="s">
        <v>1959</v>
      </c>
      <c r="F1543" s="37" t="s">
        <v>1840</v>
      </c>
      <c r="G1543" s="37" t="s">
        <v>1840</v>
      </c>
      <c r="H1543" s="37" t="s">
        <v>1840</v>
      </c>
      <c r="I1543" s="37" t="s">
        <v>1964</v>
      </c>
      <c r="J1543" s="37" t="s">
        <v>1964</v>
      </c>
      <c r="K1543" s="37" t="s">
        <v>1964</v>
      </c>
      <c r="L1543" s="36">
        <v>1</v>
      </c>
      <c r="M1543" s="36">
        <v>1</v>
      </c>
      <c r="N1543" s="36">
        <v>1</v>
      </c>
      <c r="O1543" s="36">
        <v>2</v>
      </c>
      <c r="P1543" s="37" t="s">
        <v>265</v>
      </c>
      <c r="Q1543" s="37"/>
      <c r="R1543" s="37" t="s">
        <v>4154</v>
      </c>
    </row>
    <row r="1544" spans="1:18" ht="27.7" hidden="1" thickBot="1" x14ac:dyDescent="0.55000000000000004">
      <c r="A1544" s="36">
        <v>1789</v>
      </c>
      <c r="B1544" s="37" t="s">
        <v>4155</v>
      </c>
      <c r="C1544" s="37" t="s">
        <v>1975</v>
      </c>
      <c r="D1544" s="37" t="s">
        <v>1976</v>
      </c>
      <c r="E1544" s="37" t="s">
        <v>1064</v>
      </c>
      <c r="F1544" s="37" t="s">
        <v>1972</v>
      </c>
      <c r="G1544" s="37" t="s">
        <v>1972</v>
      </c>
      <c r="H1544" s="37" t="s">
        <v>1972</v>
      </c>
      <c r="I1544" s="37" t="s">
        <v>1964</v>
      </c>
      <c r="J1544" s="37" t="s">
        <v>1964</v>
      </c>
      <c r="K1544" s="37" t="s">
        <v>1964</v>
      </c>
      <c r="L1544" s="36">
        <v>1</v>
      </c>
      <c r="M1544" s="36">
        <v>1</v>
      </c>
      <c r="N1544" s="36">
        <v>1</v>
      </c>
      <c r="O1544" s="36">
        <v>2</v>
      </c>
      <c r="P1544" s="37" t="s">
        <v>265</v>
      </c>
      <c r="Q1544" s="37"/>
      <c r="R1544" s="37" t="s">
        <v>4156</v>
      </c>
    </row>
    <row r="1545" spans="1:18" ht="27.7" hidden="1" thickBot="1" x14ac:dyDescent="0.55000000000000004">
      <c r="A1545" s="36">
        <v>1791</v>
      </c>
      <c r="B1545" s="37" t="s">
        <v>4157</v>
      </c>
      <c r="C1545" s="37" t="s">
        <v>1970</v>
      </c>
      <c r="D1545" s="37" t="s">
        <v>1971</v>
      </c>
      <c r="E1545" s="37" t="s">
        <v>1959</v>
      </c>
      <c r="F1545" s="37" t="s">
        <v>1972</v>
      </c>
      <c r="G1545" s="37" t="s">
        <v>1972</v>
      </c>
      <c r="H1545" s="37" t="s">
        <v>1972</v>
      </c>
      <c r="I1545" s="37" t="s">
        <v>1964</v>
      </c>
      <c r="J1545" s="37" t="s">
        <v>1964</v>
      </c>
      <c r="K1545" s="37" t="s">
        <v>1964</v>
      </c>
      <c r="L1545" s="36">
        <v>3</v>
      </c>
      <c r="M1545" s="36">
        <v>3</v>
      </c>
      <c r="N1545" s="36">
        <v>3</v>
      </c>
      <c r="O1545" s="36">
        <v>3</v>
      </c>
      <c r="P1545" s="37" t="s">
        <v>292</v>
      </c>
      <c r="Q1545" s="37"/>
      <c r="R1545" s="37" t="s">
        <v>4158</v>
      </c>
    </row>
    <row r="1546" spans="1:18" ht="27.7" hidden="1" thickBot="1" x14ac:dyDescent="0.55000000000000004">
      <c r="A1546" s="36">
        <v>1792</v>
      </c>
      <c r="B1546" s="37" t="s">
        <v>4159</v>
      </c>
      <c r="C1546" s="37" t="s">
        <v>1967</v>
      </c>
      <c r="D1546" s="37" t="s">
        <v>1958</v>
      </c>
      <c r="E1546" s="37" t="s">
        <v>1959</v>
      </c>
      <c r="F1546" s="37" t="s">
        <v>1840</v>
      </c>
      <c r="G1546" s="37" t="s">
        <v>1840</v>
      </c>
      <c r="H1546" s="37" t="s">
        <v>1840</v>
      </c>
      <c r="I1546" s="37" t="s">
        <v>1964</v>
      </c>
      <c r="J1546" s="37" t="s">
        <v>1964</v>
      </c>
      <c r="K1546" s="37" t="s">
        <v>1964</v>
      </c>
      <c r="L1546" s="36">
        <v>1</v>
      </c>
      <c r="M1546" s="36">
        <v>1</v>
      </c>
      <c r="N1546" s="36">
        <v>1</v>
      </c>
      <c r="O1546" s="36">
        <v>2</v>
      </c>
      <c r="P1546" s="37" t="s">
        <v>265</v>
      </c>
      <c r="Q1546" s="37"/>
      <c r="R1546" s="37" t="s">
        <v>4160</v>
      </c>
    </row>
    <row r="1547" spans="1:18" ht="27.7" hidden="1" thickBot="1" x14ac:dyDescent="0.55000000000000004">
      <c r="A1547" s="36">
        <v>1793</v>
      </c>
      <c r="B1547" s="37" t="s">
        <v>4161</v>
      </c>
      <c r="C1547" s="37" t="s">
        <v>1957</v>
      </c>
      <c r="D1547" s="37" t="s">
        <v>1958</v>
      </c>
      <c r="E1547" s="37" t="s">
        <v>1959</v>
      </c>
      <c r="F1547" s="37" t="s">
        <v>1840</v>
      </c>
      <c r="G1547" s="37" t="s">
        <v>1840</v>
      </c>
      <c r="H1547" s="37" t="s">
        <v>1840</v>
      </c>
      <c r="I1547" s="37" t="s">
        <v>1465</v>
      </c>
      <c r="J1547" s="37" t="s">
        <v>1465</v>
      </c>
      <c r="K1547" s="37" t="s">
        <v>1465</v>
      </c>
      <c r="L1547" s="36">
        <v>1</v>
      </c>
      <c r="M1547" s="36">
        <v>1</v>
      </c>
      <c r="N1547" s="36">
        <v>1</v>
      </c>
      <c r="O1547" s="36">
        <v>3</v>
      </c>
      <c r="P1547" s="37" t="s">
        <v>292</v>
      </c>
      <c r="Q1547" s="37"/>
      <c r="R1547" s="37" t="s">
        <v>4162</v>
      </c>
    </row>
    <row r="1548" spans="1:18" ht="27.7" hidden="1" thickBot="1" x14ac:dyDescent="0.55000000000000004">
      <c r="A1548" s="36">
        <v>1794</v>
      </c>
      <c r="B1548" s="37" t="s">
        <v>4163</v>
      </c>
      <c r="C1548" s="37" t="s">
        <v>2654</v>
      </c>
      <c r="D1548" s="37" t="s">
        <v>1958</v>
      </c>
      <c r="E1548" s="37" t="s">
        <v>1959</v>
      </c>
      <c r="F1548" s="37" t="s">
        <v>1840</v>
      </c>
      <c r="G1548" s="37" t="s">
        <v>1840</v>
      </c>
      <c r="H1548" s="37" t="s">
        <v>1840</v>
      </c>
      <c r="I1548" s="37" t="s">
        <v>1465</v>
      </c>
      <c r="J1548" s="37" t="s">
        <v>1465</v>
      </c>
      <c r="K1548" s="37" t="s">
        <v>1465</v>
      </c>
      <c r="L1548" s="36">
        <v>2</v>
      </c>
      <c r="M1548" s="36">
        <v>2</v>
      </c>
      <c r="N1548" s="36">
        <v>2</v>
      </c>
      <c r="O1548" s="36">
        <v>4</v>
      </c>
      <c r="P1548" s="37" t="s">
        <v>265</v>
      </c>
      <c r="Q1548" s="37"/>
      <c r="R1548" s="37" t="s">
        <v>4164</v>
      </c>
    </row>
    <row r="1549" spans="1:18" ht="14.7" hidden="1" thickBot="1" x14ac:dyDescent="0.55000000000000004">
      <c r="A1549" s="36">
        <v>1795</v>
      </c>
      <c r="B1549" s="37" t="s">
        <v>4165</v>
      </c>
      <c r="C1549" s="37" t="s">
        <v>3350</v>
      </c>
      <c r="D1549" s="37" t="s">
        <v>3351</v>
      </c>
      <c r="E1549" s="37" t="s">
        <v>1959</v>
      </c>
      <c r="F1549" s="37" t="s">
        <v>3347</v>
      </c>
      <c r="G1549" s="37" t="s">
        <v>3347</v>
      </c>
      <c r="H1549" s="37" t="s">
        <v>3347</v>
      </c>
      <c r="I1549" s="37" t="s">
        <v>1465</v>
      </c>
      <c r="J1549" s="37" t="s">
        <v>1465</v>
      </c>
      <c r="K1549" s="37" t="s">
        <v>1465</v>
      </c>
      <c r="L1549" s="36">
        <v>1</v>
      </c>
      <c r="M1549" s="36">
        <v>1</v>
      </c>
      <c r="N1549" s="36">
        <v>1</v>
      </c>
      <c r="O1549" s="36">
        <v>3</v>
      </c>
      <c r="P1549" s="37" t="s">
        <v>292</v>
      </c>
      <c r="Q1549" s="37"/>
      <c r="R1549" s="37" t="s">
        <v>4166</v>
      </c>
    </row>
    <row r="1550" spans="1:18" ht="27.7" hidden="1" thickBot="1" x14ac:dyDescent="0.55000000000000004">
      <c r="A1550" s="36">
        <v>1796</v>
      </c>
      <c r="B1550" s="37" t="s">
        <v>4167</v>
      </c>
      <c r="C1550" s="37" t="s">
        <v>3350</v>
      </c>
      <c r="D1550" s="37" t="s">
        <v>3351</v>
      </c>
      <c r="E1550" s="37" t="s">
        <v>1959</v>
      </c>
      <c r="F1550" s="37" t="s">
        <v>3347</v>
      </c>
      <c r="G1550" s="37" t="s">
        <v>3347</v>
      </c>
      <c r="H1550" s="37" t="s">
        <v>3347</v>
      </c>
      <c r="I1550" s="37" t="s">
        <v>1465</v>
      </c>
      <c r="J1550" s="37" t="s">
        <v>1465</v>
      </c>
      <c r="K1550" s="37" t="s">
        <v>1465</v>
      </c>
      <c r="L1550" s="36">
        <v>1</v>
      </c>
      <c r="M1550" s="36">
        <v>1</v>
      </c>
      <c r="N1550" s="36">
        <v>1</v>
      </c>
      <c r="O1550" s="36">
        <v>3</v>
      </c>
      <c r="P1550" s="37" t="s">
        <v>292</v>
      </c>
      <c r="Q1550" s="37"/>
      <c r="R1550" s="37" t="s">
        <v>4168</v>
      </c>
    </row>
    <row r="1551" spans="1:18" ht="14.7" hidden="1" thickBot="1" x14ac:dyDescent="0.55000000000000004">
      <c r="A1551" s="36">
        <v>1797</v>
      </c>
      <c r="B1551" s="37" t="s">
        <v>4169</v>
      </c>
      <c r="C1551" s="37" t="s">
        <v>3351</v>
      </c>
      <c r="D1551" s="37" t="s">
        <v>3351</v>
      </c>
      <c r="E1551" s="37" t="s">
        <v>1959</v>
      </c>
      <c r="F1551" s="37" t="s">
        <v>3347</v>
      </c>
      <c r="G1551" s="37" t="s">
        <v>3347</v>
      </c>
      <c r="H1551" s="37" t="s">
        <v>3347</v>
      </c>
      <c r="I1551" s="37" t="s">
        <v>1465</v>
      </c>
      <c r="J1551" s="37" t="s">
        <v>1465</v>
      </c>
      <c r="K1551" s="37" t="s">
        <v>1465</v>
      </c>
      <c r="L1551" s="36">
        <v>1</v>
      </c>
      <c r="M1551" s="36">
        <v>1</v>
      </c>
      <c r="N1551" s="36">
        <v>1</v>
      </c>
      <c r="O1551" s="36">
        <v>3</v>
      </c>
      <c r="P1551" s="37" t="s">
        <v>292</v>
      </c>
      <c r="Q1551" s="37"/>
      <c r="R1551" s="37" t="s">
        <v>4170</v>
      </c>
    </row>
    <row r="1552" spans="1:18" ht="14.7" hidden="1" thickBot="1" x14ac:dyDescent="0.55000000000000004">
      <c r="A1552" s="36">
        <v>1798</v>
      </c>
      <c r="B1552" s="37" t="s">
        <v>4171</v>
      </c>
      <c r="C1552" s="37" t="s">
        <v>3353</v>
      </c>
      <c r="D1552" s="37" t="s">
        <v>3351</v>
      </c>
      <c r="E1552" s="37" t="s">
        <v>1959</v>
      </c>
      <c r="F1552" s="37" t="s">
        <v>3347</v>
      </c>
      <c r="G1552" s="37" t="s">
        <v>3347</v>
      </c>
      <c r="H1552" s="37" t="s">
        <v>3347</v>
      </c>
      <c r="I1552" s="37" t="s">
        <v>1465</v>
      </c>
      <c r="J1552" s="37" t="s">
        <v>1465</v>
      </c>
      <c r="K1552" s="37" t="s">
        <v>1465</v>
      </c>
      <c r="L1552" s="36">
        <v>1</v>
      </c>
      <c r="M1552" s="36">
        <v>1</v>
      </c>
      <c r="N1552" s="36">
        <v>1</v>
      </c>
      <c r="O1552" s="36">
        <v>3</v>
      </c>
      <c r="P1552" s="37" t="s">
        <v>292</v>
      </c>
      <c r="Q1552" s="37"/>
      <c r="R1552" s="37" t="s">
        <v>4172</v>
      </c>
    </row>
    <row r="1553" spans="1:18" ht="14.7" hidden="1" thickBot="1" x14ac:dyDescent="0.55000000000000004">
      <c r="A1553" s="36">
        <v>1799</v>
      </c>
      <c r="B1553" s="37" t="s">
        <v>4173</v>
      </c>
      <c r="C1553" s="37" t="s">
        <v>3353</v>
      </c>
      <c r="D1553" s="37" t="s">
        <v>3351</v>
      </c>
      <c r="E1553" s="37" t="s">
        <v>1959</v>
      </c>
      <c r="F1553" s="37" t="s">
        <v>3347</v>
      </c>
      <c r="G1553" s="37" t="s">
        <v>3347</v>
      </c>
      <c r="H1553" s="37" t="s">
        <v>3347</v>
      </c>
      <c r="I1553" s="37" t="s">
        <v>1465</v>
      </c>
      <c r="J1553" s="37" t="s">
        <v>1465</v>
      </c>
      <c r="K1553" s="37" t="s">
        <v>1465</v>
      </c>
      <c r="L1553" s="36">
        <v>1</v>
      </c>
      <c r="M1553" s="36">
        <v>1</v>
      </c>
      <c r="N1553" s="36">
        <v>1</v>
      </c>
      <c r="O1553" s="36">
        <v>2</v>
      </c>
      <c r="P1553" s="37" t="s">
        <v>292</v>
      </c>
      <c r="Q1553" s="37"/>
      <c r="R1553" s="37" t="s">
        <v>4174</v>
      </c>
    </row>
    <row r="1554" spans="1:18" ht="27.7" hidden="1" thickBot="1" x14ac:dyDescent="0.55000000000000004">
      <c r="A1554" s="36">
        <v>1805</v>
      </c>
      <c r="B1554" s="37" t="s">
        <v>4175</v>
      </c>
      <c r="C1554" s="37" t="s">
        <v>2092</v>
      </c>
      <c r="D1554" s="37" t="s">
        <v>1902</v>
      </c>
      <c r="E1554" s="37" t="s">
        <v>1816</v>
      </c>
      <c r="F1554" s="37" t="s">
        <v>1917</v>
      </c>
      <c r="G1554" s="37" t="s">
        <v>1917</v>
      </c>
      <c r="H1554" s="37" t="s">
        <v>1917</v>
      </c>
      <c r="I1554" s="37" t="s">
        <v>1465</v>
      </c>
      <c r="J1554" s="37" t="s">
        <v>88</v>
      </c>
      <c r="K1554" s="37" t="s">
        <v>88</v>
      </c>
      <c r="L1554" s="36">
        <v>1</v>
      </c>
      <c r="M1554" s="36">
        <v>3</v>
      </c>
      <c r="N1554" s="36">
        <v>3</v>
      </c>
      <c r="O1554" s="36">
        <v>3</v>
      </c>
      <c r="P1554" s="37" t="s">
        <v>265</v>
      </c>
      <c r="Q1554" s="37"/>
      <c r="R1554" s="37" t="s">
        <v>4176</v>
      </c>
    </row>
    <row r="1555" spans="1:18" ht="27.7" hidden="1" thickBot="1" x14ac:dyDescent="0.55000000000000004">
      <c r="A1555" s="36">
        <v>1806</v>
      </c>
      <c r="B1555" s="37" t="s">
        <v>4177</v>
      </c>
      <c r="C1555" s="37" t="s">
        <v>1909</v>
      </c>
      <c r="D1555" s="37" t="s">
        <v>1910</v>
      </c>
      <c r="E1555" s="37" t="s">
        <v>1163</v>
      </c>
      <c r="F1555" s="37" t="s">
        <v>1911</v>
      </c>
      <c r="G1555" s="37" t="s">
        <v>1911</v>
      </c>
      <c r="H1555" s="37" t="s">
        <v>1911</v>
      </c>
      <c r="I1555" s="37" t="s">
        <v>1165</v>
      </c>
      <c r="J1555" s="37" t="s">
        <v>1165</v>
      </c>
      <c r="K1555" s="37" t="s">
        <v>1165</v>
      </c>
      <c r="L1555" s="36">
        <v>3</v>
      </c>
      <c r="M1555" s="36">
        <v>3</v>
      </c>
      <c r="N1555" s="36">
        <v>3</v>
      </c>
      <c r="O1555" s="36">
        <v>4</v>
      </c>
      <c r="P1555" s="37" t="s">
        <v>265</v>
      </c>
      <c r="Q1555" s="37"/>
      <c r="R1555" s="37" t="s">
        <v>4178</v>
      </c>
    </row>
    <row r="1556" spans="1:18" ht="27.7" hidden="1" thickBot="1" x14ac:dyDescent="0.55000000000000004">
      <c r="A1556" s="36">
        <v>1807</v>
      </c>
      <c r="B1556" s="37" t="s">
        <v>4179</v>
      </c>
      <c r="C1556" s="37" t="s">
        <v>2098</v>
      </c>
      <c r="D1556" s="37" t="s">
        <v>1910</v>
      </c>
      <c r="E1556" s="37" t="s">
        <v>1163</v>
      </c>
      <c r="F1556" s="37" t="s">
        <v>1911</v>
      </c>
      <c r="G1556" s="37" t="s">
        <v>1911</v>
      </c>
      <c r="H1556" s="37" t="s">
        <v>1911</v>
      </c>
      <c r="I1556" s="37" t="s">
        <v>1165</v>
      </c>
      <c r="J1556" s="37" t="s">
        <v>1165</v>
      </c>
      <c r="K1556" s="37" t="s">
        <v>1165</v>
      </c>
      <c r="L1556" s="36">
        <v>3</v>
      </c>
      <c r="M1556" s="36">
        <v>3</v>
      </c>
      <c r="N1556" s="36">
        <v>3</v>
      </c>
      <c r="O1556" s="36">
        <v>4</v>
      </c>
      <c r="P1556" s="37" t="s">
        <v>292</v>
      </c>
      <c r="Q1556" s="37"/>
      <c r="R1556" s="37" t="s">
        <v>4180</v>
      </c>
    </row>
    <row r="1557" spans="1:18" ht="27.7" hidden="1" thickBot="1" x14ac:dyDescent="0.55000000000000004">
      <c r="A1557" s="36">
        <v>1808</v>
      </c>
      <c r="B1557" s="37" t="s">
        <v>4181</v>
      </c>
      <c r="C1557" s="37" t="s">
        <v>1914</v>
      </c>
      <c r="D1557" s="37" t="s">
        <v>1910</v>
      </c>
      <c r="E1557" s="37" t="s">
        <v>1163</v>
      </c>
      <c r="F1557" s="37" t="s">
        <v>1911</v>
      </c>
      <c r="G1557" s="37" t="s">
        <v>1911</v>
      </c>
      <c r="H1557" s="37" t="s">
        <v>1911</v>
      </c>
      <c r="I1557" s="37" t="s">
        <v>1165</v>
      </c>
      <c r="J1557" s="37" t="s">
        <v>1165</v>
      </c>
      <c r="K1557" s="37" t="s">
        <v>1165</v>
      </c>
      <c r="L1557" s="36">
        <v>3</v>
      </c>
      <c r="M1557" s="36">
        <v>3</v>
      </c>
      <c r="N1557" s="36">
        <v>3</v>
      </c>
      <c r="O1557" s="36">
        <v>5</v>
      </c>
      <c r="P1557" s="37" t="s">
        <v>292</v>
      </c>
      <c r="Q1557" s="37"/>
      <c r="R1557" s="37" t="s">
        <v>4182</v>
      </c>
    </row>
    <row r="1558" spans="1:18" ht="27.7" hidden="1" thickBot="1" x14ac:dyDescent="0.55000000000000004">
      <c r="A1558" s="36">
        <v>1809</v>
      </c>
      <c r="B1558" s="37" t="s">
        <v>4183</v>
      </c>
      <c r="C1558" s="37" t="s">
        <v>2092</v>
      </c>
      <c r="D1558" s="37" t="s">
        <v>1902</v>
      </c>
      <c r="E1558" s="37" t="s">
        <v>1816</v>
      </c>
      <c r="F1558" s="37" t="s">
        <v>1917</v>
      </c>
      <c r="G1558" s="37" t="s">
        <v>1917</v>
      </c>
      <c r="H1558" s="37" t="s">
        <v>1917</v>
      </c>
      <c r="I1558" s="37" t="s">
        <v>1465</v>
      </c>
      <c r="J1558" s="37" t="s">
        <v>1165</v>
      </c>
      <c r="K1558" s="37" t="s">
        <v>1165</v>
      </c>
      <c r="L1558" s="36">
        <v>1</v>
      </c>
      <c r="M1558" s="36">
        <v>1</v>
      </c>
      <c r="N1558" s="36">
        <v>1</v>
      </c>
      <c r="O1558" s="36">
        <v>3</v>
      </c>
      <c r="P1558" s="37" t="s">
        <v>292</v>
      </c>
      <c r="Q1558" s="37"/>
      <c r="R1558" s="37" t="s">
        <v>4184</v>
      </c>
    </row>
    <row r="1559" spans="1:18" ht="27.7" hidden="1" thickBot="1" x14ac:dyDescent="0.55000000000000004">
      <c r="A1559" s="36">
        <v>1810</v>
      </c>
      <c r="B1559" s="37" t="s">
        <v>4185</v>
      </c>
      <c r="C1559" s="37" t="s">
        <v>4186</v>
      </c>
      <c r="D1559" s="37" t="s">
        <v>1902</v>
      </c>
      <c r="E1559" s="37" t="s">
        <v>1816</v>
      </c>
      <c r="F1559" s="37" t="s">
        <v>1917</v>
      </c>
      <c r="G1559" s="37" t="s">
        <v>1917</v>
      </c>
      <c r="H1559" s="37" t="s">
        <v>1917</v>
      </c>
      <c r="I1559" s="37" t="s">
        <v>1465</v>
      </c>
      <c r="J1559" s="37" t="s">
        <v>1465</v>
      </c>
      <c r="K1559" s="37" t="s">
        <v>1165</v>
      </c>
      <c r="L1559" s="36">
        <v>1</v>
      </c>
      <c r="M1559" s="36">
        <v>1</v>
      </c>
      <c r="N1559" s="36">
        <v>1</v>
      </c>
      <c r="O1559" s="36">
        <v>2</v>
      </c>
      <c r="P1559" s="37" t="s">
        <v>292</v>
      </c>
      <c r="Q1559" s="37"/>
      <c r="R1559" s="37" t="s">
        <v>4187</v>
      </c>
    </row>
    <row r="1560" spans="1:18" ht="27.7" hidden="1" thickBot="1" x14ac:dyDescent="0.55000000000000004">
      <c r="A1560" s="36">
        <v>1811</v>
      </c>
      <c r="B1560" s="37" t="s">
        <v>4188</v>
      </c>
      <c r="C1560" s="37" t="s">
        <v>4186</v>
      </c>
      <c r="D1560" s="37" t="s">
        <v>1902</v>
      </c>
      <c r="E1560" s="37" t="s">
        <v>1816</v>
      </c>
      <c r="F1560" s="37" t="s">
        <v>1917</v>
      </c>
      <c r="G1560" s="37" t="s">
        <v>1917</v>
      </c>
      <c r="H1560" s="37" t="s">
        <v>1917</v>
      </c>
      <c r="I1560" s="37" t="s">
        <v>1465</v>
      </c>
      <c r="J1560" s="37" t="s">
        <v>1465</v>
      </c>
      <c r="K1560" s="37" t="s">
        <v>1165</v>
      </c>
      <c r="L1560" s="36">
        <v>1</v>
      </c>
      <c r="M1560" s="36">
        <v>1</v>
      </c>
      <c r="N1560" s="36">
        <v>1</v>
      </c>
      <c r="O1560" s="36">
        <v>2</v>
      </c>
      <c r="P1560" s="37" t="s">
        <v>292</v>
      </c>
      <c r="Q1560" s="37"/>
      <c r="R1560" s="37" t="s">
        <v>4189</v>
      </c>
    </row>
    <row r="1561" spans="1:18" ht="27.7" hidden="1" thickBot="1" x14ac:dyDescent="0.55000000000000004">
      <c r="A1561" s="36">
        <v>1812</v>
      </c>
      <c r="B1561" s="37" t="s">
        <v>4190</v>
      </c>
      <c r="C1561" s="37" t="s">
        <v>1948</v>
      </c>
      <c r="D1561" s="37" t="s">
        <v>1784</v>
      </c>
      <c r="E1561" s="37" t="s">
        <v>1816</v>
      </c>
      <c r="F1561" s="37" t="s">
        <v>1817</v>
      </c>
      <c r="G1561" s="37" t="s">
        <v>1817</v>
      </c>
      <c r="H1561" s="37" t="s">
        <v>1817</v>
      </c>
      <c r="I1561" s="37" t="s">
        <v>1465</v>
      </c>
      <c r="J1561" s="37" t="s">
        <v>1465</v>
      </c>
      <c r="K1561" s="37" t="s">
        <v>1465</v>
      </c>
      <c r="L1561" s="36">
        <v>1</v>
      </c>
      <c r="M1561" s="36">
        <v>1</v>
      </c>
      <c r="N1561" s="36">
        <v>1</v>
      </c>
      <c r="O1561" s="36">
        <v>4</v>
      </c>
      <c r="P1561" s="37" t="s">
        <v>292</v>
      </c>
      <c r="Q1561" s="37"/>
      <c r="R1561" s="37" t="s">
        <v>4191</v>
      </c>
    </row>
    <row r="1562" spans="1:18" ht="27.7" hidden="1" thickBot="1" x14ac:dyDescent="0.55000000000000004">
      <c r="A1562" s="36">
        <v>1813</v>
      </c>
      <c r="B1562" s="37" t="s">
        <v>4192</v>
      </c>
      <c r="C1562" s="37" t="s">
        <v>1950</v>
      </c>
      <c r="D1562" s="37" t="s">
        <v>1784</v>
      </c>
      <c r="E1562" s="37" t="s">
        <v>1816</v>
      </c>
      <c r="F1562" s="37" t="s">
        <v>1840</v>
      </c>
      <c r="G1562" s="37" t="s">
        <v>1840</v>
      </c>
      <c r="H1562" s="37" t="s">
        <v>1840</v>
      </c>
      <c r="I1562" s="37" t="s">
        <v>1465</v>
      </c>
      <c r="J1562" s="37" t="s">
        <v>1465</v>
      </c>
      <c r="K1562" s="37" t="s">
        <v>1465</v>
      </c>
      <c r="L1562" s="36">
        <v>1</v>
      </c>
      <c r="M1562" s="36">
        <v>1</v>
      </c>
      <c r="N1562" s="36">
        <v>1</v>
      </c>
      <c r="O1562" s="36">
        <v>2</v>
      </c>
      <c r="P1562" s="37" t="s">
        <v>292</v>
      </c>
      <c r="Q1562" s="37"/>
      <c r="R1562" s="37" t="s">
        <v>4193</v>
      </c>
    </row>
    <row r="1563" spans="1:18" ht="27.7" hidden="1" thickBot="1" x14ac:dyDescent="0.55000000000000004">
      <c r="A1563" s="36">
        <v>1814</v>
      </c>
      <c r="B1563" s="37" t="s">
        <v>4194</v>
      </c>
      <c r="C1563" s="37" t="s">
        <v>1929</v>
      </c>
      <c r="D1563" s="37" t="s">
        <v>1784</v>
      </c>
      <c r="E1563" s="37" t="s">
        <v>1816</v>
      </c>
      <c r="F1563" s="37" t="s">
        <v>1817</v>
      </c>
      <c r="G1563" s="37" t="s">
        <v>1698</v>
      </c>
      <c r="H1563" s="37" t="s">
        <v>1821</v>
      </c>
      <c r="I1563" s="37" t="s">
        <v>1465</v>
      </c>
      <c r="J1563" s="37" t="s">
        <v>1465</v>
      </c>
      <c r="K1563" s="37" t="s">
        <v>1465</v>
      </c>
      <c r="L1563" s="36">
        <v>1</v>
      </c>
      <c r="M1563" s="36">
        <v>1</v>
      </c>
      <c r="N1563" s="36">
        <v>1</v>
      </c>
      <c r="O1563" s="36">
        <v>2</v>
      </c>
      <c r="P1563" s="37" t="s">
        <v>292</v>
      </c>
      <c r="Q1563" s="37"/>
      <c r="R1563" s="37" t="s">
        <v>4195</v>
      </c>
    </row>
    <row r="1564" spans="1:18" ht="27.7" hidden="1" thickBot="1" x14ac:dyDescent="0.55000000000000004">
      <c r="A1564" s="36">
        <v>1815</v>
      </c>
      <c r="B1564" s="37" t="s">
        <v>4196</v>
      </c>
      <c r="C1564" s="37" t="s">
        <v>1948</v>
      </c>
      <c r="D1564" s="37" t="s">
        <v>1784</v>
      </c>
      <c r="E1564" s="37" t="s">
        <v>1816</v>
      </c>
      <c r="F1564" s="37" t="s">
        <v>1817</v>
      </c>
      <c r="G1564" s="37" t="s">
        <v>1698</v>
      </c>
      <c r="H1564" s="37" t="s">
        <v>1821</v>
      </c>
      <c r="I1564" s="37" t="s">
        <v>1465</v>
      </c>
      <c r="J1564" s="37" t="s">
        <v>1465</v>
      </c>
      <c r="K1564" s="37" t="s">
        <v>1465</v>
      </c>
      <c r="L1564" s="36">
        <v>1</v>
      </c>
      <c r="M1564" s="36">
        <v>1</v>
      </c>
      <c r="N1564" s="36">
        <v>1</v>
      </c>
      <c r="O1564" s="36">
        <v>2</v>
      </c>
      <c r="P1564" s="37" t="s">
        <v>292</v>
      </c>
      <c r="Q1564" s="37"/>
      <c r="R1564" s="37" t="s">
        <v>4197</v>
      </c>
    </row>
    <row r="1565" spans="1:18" ht="27.7" hidden="1" thickBot="1" x14ac:dyDescent="0.55000000000000004">
      <c r="A1565" s="36">
        <v>1816</v>
      </c>
      <c r="B1565" s="37" t="s">
        <v>4198</v>
      </c>
      <c r="C1565" s="37" t="s">
        <v>1944</v>
      </c>
      <c r="D1565" s="37" t="s">
        <v>1359</v>
      </c>
      <c r="E1565" s="37" t="s">
        <v>1345</v>
      </c>
      <c r="F1565" s="37" t="s">
        <v>1464</v>
      </c>
      <c r="G1565" s="37" t="s">
        <v>1464</v>
      </c>
      <c r="H1565" s="37" t="s">
        <v>1464</v>
      </c>
      <c r="I1565" s="37" t="s">
        <v>1465</v>
      </c>
      <c r="J1565" s="37" t="s">
        <v>1465</v>
      </c>
      <c r="K1565" s="37" t="s">
        <v>88</v>
      </c>
      <c r="L1565" s="36">
        <v>1</v>
      </c>
      <c r="M1565" s="36">
        <v>1</v>
      </c>
      <c r="N1565" s="36">
        <v>1</v>
      </c>
      <c r="O1565" s="36">
        <v>3</v>
      </c>
      <c r="P1565" s="37" t="s">
        <v>292</v>
      </c>
      <c r="Q1565" s="37"/>
      <c r="R1565" s="37" t="s">
        <v>4199</v>
      </c>
    </row>
    <row r="1566" spans="1:18" ht="27.7" hidden="1" thickBot="1" x14ac:dyDescent="0.55000000000000004">
      <c r="A1566" s="36">
        <v>1817</v>
      </c>
      <c r="B1566" s="37" t="s">
        <v>4200</v>
      </c>
      <c r="C1566" s="37" t="s">
        <v>1362</v>
      </c>
      <c r="D1566" s="37" t="s">
        <v>1359</v>
      </c>
      <c r="E1566" s="37" t="s">
        <v>1345</v>
      </c>
      <c r="F1566" s="37" t="s">
        <v>4201</v>
      </c>
      <c r="G1566" s="37" t="s">
        <v>4201</v>
      </c>
      <c r="H1566" s="37" t="s">
        <v>4201</v>
      </c>
      <c r="I1566" s="37" t="s">
        <v>1003</v>
      </c>
      <c r="J1566" s="37" t="s">
        <v>1003</v>
      </c>
      <c r="K1566" s="37" t="s">
        <v>1003</v>
      </c>
      <c r="L1566" s="36">
        <v>1</v>
      </c>
      <c r="M1566" s="36">
        <v>1</v>
      </c>
      <c r="N1566" s="36">
        <v>1</v>
      </c>
      <c r="O1566" s="36">
        <v>2</v>
      </c>
      <c r="P1566" s="37" t="s">
        <v>292</v>
      </c>
      <c r="Q1566" s="37"/>
      <c r="R1566" s="37" t="s">
        <v>4202</v>
      </c>
    </row>
    <row r="1567" spans="1:18" ht="27.7" hidden="1" thickBot="1" x14ac:dyDescent="0.55000000000000004">
      <c r="A1567" s="36">
        <v>1818</v>
      </c>
      <c r="B1567" s="37" t="s">
        <v>4203</v>
      </c>
      <c r="C1567" s="37" t="s">
        <v>1362</v>
      </c>
      <c r="D1567" s="37" t="s">
        <v>1359</v>
      </c>
      <c r="E1567" s="37" t="s">
        <v>1345</v>
      </c>
      <c r="F1567" s="37" t="s">
        <v>4201</v>
      </c>
      <c r="G1567" s="37" t="s">
        <v>4201</v>
      </c>
      <c r="H1567" s="37" t="s">
        <v>4201</v>
      </c>
      <c r="I1567" s="37" t="s">
        <v>1003</v>
      </c>
      <c r="J1567" s="37" t="s">
        <v>1003</v>
      </c>
      <c r="K1567" s="37" t="s">
        <v>1003</v>
      </c>
      <c r="L1567" s="36">
        <v>1</v>
      </c>
      <c r="M1567" s="36">
        <v>1</v>
      </c>
      <c r="N1567" s="36">
        <v>1</v>
      </c>
      <c r="O1567" s="36">
        <v>1</v>
      </c>
      <c r="P1567" s="37" t="s">
        <v>292</v>
      </c>
      <c r="Q1567" s="37"/>
      <c r="R1567" s="37" t="s">
        <v>4204</v>
      </c>
    </row>
    <row r="1568" spans="1:18" ht="27.7" hidden="1" thickBot="1" x14ac:dyDescent="0.55000000000000004">
      <c r="A1568" s="36">
        <v>1819</v>
      </c>
      <c r="B1568" s="37" t="s">
        <v>1343</v>
      </c>
      <c r="C1568" s="37" t="s">
        <v>1343</v>
      </c>
      <c r="D1568" s="37" t="s">
        <v>1344</v>
      </c>
      <c r="E1568" s="37" t="s">
        <v>1345</v>
      </c>
      <c r="F1568" s="37" t="s">
        <v>4201</v>
      </c>
      <c r="G1568" s="37" t="s">
        <v>4201</v>
      </c>
      <c r="H1568" s="37" t="s">
        <v>4201</v>
      </c>
      <c r="I1568" s="37" t="s">
        <v>1003</v>
      </c>
      <c r="J1568" s="37" t="s">
        <v>1003</v>
      </c>
      <c r="K1568" s="37" t="s">
        <v>1003</v>
      </c>
      <c r="L1568" s="36">
        <v>1</v>
      </c>
      <c r="M1568" s="36">
        <v>1</v>
      </c>
      <c r="N1568" s="36">
        <v>1</v>
      </c>
      <c r="O1568" s="36">
        <v>3</v>
      </c>
      <c r="P1568" s="37" t="s">
        <v>292</v>
      </c>
      <c r="Q1568" s="37"/>
      <c r="R1568" s="37" t="s">
        <v>4205</v>
      </c>
    </row>
    <row r="1569" spans="1:18" ht="27.7" hidden="1" thickBot="1" x14ac:dyDescent="0.55000000000000004">
      <c r="A1569" s="36">
        <v>1820</v>
      </c>
      <c r="B1569" s="37" t="s">
        <v>4206</v>
      </c>
      <c r="C1569" s="37" t="s">
        <v>1353</v>
      </c>
      <c r="D1569" s="37" t="s">
        <v>1344</v>
      </c>
      <c r="E1569" s="37" t="s">
        <v>1345</v>
      </c>
      <c r="F1569" s="37" t="s">
        <v>4201</v>
      </c>
      <c r="G1569" s="37" t="s">
        <v>4201</v>
      </c>
      <c r="H1569" s="37" t="s">
        <v>4201</v>
      </c>
      <c r="I1569" s="37" t="s">
        <v>1003</v>
      </c>
      <c r="J1569" s="37" t="s">
        <v>1003</v>
      </c>
      <c r="K1569" s="37" t="s">
        <v>1003</v>
      </c>
      <c r="L1569" s="36">
        <v>1</v>
      </c>
      <c r="M1569" s="36">
        <v>1</v>
      </c>
      <c r="N1569" s="36">
        <v>1</v>
      </c>
      <c r="O1569" s="36">
        <v>1</v>
      </c>
      <c r="P1569" s="37" t="s">
        <v>265</v>
      </c>
      <c r="Q1569" s="37"/>
      <c r="R1569" s="37" t="s">
        <v>4207</v>
      </c>
    </row>
    <row r="1570" spans="1:18" ht="41.35" hidden="1" thickBot="1" x14ac:dyDescent="0.55000000000000004">
      <c r="A1570" s="36">
        <v>1821</v>
      </c>
      <c r="B1570" s="37" t="s">
        <v>4208</v>
      </c>
      <c r="C1570" s="37" t="s">
        <v>4209</v>
      </c>
      <c r="D1570" s="37" t="s">
        <v>1344</v>
      </c>
      <c r="E1570" s="37" t="s">
        <v>1345</v>
      </c>
      <c r="F1570" s="37" t="s">
        <v>4201</v>
      </c>
      <c r="G1570" s="37" t="s">
        <v>4201</v>
      </c>
      <c r="H1570" s="37" t="s">
        <v>4201</v>
      </c>
      <c r="I1570" s="37" t="s">
        <v>1003</v>
      </c>
      <c r="J1570" s="37" t="s">
        <v>1003</v>
      </c>
      <c r="K1570" s="37" t="s">
        <v>1003</v>
      </c>
      <c r="L1570" s="36">
        <v>1</v>
      </c>
      <c r="M1570" s="36">
        <v>1</v>
      </c>
      <c r="N1570" s="36">
        <v>1</v>
      </c>
      <c r="O1570" s="36">
        <v>2</v>
      </c>
      <c r="P1570" s="37" t="s">
        <v>265</v>
      </c>
      <c r="Q1570" s="37"/>
      <c r="R1570" s="37" t="s">
        <v>4210</v>
      </c>
    </row>
    <row r="1571" spans="1:18" ht="27.7" hidden="1" thickBot="1" x14ac:dyDescent="0.55000000000000004">
      <c r="A1571" s="36">
        <v>1822</v>
      </c>
      <c r="B1571" s="37" t="s">
        <v>4211</v>
      </c>
      <c r="C1571" s="37" t="s">
        <v>1349</v>
      </c>
      <c r="D1571" s="37" t="s">
        <v>1344</v>
      </c>
      <c r="E1571" s="37" t="s">
        <v>1345</v>
      </c>
      <c r="F1571" s="37" t="s">
        <v>4201</v>
      </c>
      <c r="G1571" s="37" t="s">
        <v>4201</v>
      </c>
      <c r="H1571" s="37" t="s">
        <v>4201</v>
      </c>
      <c r="I1571" s="37" t="s">
        <v>1003</v>
      </c>
      <c r="J1571" s="37" t="s">
        <v>1003</v>
      </c>
      <c r="K1571" s="37" t="s">
        <v>1003</v>
      </c>
      <c r="L1571" s="36">
        <v>1</v>
      </c>
      <c r="M1571" s="36">
        <v>1</v>
      </c>
      <c r="N1571" s="36">
        <v>1</v>
      </c>
      <c r="O1571" s="36">
        <v>1</v>
      </c>
      <c r="P1571" s="37" t="s">
        <v>292</v>
      </c>
      <c r="Q1571" s="37"/>
      <c r="R1571" s="37" t="s">
        <v>4212</v>
      </c>
    </row>
    <row r="1572" spans="1:18" ht="27.7" hidden="1" thickBot="1" x14ac:dyDescent="0.55000000000000004">
      <c r="A1572" s="36">
        <v>1823</v>
      </c>
      <c r="B1572" s="37" t="s">
        <v>1353</v>
      </c>
      <c r="C1572" s="37" t="s">
        <v>1353</v>
      </c>
      <c r="D1572" s="37" t="s">
        <v>1344</v>
      </c>
      <c r="E1572" s="37" t="s">
        <v>1345</v>
      </c>
      <c r="F1572" s="37" t="s">
        <v>4201</v>
      </c>
      <c r="G1572" s="37" t="s">
        <v>4201</v>
      </c>
      <c r="H1572" s="37" t="s">
        <v>4201</v>
      </c>
      <c r="I1572" s="37" t="s">
        <v>1003</v>
      </c>
      <c r="J1572" s="37" t="s">
        <v>1003</v>
      </c>
      <c r="K1572" s="37" t="s">
        <v>1003</v>
      </c>
      <c r="L1572" s="36">
        <v>1</v>
      </c>
      <c r="M1572" s="36">
        <v>1</v>
      </c>
      <c r="N1572" s="36">
        <v>1</v>
      </c>
      <c r="O1572" s="36">
        <v>1</v>
      </c>
      <c r="P1572" s="37" t="s">
        <v>265</v>
      </c>
      <c r="Q1572" s="37"/>
      <c r="R1572" s="37" t="s">
        <v>4213</v>
      </c>
    </row>
    <row r="1573" spans="1:18" ht="27.7" hidden="1" thickBot="1" x14ac:dyDescent="0.55000000000000004">
      <c r="A1573" s="36">
        <v>1824</v>
      </c>
      <c r="B1573" s="37" t="s">
        <v>4214</v>
      </c>
      <c r="C1573" s="37" t="s">
        <v>1358</v>
      </c>
      <c r="D1573" s="37" t="s">
        <v>1344</v>
      </c>
      <c r="E1573" s="37" t="s">
        <v>1345</v>
      </c>
      <c r="F1573" s="37" t="s">
        <v>4201</v>
      </c>
      <c r="G1573" s="37" t="s">
        <v>4201</v>
      </c>
      <c r="H1573" s="37" t="s">
        <v>4201</v>
      </c>
      <c r="I1573" s="37" t="s">
        <v>1003</v>
      </c>
      <c r="J1573" s="37" t="s">
        <v>1003</v>
      </c>
      <c r="K1573" s="37" t="s">
        <v>1003</v>
      </c>
      <c r="L1573" s="36">
        <v>1</v>
      </c>
      <c r="M1573" s="36">
        <v>1</v>
      </c>
      <c r="N1573" s="36">
        <v>1</v>
      </c>
      <c r="O1573" s="36">
        <v>1</v>
      </c>
      <c r="P1573" s="37" t="s">
        <v>292</v>
      </c>
      <c r="Q1573" s="37"/>
      <c r="R1573" s="37" t="s">
        <v>4215</v>
      </c>
    </row>
    <row r="1574" spans="1:18" ht="27.7" hidden="1" thickBot="1" x14ac:dyDescent="0.55000000000000004">
      <c r="A1574" s="36">
        <v>1825</v>
      </c>
      <c r="B1574" s="37" t="s">
        <v>4216</v>
      </c>
      <c r="C1574" s="37" t="s">
        <v>1358</v>
      </c>
      <c r="D1574" s="37" t="s">
        <v>1344</v>
      </c>
      <c r="E1574" s="37" t="s">
        <v>1345</v>
      </c>
      <c r="F1574" s="37" t="s">
        <v>4201</v>
      </c>
      <c r="G1574" s="37" t="s">
        <v>4201</v>
      </c>
      <c r="H1574" s="37" t="s">
        <v>4201</v>
      </c>
      <c r="I1574" s="37" t="s">
        <v>1003</v>
      </c>
      <c r="J1574" s="37" t="s">
        <v>1003</v>
      </c>
      <c r="K1574" s="37" t="s">
        <v>1003</v>
      </c>
      <c r="L1574" s="36">
        <v>1</v>
      </c>
      <c r="M1574" s="36">
        <v>1</v>
      </c>
      <c r="N1574" s="36">
        <v>1</v>
      </c>
      <c r="O1574" s="36">
        <v>1</v>
      </c>
      <c r="P1574" s="37" t="s">
        <v>292</v>
      </c>
      <c r="Q1574" s="37"/>
      <c r="R1574" s="37" t="s">
        <v>4217</v>
      </c>
    </row>
    <row r="1575" spans="1:18" ht="27.7" hidden="1" thickBot="1" x14ac:dyDescent="0.55000000000000004">
      <c r="A1575" s="36">
        <v>1826</v>
      </c>
      <c r="B1575" s="37" t="s">
        <v>1358</v>
      </c>
      <c r="C1575" s="37" t="s">
        <v>1358</v>
      </c>
      <c r="D1575" s="37" t="s">
        <v>1344</v>
      </c>
      <c r="E1575" s="37" t="s">
        <v>1345</v>
      </c>
      <c r="F1575" s="37" t="s">
        <v>4201</v>
      </c>
      <c r="G1575" s="37" t="s">
        <v>4201</v>
      </c>
      <c r="H1575" s="37" t="s">
        <v>4201</v>
      </c>
      <c r="I1575" s="37" t="s">
        <v>1003</v>
      </c>
      <c r="J1575" s="37" t="s">
        <v>1003</v>
      </c>
      <c r="K1575" s="37" t="s">
        <v>1003</v>
      </c>
      <c r="L1575" s="36">
        <v>1</v>
      </c>
      <c r="M1575" s="36">
        <v>1</v>
      </c>
      <c r="N1575" s="36">
        <v>1</v>
      </c>
      <c r="O1575" s="36">
        <v>2</v>
      </c>
      <c r="P1575" s="37" t="s">
        <v>292</v>
      </c>
      <c r="Q1575" s="37"/>
      <c r="R1575" s="37" t="s">
        <v>4218</v>
      </c>
    </row>
    <row r="1576" spans="1:18" ht="27.7" hidden="1" thickBot="1" x14ac:dyDescent="0.55000000000000004">
      <c r="A1576" s="36">
        <v>1827</v>
      </c>
      <c r="B1576" s="37" t="s">
        <v>4219</v>
      </c>
      <c r="C1576" s="37" t="s">
        <v>1938</v>
      </c>
      <c r="D1576" s="37" t="s">
        <v>1359</v>
      </c>
      <c r="E1576" s="37" t="s">
        <v>1345</v>
      </c>
      <c r="F1576" s="37" t="s">
        <v>1938</v>
      </c>
      <c r="G1576" s="37" t="s">
        <v>1938</v>
      </c>
      <c r="H1576" s="37" t="s">
        <v>1938</v>
      </c>
      <c r="I1576" s="37" t="s">
        <v>1003</v>
      </c>
      <c r="J1576" s="37" t="s">
        <v>1003</v>
      </c>
      <c r="K1576" s="37" t="s">
        <v>1003</v>
      </c>
      <c r="L1576" s="36">
        <v>1</v>
      </c>
      <c r="M1576" s="36">
        <v>1</v>
      </c>
      <c r="N1576" s="36">
        <v>1</v>
      </c>
      <c r="O1576" s="36">
        <v>1</v>
      </c>
      <c r="P1576" s="37" t="s">
        <v>292</v>
      </c>
      <c r="Q1576" s="37"/>
      <c r="R1576" s="37" t="s">
        <v>4220</v>
      </c>
    </row>
    <row r="1577" spans="1:18" ht="27.7" hidden="1" thickBot="1" x14ac:dyDescent="0.55000000000000004">
      <c r="A1577" s="36">
        <v>1828</v>
      </c>
      <c r="B1577" s="37" t="s">
        <v>4221</v>
      </c>
      <c r="C1577" s="37" t="s">
        <v>4221</v>
      </c>
      <c r="D1577" s="37" t="s">
        <v>1344</v>
      </c>
      <c r="E1577" s="37" t="s">
        <v>1345</v>
      </c>
      <c r="F1577" s="37" t="s">
        <v>4201</v>
      </c>
      <c r="G1577" s="37" t="s">
        <v>4201</v>
      </c>
      <c r="H1577" s="37" t="s">
        <v>4201</v>
      </c>
      <c r="I1577" s="37" t="s">
        <v>1003</v>
      </c>
      <c r="J1577" s="37" t="s">
        <v>1003</v>
      </c>
      <c r="K1577" s="37" t="s">
        <v>1003</v>
      </c>
      <c r="L1577" s="36">
        <v>1</v>
      </c>
      <c r="M1577" s="36">
        <v>1</v>
      </c>
      <c r="N1577" s="36">
        <v>1</v>
      </c>
      <c r="O1577" s="36">
        <v>1</v>
      </c>
      <c r="P1577" s="37" t="s">
        <v>265</v>
      </c>
      <c r="Q1577" s="37"/>
      <c r="R1577" s="37" t="s">
        <v>4222</v>
      </c>
    </row>
    <row r="1578" spans="1:18" ht="27.7" hidden="1" thickBot="1" x14ac:dyDescent="0.55000000000000004">
      <c r="A1578" s="36">
        <v>1829</v>
      </c>
      <c r="B1578" s="37" t="s">
        <v>4223</v>
      </c>
      <c r="C1578" s="37" t="s">
        <v>4221</v>
      </c>
      <c r="D1578" s="37" t="s">
        <v>1344</v>
      </c>
      <c r="E1578" s="37" t="s">
        <v>1345</v>
      </c>
      <c r="F1578" s="37" t="s">
        <v>4201</v>
      </c>
      <c r="G1578" s="37" t="s">
        <v>4201</v>
      </c>
      <c r="H1578" s="37" t="s">
        <v>4201</v>
      </c>
      <c r="I1578" s="37" t="s">
        <v>1003</v>
      </c>
      <c r="J1578" s="37" t="s">
        <v>1003</v>
      </c>
      <c r="K1578" s="37" t="s">
        <v>1003</v>
      </c>
      <c r="L1578" s="36">
        <v>1</v>
      </c>
      <c r="M1578" s="36">
        <v>1</v>
      </c>
      <c r="N1578" s="36">
        <v>1</v>
      </c>
      <c r="O1578" s="36">
        <v>1</v>
      </c>
      <c r="P1578" s="37" t="s">
        <v>265</v>
      </c>
      <c r="Q1578" s="37"/>
      <c r="R1578" s="37" t="s">
        <v>4224</v>
      </c>
    </row>
    <row r="1579" spans="1:18" ht="27.7" hidden="1" thickBot="1" x14ac:dyDescent="0.55000000000000004">
      <c r="A1579" s="36">
        <v>1830</v>
      </c>
      <c r="B1579" s="37" t="s">
        <v>4225</v>
      </c>
      <c r="C1579" s="37" t="s">
        <v>4221</v>
      </c>
      <c r="D1579" s="37" t="s">
        <v>1344</v>
      </c>
      <c r="E1579" s="37" t="s">
        <v>1345</v>
      </c>
      <c r="F1579" s="37" t="s">
        <v>4201</v>
      </c>
      <c r="G1579" s="37" t="s">
        <v>4201</v>
      </c>
      <c r="H1579" s="37" t="s">
        <v>4201</v>
      </c>
      <c r="I1579" s="37" t="s">
        <v>1003</v>
      </c>
      <c r="J1579" s="37" t="s">
        <v>1003</v>
      </c>
      <c r="K1579" s="37" t="s">
        <v>1003</v>
      </c>
      <c r="L1579" s="36">
        <v>1</v>
      </c>
      <c r="M1579" s="36">
        <v>1</v>
      </c>
      <c r="N1579" s="36">
        <v>1</v>
      </c>
      <c r="O1579" s="36">
        <v>1</v>
      </c>
      <c r="P1579" s="37" t="s">
        <v>265</v>
      </c>
      <c r="Q1579" s="37"/>
      <c r="R1579" s="37" t="s">
        <v>4226</v>
      </c>
    </row>
    <row r="1580" spans="1:18" ht="27.7" hidden="1" thickBot="1" x14ac:dyDescent="0.55000000000000004">
      <c r="A1580" s="36">
        <v>1831</v>
      </c>
      <c r="B1580" s="37" t="s">
        <v>4227</v>
      </c>
      <c r="C1580" s="37" t="s">
        <v>4228</v>
      </c>
      <c r="D1580" s="37" t="s">
        <v>1344</v>
      </c>
      <c r="E1580" s="37" t="s">
        <v>1345</v>
      </c>
      <c r="F1580" s="37" t="s">
        <v>4201</v>
      </c>
      <c r="G1580" s="37" t="s">
        <v>4201</v>
      </c>
      <c r="H1580" s="37" t="s">
        <v>4201</v>
      </c>
      <c r="I1580" s="37" t="s">
        <v>1003</v>
      </c>
      <c r="J1580" s="37" t="s">
        <v>1003</v>
      </c>
      <c r="K1580" s="37" t="s">
        <v>1003</v>
      </c>
      <c r="L1580" s="36">
        <v>1</v>
      </c>
      <c r="M1580" s="36">
        <v>1</v>
      </c>
      <c r="N1580" s="36">
        <v>1</v>
      </c>
      <c r="O1580" s="36">
        <v>1</v>
      </c>
      <c r="P1580" s="37" t="s">
        <v>292</v>
      </c>
      <c r="Q1580" s="37"/>
      <c r="R1580" s="37" t="s">
        <v>4229</v>
      </c>
    </row>
    <row r="1581" spans="1:18" ht="27.7" hidden="1" thickBot="1" x14ac:dyDescent="0.55000000000000004">
      <c r="A1581" s="36">
        <v>1832</v>
      </c>
      <c r="B1581" s="37" t="s">
        <v>4230</v>
      </c>
      <c r="C1581" s="37" t="s">
        <v>4228</v>
      </c>
      <c r="D1581" s="37" t="s">
        <v>1344</v>
      </c>
      <c r="E1581" s="37" t="s">
        <v>1345</v>
      </c>
      <c r="F1581" s="37" t="s">
        <v>4201</v>
      </c>
      <c r="G1581" s="37" t="s">
        <v>4201</v>
      </c>
      <c r="H1581" s="37" t="s">
        <v>4201</v>
      </c>
      <c r="I1581" s="37" t="s">
        <v>1003</v>
      </c>
      <c r="J1581" s="37" t="s">
        <v>1003</v>
      </c>
      <c r="K1581" s="37" t="s">
        <v>1003</v>
      </c>
      <c r="L1581" s="36">
        <v>1</v>
      </c>
      <c r="M1581" s="36">
        <v>1</v>
      </c>
      <c r="N1581" s="36">
        <v>1</v>
      </c>
      <c r="O1581" s="36">
        <v>1</v>
      </c>
      <c r="P1581" s="37" t="s">
        <v>292</v>
      </c>
      <c r="Q1581" s="37"/>
      <c r="R1581" s="37" t="s">
        <v>4231</v>
      </c>
    </row>
    <row r="1582" spans="1:18" ht="27.7" hidden="1" thickBot="1" x14ac:dyDescent="0.55000000000000004">
      <c r="A1582" s="36">
        <v>1833</v>
      </c>
      <c r="B1582" s="37" t="s">
        <v>4232</v>
      </c>
      <c r="C1582" s="37" t="s">
        <v>4228</v>
      </c>
      <c r="D1582" s="37" t="s">
        <v>1344</v>
      </c>
      <c r="E1582" s="37" t="s">
        <v>1345</v>
      </c>
      <c r="F1582" s="37" t="s">
        <v>4201</v>
      </c>
      <c r="G1582" s="37" t="s">
        <v>4201</v>
      </c>
      <c r="H1582" s="37" t="s">
        <v>4201</v>
      </c>
      <c r="I1582" s="37" t="s">
        <v>1003</v>
      </c>
      <c r="J1582" s="37" t="s">
        <v>1003</v>
      </c>
      <c r="K1582" s="37" t="s">
        <v>1003</v>
      </c>
      <c r="L1582" s="36">
        <v>1</v>
      </c>
      <c r="M1582" s="36">
        <v>1</v>
      </c>
      <c r="N1582" s="36">
        <v>1</v>
      </c>
      <c r="O1582" s="36">
        <v>1</v>
      </c>
      <c r="P1582" s="37" t="s">
        <v>292</v>
      </c>
      <c r="Q1582" s="37"/>
      <c r="R1582" s="37" t="s">
        <v>4233</v>
      </c>
    </row>
    <row r="1583" spans="1:18" ht="27.7" hidden="1" thickBot="1" x14ac:dyDescent="0.55000000000000004">
      <c r="A1583" s="36">
        <v>1834</v>
      </c>
      <c r="B1583" s="37" t="s">
        <v>4234</v>
      </c>
      <c r="C1583" s="37" t="s">
        <v>1938</v>
      </c>
      <c r="D1583" s="37" t="s">
        <v>1359</v>
      </c>
      <c r="E1583" s="37" t="s">
        <v>1345</v>
      </c>
      <c r="F1583" s="37" t="s">
        <v>1938</v>
      </c>
      <c r="G1583" s="37" t="s">
        <v>1938</v>
      </c>
      <c r="H1583" s="37" t="s">
        <v>1938</v>
      </c>
      <c r="I1583" s="37" t="s">
        <v>1003</v>
      </c>
      <c r="J1583" s="37" t="s">
        <v>1003</v>
      </c>
      <c r="K1583" s="37" t="s">
        <v>1003</v>
      </c>
      <c r="L1583" s="36">
        <v>1</v>
      </c>
      <c r="M1583" s="36">
        <v>1</v>
      </c>
      <c r="N1583" s="36">
        <v>1</v>
      </c>
      <c r="O1583" s="36">
        <v>1</v>
      </c>
      <c r="P1583" s="37" t="s">
        <v>292</v>
      </c>
      <c r="Q1583" s="37"/>
      <c r="R1583" s="37" t="s">
        <v>4235</v>
      </c>
    </row>
    <row r="1584" spans="1:18" ht="27.7" hidden="1" thickBot="1" x14ac:dyDescent="0.55000000000000004">
      <c r="A1584" s="36">
        <v>1835</v>
      </c>
      <c r="B1584" s="37" t="s">
        <v>4236</v>
      </c>
      <c r="C1584" s="37" t="s">
        <v>1938</v>
      </c>
      <c r="D1584" s="37" t="s">
        <v>1359</v>
      </c>
      <c r="E1584" s="37" t="s">
        <v>1345</v>
      </c>
      <c r="F1584" s="37" t="s">
        <v>1938</v>
      </c>
      <c r="G1584" s="37" t="s">
        <v>1938</v>
      </c>
      <c r="H1584" s="37" t="s">
        <v>1938</v>
      </c>
      <c r="I1584" s="37" t="s">
        <v>1003</v>
      </c>
      <c r="J1584" s="37" t="s">
        <v>1003</v>
      </c>
      <c r="K1584" s="37" t="s">
        <v>1003</v>
      </c>
      <c r="L1584" s="36">
        <v>1</v>
      </c>
      <c r="M1584" s="36">
        <v>1</v>
      </c>
      <c r="N1584" s="36">
        <v>1</v>
      </c>
      <c r="O1584" s="36">
        <v>1</v>
      </c>
      <c r="P1584" s="37" t="s">
        <v>292</v>
      </c>
      <c r="Q1584" s="37"/>
      <c r="R1584" s="37" t="s">
        <v>4237</v>
      </c>
    </row>
    <row r="1585" spans="1:18" ht="27.7" hidden="1" thickBot="1" x14ac:dyDescent="0.55000000000000004">
      <c r="A1585" s="36">
        <v>1836</v>
      </c>
      <c r="B1585" s="37" t="s">
        <v>4238</v>
      </c>
      <c r="C1585" s="37" t="s">
        <v>1938</v>
      </c>
      <c r="D1585" s="37" t="s">
        <v>1359</v>
      </c>
      <c r="E1585" s="37" t="s">
        <v>1345</v>
      </c>
      <c r="F1585" s="37" t="s">
        <v>1938</v>
      </c>
      <c r="G1585" s="37" t="s">
        <v>1938</v>
      </c>
      <c r="H1585" s="37" t="s">
        <v>1938</v>
      </c>
      <c r="I1585" s="37" t="s">
        <v>1003</v>
      </c>
      <c r="J1585" s="37" t="s">
        <v>1003</v>
      </c>
      <c r="K1585" s="37" t="s">
        <v>1003</v>
      </c>
      <c r="L1585" s="36">
        <v>1</v>
      </c>
      <c r="M1585" s="36">
        <v>1</v>
      </c>
      <c r="N1585" s="36">
        <v>1</v>
      </c>
      <c r="O1585" s="36">
        <v>1</v>
      </c>
      <c r="P1585" s="37" t="s">
        <v>292</v>
      </c>
      <c r="Q1585" s="37"/>
      <c r="R1585" s="37" t="s">
        <v>4239</v>
      </c>
    </row>
    <row r="1586" spans="1:18" ht="27.7" hidden="1" thickBot="1" x14ac:dyDescent="0.55000000000000004">
      <c r="A1586" s="36">
        <v>1837</v>
      </c>
      <c r="B1586" s="37" t="s">
        <v>4240</v>
      </c>
      <c r="C1586" s="37" t="s">
        <v>1938</v>
      </c>
      <c r="D1586" s="37" t="s">
        <v>1359</v>
      </c>
      <c r="E1586" s="37" t="s">
        <v>1345</v>
      </c>
      <c r="F1586" s="37" t="s">
        <v>1938</v>
      </c>
      <c r="G1586" s="37" t="s">
        <v>1938</v>
      </c>
      <c r="H1586" s="37" t="s">
        <v>1938</v>
      </c>
      <c r="I1586" s="37" t="s">
        <v>1003</v>
      </c>
      <c r="J1586" s="37" t="s">
        <v>1003</v>
      </c>
      <c r="K1586" s="37" t="s">
        <v>1003</v>
      </c>
      <c r="L1586" s="36">
        <v>1</v>
      </c>
      <c r="M1586" s="36">
        <v>1</v>
      </c>
      <c r="N1586" s="36">
        <v>1</v>
      </c>
      <c r="O1586" s="36">
        <v>1</v>
      </c>
      <c r="P1586" s="37" t="s">
        <v>292</v>
      </c>
      <c r="Q1586" s="37"/>
      <c r="R1586" s="37" t="s">
        <v>4241</v>
      </c>
    </row>
    <row r="1587" spans="1:18" ht="27.7" hidden="1" thickBot="1" x14ac:dyDescent="0.55000000000000004">
      <c r="A1587" s="36">
        <v>1838</v>
      </c>
      <c r="B1587" s="37" t="s">
        <v>4242</v>
      </c>
      <c r="C1587" s="37" t="s">
        <v>4243</v>
      </c>
      <c r="D1587" s="37" t="s">
        <v>1359</v>
      </c>
      <c r="E1587" s="37" t="s">
        <v>1345</v>
      </c>
      <c r="F1587" s="37" t="s">
        <v>1938</v>
      </c>
      <c r="G1587" s="37" t="s">
        <v>1938</v>
      </c>
      <c r="H1587" s="37" t="s">
        <v>1938</v>
      </c>
      <c r="I1587" s="37" t="s">
        <v>1003</v>
      </c>
      <c r="J1587" s="37" t="s">
        <v>1003</v>
      </c>
      <c r="K1587" s="37" t="s">
        <v>1003</v>
      </c>
      <c r="L1587" s="36">
        <v>1</v>
      </c>
      <c r="M1587" s="36">
        <v>1</v>
      </c>
      <c r="N1587" s="36">
        <v>1</v>
      </c>
      <c r="O1587" s="36">
        <v>1</v>
      </c>
      <c r="P1587" s="37" t="s">
        <v>292</v>
      </c>
      <c r="Q1587" s="37"/>
      <c r="R1587" s="37" t="s">
        <v>4244</v>
      </c>
    </row>
    <row r="1588" spans="1:18" ht="27.7" hidden="1" thickBot="1" x14ac:dyDescent="0.55000000000000004">
      <c r="A1588" s="36">
        <v>1839</v>
      </c>
      <c r="B1588" s="37" t="s">
        <v>4245</v>
      </c>
      <c r="C1588" s="37" t="s">
        <v>4243</v>
      </c>
      <c r="D1588" s="37" t="s">
        <v>1359</v>
      </c>
      <c r="E1588" s="37" t="s">
        <v>1345</v>
      </c>
      <c r="F1588" s="37" t="s">
        <v>1938</v>
      </c>
      <c r="G1588" s="37" t="s">
        <v>1938</v>
      </c>
      <c r="H1588" s="37" t="s">
        <v>1938</v>
      </c>
      <c r="I1588" s="37" t="s">
        <v>1003</v>
      </c>
      <c r="J1588" s="37" t="s">
        <v>1003</v>
      </c>
      <c r="K1588" s="37" t="s">
        <v>1003</v>
      </c>
      <c r="L1588" s="36">
        <v>1</v>
      </c>
      <c r="M1588" s="36">
        <v>1</v>
      </c>
      <c r="N1588" s="36">
        <v>1</v>
      </c>
      <c r="O1588" s="36">
        <v>1</v>
      </c>
      <c r="P1588" s="37" t="s">
        <v>292</v>
      </c>
      <c r="Q1588" s="37"/>
      <c r="R1588" s="37" t="s">
        <v>4246</v>
      </c>
    </row>
    <row r="1589" spans="1:18" ht="27.7" hidden="1" thickBot="1" x14ac:dyDescent="0.55000000000000004">
      <c r="A1589" s="36">
        <v>1840</v>
      </c>
      <c r="B1589" s="37" t="s">
        <v>4247</v>
      </c>
      <c r="C1589" s="37" t="s">
        <v>4243</v>
      </c>
      <c r="D1589" s="37" t="s">
        <v>1359</v>
      </c>
      <c r="E1589" s="37" t="s">
        <v>1345</v>
      </c>
      <c r="F1589" s="37" t="s">
        <v>1938</v>
      </c>
      <c r="G1589" s="37" t="s">
        <v>1938</v>
      </c>
      <c r="H1589" s="37" t="s">
        <v>1938</v>
      </c>
      <c r="I1589" s="37" t="s">
        <v>1003</v>
      </c>
      <c r="J1589" s="37" t="s">
        <v>1003</v>
      </c>
      <c r="K1589" s="37" t="s">
        <v>1003</v>
      </c>
      <c r="L1589" s="36">
        <v>1</v>
      </c>
      <c r="M1589" s="36">
        <v>1</v>
      </c>
      <c r="N1589" s="36">
        <v>1</v>
      </c>
      <c r="O1589" s="36">
        <v>1</v>
      </c>
      <c r="P1589" s="37" t="s">
        <v>292</v>
      </c>
      <c r="Q1589" s="37"/>
      <c r="R1589" s="37" t="s">
        <v>4248</v>
      </c>
    </row>
    <row r="1590" spans="1:18" ht="27.7" hidden="1" thickBot="1" x14ac:dyDescent="0.55000000000000004">
      <c r="A1590" s="36">
        <v>1841</v>
      </c>
      <c r="B1590" s="37" t="s">
        <v>4249</v>
      </c>
      <c r="C1590" s="37" t="s">
        <v>1359</v>
      </c>
      <c r="D1590" s="37" t="s">
        <v>1359</v>
      </c>
      <c r="E1590" s="37" t="s">
        <v>1345</v>
      </c>
      <c r="F1590" s="37" t="s">
        <v>1938</v>
      </c>
      <c r="G1590" s="37" t="s">
        <v>1938</v>
      </c>
      <c r="H1590" s="37" t="s">
        <v>1938</v>
      </c>
      <c r="I1590" s="37" t="s">
        <v>1003</v>
      </c>
      <c r="J1590" s="37" t="s">
        <v>1003</v>
      </c>
      <c r="K1590" s="37" t="s">
        <v>1003</v>
      </c>
      <c r="L1590" s="36">
        <v>1</v>
      </c>
      <c r="M1590" s="36">
        <v>1</v>
      </c>
      <c r="N1590" s="36">
        <v>1</v>
      </c>
      <c r="O1590" s="36">
        <v>2</v>
      </c>
      <c r="P1590" s="37" t="s">
        <v>292</v>
      </c>
      <c r="Q1590" s="37"/>
      <c r="R1590" s="37" t="s">
        <v>4250</v>
      </c>
    </row>
    <row r="1591" spans="1:18" ht="27.7" hidden="1" thickBot="1" x14ac:dyDescent="0.55000000000000004">
      <c r="A1591" s="36">
        <v>1842</v>
      </c>
      <c r="B1591" s="37" t="s">
        <v>4251</v>
      </c>
      <c r="C1591" s="37" t="s">
        <v>1936</v>
      </c>
      <c r="D1591" s="37" t="s">
        <v>1359</v>
      </c>
      <c r="E1591" s="37" t="s">
        <v>1345</v>
      </c>
      <c r="F1591" s="37" t="s">
        <v>1938</v>
      </c>
      <c r="G1591" s="37" t="s">
        <v>1938</v>
      </c>
      <c r="H1591" s="37" t="s">
        <v>1938</v>
      </c>
      <c r="I1591" s="37" t="s">
        <v>1003</v>
      </c>
      <c r="J1591" s="37" t="s">
        <v>1003</v>
      </c>
      <c r="K1591" s="37" t="s">
        <v>1003</v>
      </c>
      <c r="L1591" s="36">
        <v>1</v>
      </c>
      <c r="M1591" s="36">
        <v>1</v>
      </c>
      <c r="N1591" s="36">
        <v>1</v>
      </c>
      <c r="O1591" s="36">
        <v>1</v>
      </c>
      <c r="P1591" s="37" t="s">
        <v>292</v>
      </c>
      <c r="Q1591" s="37"/>
      <c r="R1591" s="37" t="s">
        <v>4252</v>
      </c>
    </row>
    <row r="1592" spans="1:18" ht="27.7" hidden="1" thickBot="1" x14ac:dyDescent="0.55000000000000004">
      <c r="A1592" s="36">
        <v>1843</v>
      </c>
      <c r="B1592" s="37" t="s">
        <v>4253</v>
      </c>
      <c r="C1592" s="37" t="s">
        <v>2629</v>
      </c>
      <c r="D1592" s="37" t="s">
        <v>1359</v>
      </c>
      <c r="E1592" s="37" t="s">
        <v>1345</v>
      </c>
      <c r="F1592" s="37" t="s">
        <v>1938</v>
      </c>
      <c r="G1592" s="37" t="s">
        <v>1938</v>
      </c>
      <c r="H1592" s="37" t="s">
        <v>1938</v>
      </c>
      <c r="I1592" s="37" t="s">
        <v>1003</v>
      </c>
      <c r="J1592" s="37" t="s">
        <v>1003</v>
      </c>
      <c r="K1592" s="37" t="s">
        <v>1003</v>
      </c>
      <c r="L1592" s="36">
        <v>1</v>
      </c>
      <c r="M1592" s="36">
        <v>1</v>
      </c>
      <c r="N1592" s="36">
        <v>1</v>
      </c>
      <c r="O1592" s="36">
        <v>1</v>
      </c>
      <c r="P1592" s="37" t="s">
        <v>292</v>
      </c>
      <c r="Q1592" s="37"/>
      <c r="R1592" s="37" t="s">
        <v>4254</v>
      </c>
    </row>
    <row r="1593" spans="1:18" ht="27.7" hidden="1" thickBot="1" x14ac:dyDescent="0.55000000000000004">
      <c r="A1593" s="36">
        <v>1844</v>
      </c>
      <c r="B1593" s="37" t="s">
        <v>4255</v>
      </c>
      <c r="C1593" s="37" t="s">
        <v>2629</v>
      </c>
      <c r="D1593" s="37" t="s">
        <v>1359</v>
      </c>
      <c r="E1593" s="37" t="s">
        <v>1345</v>
      </c>
      <c r="F1593" s="37" t="s">
        <v>1938</v>
      </c>
      <c r="G1593" s="37" t="s">
        <v>1938</v>
      </c>
      <c r="H1593" s="37" t="s">
        <v>1938</v>
      </c>
      <c r="I1593" s="37" t="s">
        <v>1003</v>
      </c>
      <c r="J1593" s="37" t="s">
        <v>1003</v>
      </c>
      <c r="K1593" s="37" t="s">
        <v>1003</v>
      </c>
      <c r="L1593" s="36">
        <v>1</v>
      </c>
      <c r="M1593" s="36">
        <v>1</v>
      </c>
      <c r="N1593" s="36">
        <v>1</v>
      </c>
      <c r="O1593" s="36">
        <v>1</v>
      </c>
      <c r="P1593" s="37" t="s">
        <v>292</v>
      </c>
      <c r="Q1593" s="37"/>
      <c r="R1593" s="37" t="s">
        <v>4256</v>
      </c>
    </row>
    <row r="1594" spans="1:18" ht="27.7" hidden="1" thickBot="1" x14ac:dyDescent="0.55000000000000004">
      <c r="A1594" s="36">
        <v>1845</v>
      </c>
      <c r="B1594" s="37" t="s">
        <v>4257</v>
      </c>
      <c r="C1594" s="37" t="s">
        <v>1359</v>
      </c>
      <c r="D1594" s="37" t="s">
        <v>1359</v>
      </c>
      <c r="E1594" s="37" t="s">
        <v>1345</v>
      </c>
      <c r="F1594" s="37" t="s">
        <v>1938</v>
      </c>
      <c r="G1594" s="37" t="s">
        <v>1938</v>
      </c>
      <c r="H1594" s="37" t="s">
        <v>1938</v>
      </c>
      <c r="I1594" s="37" t="s">
        <v>1003</v>
      </c>
      <c r="J1594" s="37" t="s">
        <v>1003</v>
      </c>
      <c r="K1594" s="37" t="s">
        <v>1003</v>
      </c>
      <c r="L1594" s="36">
        <v>1</v>
      </c>
      <c r="M1594" s="36">
        <v>1</v>
      </c>
      <c r="N1594" s="36">
        <v>1</v>
      </c>
      <c r="O1594" s="36">
        <v>2</v>
      </c>
      <c r="P1594" s="37" t="s">
        <v>292</v>
      </c>
      <c r="Q1594" s="37"/>
      <c r="R1594" s="37" t="s">
        <v>4258</v>
      </c>
    </row>
    <row r="1595" spans="1:18" ht="27.7" hidden="1" thickBot="1" x14ac:dyDescent="0.55000000000000004">
      <c r="A1595" s="36">
        <v>1848</v>
      </c>
      <c r="B1595" s="37" t="s">
        <v>4259</v>
      </c>
      <c r="C1595" s="37" t="s">
        <v>4259</v>
      </c>
      <c r="D1595" s="37" t="s">
        <v>1784</v>
      </c>
      <c r="E1595" s="37" t="s">
        <v>1816</v>
      </c>
      <c r="F1595" s="37" t="s">
        <v>1821</v>
      </c>
      <c r="G1595" s="37" t="s">
        <v>1821</v>
      </c>
      <c r="H1595" s="37" t="s">
        <v>1840</v>
      </c>
      <c r="I1595" s="37" t="s">
        <v>1465</v>
      </c>
      <c r="J1595" s="37" t="s">
        <v>1465</v>
      </c>
      <c r="K1595" s="37" t="s">
        <v>1465</v>
      </c>
      <c r="L1595" s="36">
        <v>1</v>
      </c>
      <c r="M1595" s="36">
        <v>1</v>
      </c>
      <c r="N1595" s="36">
        <v>1</v>
      </c>
      <c r="O1595" s="36">
        <v>3</v>
      </c>
      <c r="P1595" s="37" t="s">
        <v>292</v>
      </c>
      <c r="Q1595" s="37"/>
      <c r="R1595" s="37" t="s">
        <v>4260</v>
      </c>
    </row>
    <row r="1596" spans="1:18" ht="27.7" hidden="1" thickBot="1" x14ac:dyDescent="0.55000000000000004">
      <c r="A1596" s="36">
        <v>1849</v>
      </c>
      <c r="B1596" s="37" t="s">
        <v>4261</v>
      </c>
      <c r="C1596" s="37" t="s">
        <v>4259</v>
      </c>
      <c r="D1596" s="37" t="s">
        <v>1784</v>
      </c>
      <c r="E1596" s="37" t="s">
        <v>1816</v>
      </c>
      <c r="F1596" s="37" t="s">
        <v>1821</v>
      </c>
      <c r="G1596" s="37" t="s">
        <v>1821</v>
      </c>
      <c r="H1596" s="37" t="s">
        <v>1840</v>
      </c>
      <c r="I1596" s="37" t="s">
        <v>1465</v>
      </c>
      <c r="J1596" s="37" t="s">
        <v>1465</v>
      </c>
      <c r="K1596" s="37" t="s">
        <v>1465</v>
      </c>
      <c r="L1596" s="36">
        <v>1</v>
      </c>
      <c r="M1596" s="36">
        <v>1</v>
      </c>
      <c r="N1596" s="36">
        <v>1</v>
      </c>
      <c r="O1596" s="36">
        <v>2</v>
      </c>
      <c r="P1596" s="37" t="s">
        <v>292</v>
      </c>
      <c r="Q1596" s="37"/>
      <c r="R1596" s="37" t="s">
        <v>4262</v>
      </c>
    </row>
    <row r="1597" spans="1:18" ht="14.7" hidden="1" thickBot="1" x14ac:dyDescent="0.55000000000000004">
      <c r="A1597" s="36">
        <v>1850</v>
      </c>
      <c r="B1597" s="37" t="s">
        <v>4263</v>
      </c>
      <c r="C1597" s="37" t="s">
        <v>2643</v>
      </c>
      <c r="D1597" s="37" t="s">
        <v>2644</v>
      </c>
      <c r="E1597" s="37" t="s">
        <v>1785</v>
      </c>
      <c r="F1597" s="37" t="s">
        <v>1821</v>
      </c>
      <c r="G1597" s="37" t="s">
        <v>1821</v>
      </c>
      <c r="H1597" s="37" t="s">
        <v>1821</v>
      </c>
      <c r="I1597" s="37" t="s">
        <v>1465</v>
      </c>
      <c r="J1597" s="37" t="s">
        <v>1465</v>
      </c>
      <c r="K1597" s="37" t="s">
        <v>1465</v>
      </c>
      <c r="L1597" s="36">
        <v>1</v>
      </c>
      <c r="M1597" s="36">
        <v>1</v>
      </c>
      <c r="N1597" s="36">
        <v>1</v>
      </c>
      <c r="O1597" s="36">
        <v>2</v>
      </c>
      <c r="P1597" s="37" t="s">
        <v>292</v>
      </c>
      <c r="Q1597" s="37"/>
      <c r="R1597" s="37" t="s">
        <v>4264</v>
      </c>
    </row>
    <row r="1598" spans="1:18" ht="27.7" hidden="1" thickBot="1" x14ac:dyDescent="0.55000000000000004">
      <c r="A1598" s="36">
        <v>1851</v>
      </c>
      <c r="B1598" s="37" t="s">
        <v>4265</v>
      </c>
      <c r="C1598" s="37" t="s">
        <v>2646</v>
      </c>
      <c r="D1598" s="37" t="s">
        <v>1784</v>
      </c>
      <c r="E1598" s="37" t="s">
        <v>1816</v>
      </c>
      <c r="F1598" s="37" t="s">
        <v>1821</v>
      </c>
      <c r="G1598" s="37" t="s">
        <v>1821</v>
      </c>
      <c r="H1598" s="37" t="s">
        <v>1840</v>
      </c>
      <c r="I1598" s="37" t="s">
        <v>1465</v>
      </c>
      <c r="J1598" s="37" t="s">
        <v>1465</v>
      </c>
      <c r="K1598" s="37" t="s">
        <v>1465</v>
      </c>
      <c r="L1598" s="36">
        <v>1</v>
      </c>
      <c r="M1598" s="36">
        <v>1</v>
      </c>
      <c r="N1598" s="36">
        <v>1</v>
      </c>
      <c r="O1598" s="36">
        <v>2</v>
      </c>
      <c r="P1598" s="37" t="s">
        <v>292</v>
      </c>
      <c r="Q1598" s="37"/>
      <c r="R1598" s="37" t="s">
        <v>4266</v>
      </c>
    </row>
    <row r="1599" spans="1:18" ht="27.7" hidden="1" thickBot="1" x14ac:dyDescent="0.55000000000000004">
      <c r="A1599" s="36">
        <v>1852</v>
      </c>
      <c r="B1599" s="37" t="s">
        <v>4267</v>
      </c>
      <c r="C1599" s="37" t="s">
        <v>2646</v>
      </c>
      <c r="D1599" s="37" t="s">
        <v>1784</v>
      </c>
      <c r="E1599" s="37" t="s">
        <v>1816</v>
      </c>
      <c r="F1599" s="37" t="s">
        <v>1821</v>
      </c>
      <c r="G1599" s="37" t="s">
        <v>1821</v>
      </c>
      <c r="H1599" s="37" t="s">
        <v>1840</v>
      </c>
      <c r="I1599" s="37" t="s">
        <v>1465</v>
      </c>
      <c r="J1599" s="37" t="s">
        <v>1465</v>
      </c>
      <c r="K1599" s="37" t="s">
        <v>1465</v>
      </c>
      <c r="L1599" s="36">
        <v>1</v>
      </c>
      <c r="M1599" s="36">
        <v>1</v>
      </c>
      <c r="N1599" s="36">
        <v>1</v>
      </c>
      <c r="O1599" s="36">
        <v>2</v>
      </c>
      <c r="P1599" s="37" t="s">
        <v>292</v>
      </c>
      <c r="Q1599" s="37"/>
      <c r="R1599" s="37" t="s">
        <v>4268</v>
      </c>
    </row>
    <row r="1600" spans="1:18" ht="27.7" hidden="1" thickBot="1" x14ac:dyDescent="0.55000000000000004">
      <c r="A1600" s="36">
        <v>1853</v>
      </c>
      <c r="B1600" s="37" t="s">
        <v>4269</v>
      </c>
      <c r="C1600" s="37" t="s">
        <v>2643</v>
      </c>
      <c r="D1600" s="37" t="s">
        <v>2644</v>
      </c>
      <c r="E1600" s="37" t="s">
        <v>1785</v>
      </c>
      <c r="F1600" s="37" t="s">
        <v>1821</v>
      </c>
      <c r="G1600" s="37" t="s">
        <v>1821</v>
      </c>
      <c r="H1600" s="37" t="s">
        <v>1821</v>
      </c>
      <c r="I1600" s="37" t="s">
        <v>1465</v>
      </c>
      <c r="J1600" s="37" t="s">
        <v>1465</v>
      </c>
      <c r="K1600" s="37" t="s">
        <v>1465</v>
      </c>
      <c r="L1600" s="36">
        <v>1</v>
      </c>
      <c r="M1600" s="36">
        <v>1</v>
      </c>
      <c r="N1600" s="36">
        <v>1</v>
      </c>
      <c r="O1600" s="36">
        <v>2</v>
      </c>
      <c r="P1600" s="37" t="s">
        <v>292</v>
      </c>
      <c r="Q1600" s="37"/>
      <c r="R1600" s="37" t="s">
        <v>4270</v>
      </c>
    </row>
    <row r="1601" spans="1:18" ht="27.7" hidden="1" thickBot="1" x14ac:dyDescent="0.55000000000000004">
      <c r="A1601" s="36">
        <v>1854</v>
      </c>
      <c r="B1601" s="37" t="s">
        <v>4271</v>
      </c>
      <c r="C1601" s="37" t="s">
        <v>4272</v>
      </c>
      <c r="D1601" s="37" t="s">
        <v>2644</v>
      </c>
      <c r="E1601" s="37" t="s">
        <v>1785</v>
      </c>
      <c r="F1601" s="37" t="s">
        <v>1821</v>
      </c>
      <c r="G1601" s="37" t="s">
        <v>1821</v>
      </c>
      <c r="H1601" s="37" t="s">
        <v>1821</v>
      </c>
      <c r="I1601" s="37" t="s">
        <v>1465</v>
      </c>
      <c r="J1601" s="37" t="s">
        <v>1465</v>
      </c>
      <c r="K1601" s="37" t="s">
        <v>1465</v>
      </c>
      <c r="L1601" s="36">
        <v>1</v>
      </c>
      <c r="M1601" s="36">
        <v>1</v>
      </c>
      <c r="N1601" s="36">
        <v>1</v>
      </c>
      <c r="O1601" s="36">
        <v>2</v>
      </c>
      <c r="P1601" s="37" t="s">
        <v>292</v>
      </c>
      <c r="Q1601" s="37"/>
      <c r="R1601" s="37" t="s">
        <v>4273</v>
      </c>
    </row>
    <row r="1602" spans="1:18" ht="27.7" hidden="1" thickBot="1" x14ac:dyDescent="0.55000000000000004">
      <c r="A1602" s="36">
        <v>1856</v>
      </c>
      <c r="B1602" s="37" t="s">
        <v>4272</v>
      </c>
      <c r="C1602" s="37" t="s">
        <v>4272</v>
      </c>
      <c r="D1602" s="37" t="s">
        <v>2644</v>
      </c>
      <c r="E1602" s="37" t="s">
        <v>1785</v>
      </c>
      <c r="F1602" s="37" t="s">
        <v>1821</v>
      </c>
      <c r="G1602" s="37" t="s">
        <v>1821</v>
      </c>
      <c r="H1602" s="37" t="s">
        <v>1821</v>
      </c>
      <c r="I1602" s="37" t="s">
        <v>1465</v>
      </c>
      <c r="J1602" s="37" t="s">
        <v>1465</v>
      </c>
      <c r="K1602" s="37" t="s">
        <v>1465</v>
      </c>
      <c r="L1602" s="36">
        <v>1</v>
      </c>
      <c r="M1602" s="36">
        <v>1</v>
      </c>
      <c r="N1602" s="36">
        <v>1</v>
      </c>
      <c r="O1602" s="36">
        <v>2</v>
      </c>
      <c r="P1602" s="37" t="s">
        <v>292</v>
      </c>
      <c r="Q1602" s="37"/>
      <c r="R1602" s="37" t="s">
        <v>4274</v>
      </c>
    </row>
    <row r="1603" spans="1:18" ht="14.7" hidden="1" thickBot="1" x14ac:dyDescent="0.55000000000000004">
      <c r="A1603" s="36">
        <v>1857</v>
      </c>
      <c r="B1603" s="37" t="s">
        <v>4275</v>
      </c>
      <c r="C1603" s="37" t="s">
        <v>2634</v>
      </c>
      <c r="D1603" s="37" t="s">
        <v>2624</v>
      </c>
      <c r="E1603" s="37" t="s">
        <v>1785</v>
      </c>
      <c r="F1603" s="37" t="s">
        <v>1821</v>
      </c>
      <c r="G1603" s="37" t="s">
        <v>1821</v>
      </c>
      <c r="H1603" s="37" t="s">
        <v>1821</v>
      </c>
      <c r="I1603" s="37" t="s">
        <v>1465</v>
      </c>
      <c r="J1603" s="37" t="s">
        <v>1465</v>
      </c>
      <c r="K1603" s="37" t="s">
        <v>1465</v>
      </c>
      <c r="L1603" s="36">
        <v>1</v>
      </c>
      <c r="M1603" s="36">
        <v>1</v>
      </c>
      <c r="N1603" s="36">
        <v>1</v>
      </c>
      <c r="O1603" s="36">
        <v>2</v>
      </c>
      <c r="P1603" s="37" t="s">
        <v>292</v>
      </c>
      <c r="Q1603" s="37"/>
      <c r="R1603" s="37" t="s">
        <v>4276</v>
      </c>
    </row>
    <row r="1604" spans="1:18" ht="14.7" hidden="1" thickBot="1" x14ac:dyDescent="0.55000000000000004">
      <c r="A1604" s="36">
        <v>1858</v>
      </c>
      <c r="B1604" s="37" t="s">
        <v>4277</v>
      </c>
      <c r="C1604" s="37" t="s">
        <v>2634</v>
      </c>
      <c r="D1604" s="37" t="s">
        <v>2624</v>
      </c>
      <c r="E1604" s="37" t="s">
        <v>1785</v>
      </c>
      <c r="F1604" s="37" t="s">
        <v>1821</v>
      </c>
      <c r="G1604" s="37" t="s">
        <v>1821</v>
      </c>
      <c r="H1604" s="37" t="s">
        <v>1840</v>
      </c>
      <c r="I1604" s="37" t="s">
        <v>1465</v>
      </c>
      <c r="J1604" s="37" t="s">
        <v>1465</v>
      </c>
      <c r="K1604" s="37" t="s">
        <v>1465</v>
      </c>
      <c r="L1604" s="36">
        <v>1</v>
      </c>
      <c r="M1604" s="36">
        <v>1</v>
      </c>
      <c r="N1604" s="36">
        <v>1</v>
      </c>
      <c r="O1604" s="36">
        <v>2</v>
      </c>
      <c r="P1604" s="37" t="s">
        <v>292</v>
      </c>
      <c r="Q1604" s="37"/>
      <c r="R1604" s="37" t="s">
        <v>4278</v>
      </c>
    </row>
    <row r="1605" spans="1:18" ht="27.7" hidden="1" thickBot="1" x14ac:dyDescent="0.55000000000000004">
      <c r="A1605" s="36">
        <v>1859</v>
      </c>
      <c r="B1605" s="37" t="s">
        <v>4279</v>
      </c>
      <c r="C1605" s="37" t="s">
        <v>4280</v>
      </c>
      <c r="D1605" s="37" t="s">
        <v>2624</v>
      </c>
      <c r="E1605" s="37" t="s">
        <v>1785</v>
      </c>
      <c r="F1605" s="37" t="s">
        <v>2625</v>
      </c>
      <c r="G1605" s="37" t="s">
        <v>2625</v>
      </c>
      <c r="H1605" s="37" t="s">
        <v>2625</v>
      </c>
      <c r="I1605" s="37" t="s">
        <v>1003</v>
      </c>
      <c r="J1605" s="37" t="s">
        <v>1003</v>
      </c>
      <c r="K1605" s="37" t="s">
        <v>1003</v>
      </c>
      <c r="L1605" s="36">
        <v>1</v>
      </c>
      <c r="M1605" s="36">
        <v>1</v>
      </c>
      <c r="N1605" s="36">
        <v>1</v>
      </c>
      <c r="O1605" s="36">
        <v>2</v>
      </c>
      <c r="P1605" s="37" t="s">
        <v>292</v>
      </c>
      <c r="Q1605" s="37"/>
      <c r="R1605" s="37" t="s">
        <v>4281</v>
      </c>
    </row>
    <row r="1606" spans="1:18" ht="27.7" hidden="1" thickBot="1" x14ac:dyDescent="0.55000000000000004">
      <c r="A1606" s="36">
        <v>1860</v>
      </c>
      <c r="B1606" s="37" t="s">
        <v>4280</v>
      </c>
      <c r="C1606" s="37" t="s">
        <v>4280</v>
      </c>
      <c r="D1606" s="37" t="s">
        <v>2624</v>
      </c>
      <c r="E1606" s="37" t="s">
        <v>1785</v>
      </c>
      <c r="F1606" s="37" t="s">
        <v>2625</v>
      </c>
      <c r="G1606" s="37" t="s">
        <v>2625</v>
      </c>
      <c r="H1606" s="37" t="s">
        <v>2625</v>
      </c>
      <c r="I1606" s="37" t="s">
        <v>1003</v>
      </c>
      <c r="J1606" s="37" t="s">
        <v>1003</v>
      </c>
      <c r="K1606" s="37" t="s">
        <v>1003</v>
      </c>
      <c r="L1606" s="36">
        <v>1</v>
      </c>
      <c r="M1606" s="36">
        <v>1</v>
      </c>
      <c r="N1606" s="36">
        <v>1</v>
      </c>
      <c r="O1606" s="36">
        <v>2</v>
      </c>
      <c r="P1606" s="37" t="s">
        <v>292</v>
      </c>
      <c r="Q1606" s="37"/>
      <c r="R1606" s="37" t="s">
        <v>4282</v>
      </c>
    </row>
    <row r="1607" spans="1:18" ht="14.7" hidden="1" thickBot="1" x14ac:dyDescent="0.55000000000000004">
      <c r="A1607" s="36">
        <v>1861</v>
      </c>
      <c r="B1607" s="37" t="s">
        <v>2990</v>
      </c>
      <c r="C1607" s="37" t="s">
        <v>2990</v>
      </c>
      <c r="D1607" s="37" t="s">
        <v>2624</v>
      </c>
      <c r="E1607" s="37" t="s">
        <v>1785</v>
      </c>
      <c r="F1607" s="37" t="s">
        <v>2801</v>
      </c>
      <c r="G1607" s="37" t="s">
        <v>2801</v>
      </c>
      <c r="H1607" s="37" t="s">
        <v>2801</v>
      </c>
      <c r="I1607" s="37" t="s">
        <v>1465</v>
      </c>
      <c r="J1607" s="37" t="s">
        <v>1465</v>
      </c>
      <c r="K1607" s="37" t="s">
        <v>1465</v>
      </c>
      <c r="L1607" s="36">
        <v>1</v>
      </c>
      <c r="M1607" s="36">
        <v>1</v>
      </c>
      <c r="N1607" s="36">
        <v>1</v>
      </c>
      <c r="O1607" s="36">
        <v>2</v>
      </c>
      <c r="P1607" s="37" t="s">
        <v>292</v>
      </c>
      <c r="Q1607" s="37"/>
      <c r="R1607" s="37" t="s">
        <v>4283</v>
      </c>
    </row>
    <row r="1608" spans="1:18" ht="27.7" hidden="1" thickBot="1" x14ac:dyDescent="0.55000000000000004">
      <c r="A1608" s="36">
        <v>1862</v>
      </c>
      <c r="B1608" s="37" t="s">
        <v>4284</v>
      </c>
      <c r="C1608" s="37" t="s">
        <v>2990</v>
      </c>
      <c r="D1608" s="37" t="s">
        <v>2624</v>
      </c>
      <c r="E1608" s="37" t="s">
        <v>1785</v>
      </c>
      <c r="F1608" s="37" t="s">
        <v>2625</v>
      </c>
      <c r="G1608" s="37" t="s">
        <v>2625</v>
      </c>
      <c r="H1608" s="37" t="s">
        <v>2625</v>
      </c>
      <c r="I1608" s="37" t="s">
        <v>1003</v>
      </c>
      <c r="J1608" s="37" t="s">
        <v>1003</v>
      </c>
      <c r="K1608" s="37" t="s">
        <v>1003</v>
      </c>
      <c r="L1608" s="36">
        <v>1</v>
      </c>
      <c r="M1608" s="36">
        <v>1</v>
      </c>
      <c r="N1608" s="36">
        <v>1</v>
      </c>
      <c r="O1608" s="36">
        <v>2</v>
      </c>
      <c r="P1608" s="37" t="s">
        <v>292</v>
      </c>
      <c r="Q1608" s="37"/>
      <c r="R1608" s="37" t="s">
        <v>4285</v>
      </c>
    </row>
    <row r="1609" spans="1:18" ht="27.7" hidden="1" thickBot="1" x14ac:dyDescent="0.55000000000000004">
      <c r="A1609" s="36">
        <v>1863</v>
      </c>
      <c r="B1609" s="37" t="s">
        <v>4286</v>
      </c>
      <c r="C1609" s="37" t="s">
        <v>2624</v>
      </c>
      <c r="D1609" s="37" t="s">
        <v>2624</v>
      </c>
      <c r="E1609" s="37" t="s">
        <v>1785</v>
      </c>
      <c r="F1609" s="37" t="s">
        <v>2625</v>
      </c>
      <c r="G1609" s="37" t="s">
        <v>2625</v>
      </c>
      <c r="H1609" s="37" t="s">
        <v>2625</v>
      </c>
      <c r="I1609" s="37" t="s">
        <v>1003</v>
      </c>
      <c r="J1609" s="37" t="s">
        <v>1003</v>
      </c>
      <c r="K1609" s="37" t="s">
        <v>1003</v>
      </c>
      <c r="L1609" s="36">
        <v>1</v>
      </c>
      <c r="M1609" s="36">
        <v>1</v>
      </c>
      <c r="N1609" s="36">
        <v>1</v>
      </c>
      <c r="O1609" s="36">
        <v>2</v>
      </c>
      <c r="P1609" s="37" t="s">
        <v>292</v>
      </c>
      <c r="Q1609" s="37"/>
      <c r="R1609" s="37" t="s">
        <v>4287</v>
      </c>
    </row>
    <row r="1610" spans="1:18" ht="14.7" hidden="1" thickBot="1" x14ac:dyDescent="0.55000000000000004">
      <c r="A1610" s="36">
        <v>1864</v>
      </c>
      <c r="B1610" s="37" t="s">
        <v>4288</v>
      </c>
      <c r="C1610" s="37" t="s">
        <v>2624</v>
      </c>
      <c r="D1610" s="37" t="s">
        <v>2624</v>
      </c>
      <c r="E1610" s="37" t="s">
        <v>1785</v>
      </c>
      <c r="F1610" s="37" t="s">
        <v>1821</v>
      </c>
      <c r="G1610" s="37" t="s">
        <v>1821</v>
      </c>
      <c r="H1610" s="37" t="s">
        <v>1840</v>
      </c>
      <c r="I1610" s="37" t="s">
        <v>1465</v>
      </c>
      <c r="J1610" s="37" t="s">
        <v>1465</v>
      </c>
      <c r="K1610" s="37" t="s">
        <v>1465</v>
      </c>
      <c r="L1610" s="36">
        <v>1</v>
      </c>
      <c r="M1610" s="36">
        <v>1</v>
      </c>
      <c r="N1610" s="36">
        <v>1</v>
      </c>
      <c r="O1610" s="36">
        <v>2</v>
      </c>
      <c r="P1610" s="37" t="s">
        <v>292</v>
      </c>
      <c r="Q1610" s="37"/>
      <c r="R1610" s="37" t="s">
        <v>4289</v>
      </c>
    </row>
    <row r="1611" spans="1:18" ht="27.7" hidden="1" thickBot="1" x14ac:dyDescent="0.55000000000000004">
      <c r="A1611" s="36">
        <v>1865</v>
      </c>
      <c r="B1611" s="37" t="s">
        <v>4290</v>
      </c>
      <c r="C1611" s="37" t="s">
        <v>4280</v>
      </c>
      <c r="D1611" s="37" t="s">
        <v>2624</v>
      </c>
      <c r="E1611" s="37" t="s">
        <v>1785</v>
      </c>
      <c r="F1611" s="37" t="s">
        <v>2625</v>
      </c>
      <c r="G1611" s="37" t="s">
        <v>2625</v>
      </c>
      <c r="H1611" s="37" t="s">
        <v>2625</v>
      </c>
      <c r="I1611" s="37" t="s">
        <v>1003</v>
      </c>
      <c r="J1611" s="37" t="s">
        <v>1003</v>
      </c>
      <c r="K1611" s="37" t="s">
        <v>1003</v>
      </c>
      <c r="L1611" s="36">
        <v>1</v>
      </c>
      <c r="M1611" s="36">
        <v>1</v>
      </c>
      <c r="N1611" s="36">
        <v>1</v>
      </c>
      <c r="O1611" s="36">
        <v>2</v>
      </c>
      <c r="P1611" s="37" t="s">
        <v>292</v>
      </c>
      <c r="Q1611" s="37"/>
      <c r="R1611" s="37" t="s">
        <v>4291</v>
      </c>
    </row>
    <row r="1612" spans="1:18" ht="27.7" hidden="1" thickBot="1" x14ac:dyDescent="0.55000000000000004">
      <c r="A1612" s="36">
        <v>1866</v>
      </c>
      <c r="B1612" s="37" t="s">
        <v>4292</v>
      </c>
      <c r="C1612" s="37" t="s">
        <v>4280</v>
      </c>
      <c r="D1612" s="37" t="s">
        <v>2624</v>
      </c>
      <c r="E1612" s="37" t="s">
        <v>1785</v>
      </c>
      <c r="F1612" s="37" t="s">
        <v>2625</v>
      </c>
      <c r="G1612" s="37" t="s">
        <v>2625</v>
      </c>
      <c r="H1612" s="37" t="s">
        <v>2625</v>
      </c>
      <c r="I1612" s="37" t="s">
        <v>1003</v>
      </c>
      <c r="J1612" s="37" t="s">
        <v>1003</v>
      </c>
      <c r="K1612" s="37" t="s">
        <v>1003</v>
      </c>
      <c r="L1612" s="36">
        <v>1</v>
      </c>
      <c r="M1612" s="36">
        <v>1</v>
      </c>
      <c r="N1612" s="36">
        <v>1</v>
      </c>
      <c r="O1612" s="36">
        <v>2</v>
      </c>
      <c r="P1612" s="37" t="s">
        <v>292</v>
      </c>
      <c r="Q1612" s="37"/>
      <c r="R1612" s="37" t="s">
        <v>4293</v>
      </c>
    </row>
    <row r="1613" spans="1:18" ht="27.7" hidden="1" thickBot="1" x14ac:dyDescent="0.55000000000000004">
      <c r="A1613" s="36">
        <v>1867</v>
      </c>
      <c r="B1613" s="37" t="s">
        <v>4294</v>
      </c>
      <c r="C1613" s="37" t="s">
        <v>4295</v>
      </c>
      <c r="D1613" s="37" t="s">
        <v>2644</v>
      </c>
      <c r="E1613" s="37" t="s">
        <v>1785</v>
      </c>
      <c r="F1613" s="37" t="s">
        <v>1698</v>
      </c>
      <c r="G1613" s="37" t="s">
        <v>1821</v>
      </c>
      <c r="H1613" s="37" t="s">
        <v>1821</v>
      </c>
      <c r="I1613" s="37" t="s">
        <v>4296</v>
      </c>
      <c r="J1613" s="37" t="s">
        <v>1465</v>
      </c>
      <c r="K1613" s="37" t="s">
        <v>1465</v>
      </c>
      <c r="L1613" s="36">
        <v>1</v>
      </c>
      <c r="M1613" s="36">
        <v>1</v>
      </c>
      <c r="N1613" s="36">
        <v>1</v>
      </c>
      <c r="O1613" s="36">
        <v>1</v>
      </c>
      <c r="P1613" s="37" t="s">
        <v>292</v>
      </c>
      <c r="Q1613" s="37"/>
      <c r="R1613" s="37" t="s">
        <v>4297</v>
      </c>
    </row>
    <row r="1614" spans="1:18" ht="27.7" hidden="1" thickBot="1" x14ac:dyDescent="0.55000000000000004">
      <c r="A1614" s="36">
        <v>1868</v>
      </c>
      <c r="B1614" s="37" t="s">
        <v>4298</v>
      </c>
      <c r="C1614" s="37" t="s">
        <v>4295</v>
      </c>
      <c r="D1614" s="37" t="s">
        <v>2644</v>
      </c>
      <c r="E1614" s="37" t="s">
        <v>1785</v>
      </c>
      <c r="F1614" s="37" t="s">
        <v>1698</v>
      </c>
      <c r="G1614" s="37" t="s">
        <v>1821</v>
      </c>
      <c r="H1614" s="37" t="s">
        <v>1821</v>
      </c>
      <c r="I1614" s="37" t="s">
        <v>4296</v>
      </c>
      <c r="J1614" s="37" t="s">
        <v>1465</v>
      </c>
      <c r="K1614" s="37" t="s">
        <v>1465</v>
      </c>
      <c r="L1614" s="36">
        <v>1</v>
      </c>
      <c r="M1614" s="36">
        <v>1</v>
      </c>
      <c r="N1614" s="36">
        <v>1</v>
      </c>
      <c r="O1614" s="36">
        <v>2</v>
      </c>
      <c r="P1614" s="37" t="s">
        <v>292</v>
      </c>
      <c r="Q1614" s="37"/>
      <c r="R1614" s="37" t="s">
        <v>4299</v>
      </c>
    </row>
    <row r="1615" spans="1:18" ht="27.7" hidden="1" thickBot="1" x14ac:dyDescent="0.55000000000000004">
      <c r="A1615" s="36">
        <v>1869</v>
      </c>
      <c r="B1615" s="37" t="s">
        <v>4300</v>
      </c>
      <c r="C1615" s="37" t="s">
        <v>3129</v>
      </c>
      <c r="D1615" s="37" t="s">
        <v>2644</v>
      </c>
      <c r="E1615" s="37" t="s">
        <v>1785</v>
      </c>
      <c r="F1615" s="37" t="s">
        <v>1698</v>
      </c>
      <c r="G1615" s="37" t="s">
        <v>1821</v>
      </c>
      <c r="H1615" s="37" t="s">
        <v>1821</v>
      </c>
      <c r="I1615" s="37" t="s">
        <v>4296</v>
      </c>
      <c r="J1615" s="37" t="s">
        <v>1465</v>
      </c>
      <c r="K1615" s="37" t="s">
        <v>1465</v>
      </c>
      <c r="L1615" s="36">
        <v>1</v>
      </c>
      <c r="M1615" s="36">
        <v>1</v>
      </c>
      <c r="N1615" s="36">
        <v>1</v>
      </c>
      <c r="O1615" s="36">
        <v>2</v>
      </c>
      <c r="P1615" s="37" t="s">
        <v>292</v>
      </c>
      <c r="Q1615" s="37"/>
      <c r="R1615" s="37" t="s">
        <v>4301</v>
      </c>
    </row>
    <row r="1616" spans="1:18" ht="27.7" hidden="1" thickBot="1" x14ac:dyDescent="0.55000000000000004">
      <c r="A1616" s="36">
        <v>1870</v>
      </c>
      <c r="B1616" s="37" t="s">
        <v>4302</v>
      </c>
      <c r="C1616" s="37" t="s">
        <v>3129</v>
      </c>
      <c r="D1616" s="37" t="s">
        <v>2644</v>
      </c>
      <c r="E1616" s="37" t="s">
        <v>1785</v>
      </c>
      <c r="F1616" s="37" t="s">
        <v>1698</v>
      </c>
      <c r="G1616" s="37" t="s">
        <v>1821</v>
      </c>
      <c r="H1616" s="37" t="s">
        <v>1821</v>
      </c>
      <c r="I1616" s="37" t="s">
        <v>4296</v>
      </c>
      <c r="J1616" s="37" t="s">
        <v>1465</v>
      </c>
      <c r="K1616" s="37" t="s">
        <v>1465</v>
      </c>
      <c r="L1616" s="36">
        <v>1</v>
      </c>
      <c r="M1616" s="36">
        <v>1</v>
      </c>
      <c r="N1616" s="36">
        <v>1</v>
      </c>
      <c r="O1616" s="36">
        <v>2</v>
      </c>
      <c r="P1616" s="37" t="s">
        <v>292</v>
      </c>
      <c r="Q1616" s="37"/>
      <c r="R1616" s="37" t="s">
        <v>4303</v>
      </c>
    </row>
    <row r="1617" spans="1:18" ht="14.7" hidden="1" thickBot="1" x14ac:dyDescent="0.55000000000000004">
      <c r="A1617" s="36">
        <v>1871</v>
      </c>
      <c r="B1617" s="37" t="s">
        <v>4304</v>
      </c>
      <c r="C1617" s="37" t="s">
        <v>3217</v>
      </c>
      <c r="D1617" s="37" t="s">
        <v>2644</v>
      </c>
      <c r="E1617" s="37" t="s">
        <v>1785</v>
      </c>
      <c r="F1617" s="37" t="s">
        <v>2801</v>
      </c>
      <c r="G1617" s="37" t="s">
        <v>2801</v>
      </c>
      <c r="H1617" s="37" t="s">
        <v>2801</v>
      </c>
      <c r="I1617" s="37" t="s">
        <v>1465</v>
      </c>
      <c r="J1617" s="37" t="s">
        <v>1465</v>
      </c>
      <c r="K1617" s="37" t="s">
        <v>1465</v>
      </c>
      <c r="L1617" s="36">
        <v>1</v>
      </c>
      <c r="M1617" s="36">
        <v>1</v>
      </c>
      <c r="N1617" s="36">
        <v>1</v>
      </c>
      <c r="O1617" s="36">
        <v>2</v>
      </c>
      <c r="P1617" s="37" t="s">
        <v>292</v>
      </c>
      <c r="Q1617" s="37"/>
      <c r="R1617" s="37" t="s">
        <v>4305</v>
      </c>
    </row>
    <row r="1618" spans="1:18" ht="14.7" hidden="1" thickBot="1" x14ac:dyDescent="0.55000000000000004">
      <c r="A1618" s="36">
        <v>1872</v>
      </c>
      <c r="B1618" s="37" t="s">
        <v>4306</v>
      </c>
      <c r="C1618" s="37" t="s">
        <v>3217</v>
      </c>
      <c r="D1618" s="37" t="s">
        <v>2644</v>
      </c>
      <c r="E1618" s="37" t="s">
        <v>1785</v>
      </c>
      <c r="F1618" s="37" t="s">
        <v>2801</v>
      </c>
      <c r="G1618" s="37" t="s">
        <v>2801</v>
      </c>
      <c r="H1618" s="37" t="s">
        <v>2801</v>
      </c>
      <c r="I1618" s="37" t="s">
        <v>1465</v>
      </c>
      <c r="J1618" s="37" t="s">
        <v>1465</v>
      </c>
      <c r="K1618" s="37" t="s">
        <v>1465</v>
      </c>
      <c r="L1618" s="36">
        <v>1</v>
      </c>
      <c r="M1618" s="36">
        <v>1</v>
      </c>
      <c r="N1618" s="36">
        <v>1</v>
      </c>
      <c r="O1618" s="36">
        <v>2</v>
      </c>
      <c r="P1618" s="37" t="s">
        <v>292</v>
      </c>
      <c r="Q1618" s="37"/>
      <c r="R1618" s="37" t="s">
        <v>4307</v>
      </c>
    </row>
    <row r="1619" spans="1:18" ht="14.7" hidden="1" thickBot="1" x14ac:dyDescent="0.55000000000000004">
      <c r="A1619" s="36">
        <v>1873</v>
      </c>
      <c r="B1619" s="37" t="s">
        <v>3217</v>
      </c>
      <c r="C1619" s="37" t="s">
        <v>3217</v>
      </c>
      <c r="D1619" s="37" t="s">
        <v>2644</v>
      </c>
      <c r="E1619" s="37" t="s">
        <v>1785</v>
      </c>
      <c r="F1619" s="37" t="s">
        <v>2801</v>
      </c>
      <c r="G1619" s="37" t="s">
        <v>2801</v>
      </c>
      <c r="H1619" s="37" t="s">
        <v>2801</v>
      </c>
      <c r="I1619" s="37" t="s">
        <v>1465</v>
      </c>
      <c r="J1619" s="37" t="s">
        <v>1465</v>
      </c>
      <c r="K1619" s="37" t="s">
        <v>1465</v>
      </c>
      <c r="L1619" s="36">
        <v>1</v>
      </c>
      <c r="M1619" s="36">
        <v>1</v>
      </c>
      <c r="N1619" s="36">
        <v>1</v>
      </c>
      <c r="O1619" s="36">
        <v>2</v>
      </c>
      <c r="P1619" s="37" t="s">
        <v>292</v>
      </c>
      <c r="Q1619" s="37"/>
      <c r="R1619" s="37" t="s">
        <v>4308</v>
      </c>
    </row>
    <row r="1620" spans="1:18" ht="27.7" hidden="1" thickBot="1" x14ac:dyDescent="0.55000000000000004">
      <c r="A1620" s="36">
        <v>1874</v>
      </c>
      <c r="B1620" s="37" t="s">
        <v>4309</v>
      </c>
      <c r="C1620" s="37" t="s">
        <v>4310</v>
      </c>
      <c r="D1620" s="37" t="s">
        <v>2644</v>
      </c>
      <c r="E1620" s="37" t="s">
        <v>1785</v>
      </c>
      <c r="F1620" s="37" t="s">
        <v>2801</v>
      </c>
      <c r="G1620" s="37" t="s">
        <v>2801</v>
      </c>
      <c r="H1620" s="37" t="s">
        <v>2801</v>
      </c>
      <c r="I1620" s="37" t="s">
        <v>1465</v>
      </c>
      <c r="J1620" s="37" t="s">
        <v>1465</v>
      </c>
      <c r="K1620" s="37" t="s">
        <v>1465</v>
      </c>
      <c r="L1620" s="36">
        <v>1</v>
      </c>
      <c r="M1620" s="36">
        <v>1</v>
      </c>
      <c r="N1620" s="36">
        <v>1</v>
      </c>
      <c r="O1620" s="36">
        <v>2</v>
      </c>
      <c r="P1620" s="37" t="s">
        <v>292</v>
      </c>
      <c r="Q1620" s="37"/>
      <c r="R1620" s="37" t="s">
        <v>4311</v>
      </c>
    </row>
    <row r="1621" spans="1:18" ht="27.7" hidden="1" thickBot="1" x14ac:dyDescent="0.55000000000000004">
      <c r="A1621" s="36">
        <v>1875</v>
      </c>
      <c r="B1621" s="37" t="s">
        <v>4312</v>
      </c>
      <c r="C1621" s="37" t="s">
        <v>4310</v>
      </c>
      <c r="D1621" s="37" t="s">
        <v>2644</v>
      </c>
      <c r="E1621" s="37" t="s">
        <v>1785</v>
      </c>
      <c r="F1621" s="37" t="s">
        <v>2801</v>
      </c>
      <c r="G1621" s="37" t="s">
        <v>2801</v>
      </c>
      <c r="H1621" s="37" t="s">
        <v>2801</v>
      </c>
      <c r="I1621" s="37" t="s">
        <v>1465</v>
      </c>
      <c r="J1621" s="37" t="s">
        <v>1465</v>
      </c>
      <c r="K1621" s="37" t="s">
        <v>1465</v>
      </c>
      <c r="L1621" s="36">
        <v>1</v>
      </c>
      <c r="M1621" s="36">
        <v>1</v>
      </c>
      <c r="N1621" s="36">
        <v>1</v>
      </c>
      <c r="O1621" s="36">
        <v>2</v>
      </c>
      <c r="P1621" s="37" t="s">
        <v>292</v>
      </c>
      <c r="Q1621" s="37"/>
      <c r="R1621" s="37" t="s">
        <v>4313</v>
      </c>
    </row>
    <row r="1622" spans="1:18" ht="27.7" hidden="1" thickBot="1" x14ac:dyDescent="0.55000000000000004">
      <c r="A1622" s="36">
        <v>1876</v>
      </c>
      <c r="B1622" s="37" t="s">
        <v>4310</v>
      </c>
      <c r="C1622" s="37" t="s">
        <v>4310</v>
      </c>
      <c r="D1622" s="37" t="s">
        <v>2644</v>
      </c>
      <c r="E1622" s="37" t="s">
        <v>1785</v>
      </c>
      <c r="F1622" s="37" t="s">
        <v>2801</v>
      </c>
      <c r="G1622" s="37" t="s">
        <v>2801</v>
      </c>
      <c r="H1622" s="37" t="s">
        <v>2801</v>
      </c>
      <c r="I1622" s="37" t="s">
        <v>1465</v>
      </c>
      <c r="J1622" s="37" t="s">
        <v>1465</v>
      </c>
      <c r="K1622" s="37" t="s">
        <v>1465</v>
      </c>
      <c r="L1622" s="36">
        <v>1</v>
      </c>
      <c r="M1622" s="36">
        <v>1</v>
      </c>
      <c r="N1622" s="36">
        <v>1</v>
      </c>
      <c r="O1622" s="36">
        <v>2</v>
      </c>
      <c r="P1622" s="37" t="s">
        <v>292</v>
      </c>
      <c r="Q1622" s="37"/>
      <c r="R1622" s="37" t="s">
        <v>4314</v>
      </c>
    </row>
    <row r="1623" spans="1:18" ht="27.7" hidden="1" thickBot="1" x14ac:dyDescent="0.55000000000000004">
      <c r="A1623" s="36">
        <v>1877</v>
      </c>
      <c r="B1623" s="37" t="s">
        <v>4315</v>
      </c>
      <c r="C1623" s="37" t="s">
        <v>3217</v>
      </c>
      <c r="D1623" s="37" t="s">
        <v>2644</v>
      </c>
      <c r="E1623" s="37" t="s">
        <v>1785</v>
      </c>
      <c r="F1623" s="37" t="s">
        <v>2801</v>
      </c>
      <c r="G1623" s="37" t="s">
        <v>2801</v>
      </c>
      <c r="H1623" s="37" t="s">
        <v>2801</v>
      </c>
      <c r="I1623" s="37" t="s">
        <v>1465</v>
      </c>
      <c r="J1623" s="37" t="s">
        <v>1465</v>
      </c>
      <c r="K1623" s="37" t="s">
        <v>1465</v>
      </c>
      <c r="L1623" s="36">
        <v>1</v>
      </c>
      <c r="M1623" s="36">
        <v>1</v>
      </c>
      <c r="N1623" s="36">
        <v>1</v>
      </c>
      <c r="O1623" s="36">
        <v>2</v>
      </c>
      <c r="P1623" s="37" t="s">
        <v>292</v>
      </c>
      <c r="Q1623" s="37"/>
      <c r="R1623" s="37" t="s">
        <v>4316</v>
      </c>
    </row>
    <row r="1624" spans="1:18" ht="27.7" hidden="1" thickBot="1" x14ac:dyDescent="0.55000000000000004">
      <c r="A1624" s="36">
        <v>1878</v>
      </c>
      <c r="B1624" s="37" t="s">
        <v>4317</v>
      </c>
      <c r="C1624" s="37" t="s">
        <v>3026</v>
      </c>
      <c r="D1624" s="37" t="s">
        <v>2644</v>
      </c>
      <c r="E1624" s="37" t="s">
        <v>1785</v>
      </c>
      <c r="F1624" s="37" t="s">
        <v>1821</v>
      </c>
      <c r="G1624" s="37" t="s">
        <v>1821</v>
      </c>
      <c r="H1624" s="37" t="s">
        <v>1840</v>
      </c>
      <c r="I1624" s="37" t="s">
        <v>1465</v>
      </c>
      <c r="J1624" s="37" t="s">
        <v>1465</v>
      </c>
      <c r="K1624" s="37" t="s">
        <v>1465</v>
      </c>
      <c r="L1624" s="36">
        <v>1</v>
      </c>
      <c r="M1624" s="36">
        <v>1</v>
      </c>
      <c r="N1624" s="36">
        <v>1</v>
      </c>
      <c r="O1624" s="36">
        <v>2</v>
      </c>
      <c r="P1624" s="37" t="s">
        <v>292</v>
      </c>
      <c r="Q1624" s="37"/>
      <c r="R1624" s="37" t="s">
        <v>4318</v>
      </c>
    </row>
    <row r="1625" spans="1:18" ht="27.7" hidden="1" thickBot="1" x14ac:dyDescent="0.55000000000000004">
      <c r="A1625" s="36">
        <v>1879</v>
      </c>
      <c r="B1625" s="37" t="s">
        <v>4319</v>
      </c>
      <c r="C1625" s="37" t="s">
        <v>4295</v>
      </c>
      <c r="D1625" s="37" t="s">
        <v>2644</v>
      </c>
      <c r="E1625" s="37" t="s">
        <v>1785</v>
      </c>
      <c r="F1625" s="37" t="s">
        <v>1821</v>
      </c>
      <c r="G1625" s="37" t="s">
        <v>1821</v>
      </c>
      <c r="H1625" s="37" t="s">
        <v>1821</v>
      </c>
      <c r="I1625" s="37" t="s">
        <v>1465</v>
      </c>
      <c r="J1625" s="37" t="s">
        <v>1465</v>
      </c>
      <c r="K1625" s="37" t="s">
        <v>1465</v>
      </c>
      <c r="L1625" s="36">
        <v>1</v>
      </c>
      <c r="M1625" s="36">
        <v>1</v>
      </c>
      <c r="N1625" s="36">
        <v>1</v>
      </c>
      <c r="O1625" s="36">
        <v>2</v>
      </c>
      <c r="P1625" s="37" t="s">
        <v>292</v>
      </c>
      <c r="Q1625" s="37"/>
      <c r="R1625" s="37" t="s">
        <v>4320</v>
      </c>
    </row>
    <row r="1626" spans="1:18" ht="27.7" hidden="1" thickBot="1" x14ac:dyDescent="0.55000000000000004">
      <c r="A1626" s="36">
        <v>1880</v>
      </c>
      <c r="B1626" s="37" t="s">
        <v>4321</v>
      </c>
      <c r="C1626" s="37" t="s">
        <v>2671</v>
      </c>
      <c r="D1626" s="37" t="s">
        <v>2671</v>
      </c>
      <c r="E1626" s="37" t="s">
        <v>2672</v>
      </c>
      <c r="F1626" s="37" t="s">
        <v>2673</v>
      </c>
      <c r="G1626" s="37" t="s">
        <v>2673</v>
      </c>
      <c r="H1626" s="37" t="s">
        <v>2673</v>
      </c>
      <c r="I1626" s="37" t="s">
        <v>2530</v>
      </c>
      <c r="J1626" s="37" t="s">
        <v>2530</v>
      </c>
      <c r="K1626" s="37" t="s">
        <v>2530</v>
      </c>
      <c r="L1626" s="36">
        <v>1</v>
      </c>
      <c r="M1626" s="36">
        <v>1</v>
      </c>
      <c r="N1626" s="36">
        <v>4</v>
      </c>
      <c r="O1626" s="36">
        <v>2</v>
      </c>
      <c r="P1626" s="37" t="s">
        <v>292</v>
      </c>
      <c r="Q1626" s="37"/>
      <c r="R1626" s="37" t="s">
        <v>4322</v>
      </c>
    </row>
    <row r="1627" spans="1:18" ht="27.7" hidden="1" thickBot="1" x14ac:dyDescent="0.55000000000000004">
      <c r="A1627" s="36">
        <v>1881</v>
      </c>
      <c r="B1627" s="37" t="s">
        <v>4323</v>
      </c>
      <c r="C1627" s="37" t="s">
        <v>1578</v>
      </c>
      <c r="D1627" s="37" t="s">
        <v>1578</v>
      </c>
      <c r="E1627" s="37" t="s">
        <v>1163</v>
      </c>
      <c r="F1627" s="37" t="s">
        <v>1164</v>
      </c>
      <c r="G1627" s="37" t="s">
        <v>1164</v>
      </c>
      <c r="H1627" s="37" t="s">
        <v>1164</v>
      </c>
      <c r="I1627" s="37" t="s">
        <v>1165</v>
      </c>
      <c r="J1627" s="37" t="s">
        <v>1165</v>
      </c>
      <c r="K1627" s="37" t="s">
        <v>1165</v>
      </c>
      <c r="L1627" s="36">
        <v>2</v>
      </c>
      <c r="M1627" s="36">
        <v>2</v>
      </c>
      <c r="N1627" s="36">
        <v>2</v>
      </c>
      <c r="O1627" s="36">
        <v>3</v>
      </c>
      <c r="P1627" s="37" t="s">
        <v>292</v>
      </c>
      <c r="Q1627" s="37"/>
      <c r="R1627" s="37" t="s">
        <v>4324</v>
      </c>
    </row>
    <row r="1628" spans="1:18" ht="27.7" hidden="1" thickBot="1" x14ac:dyDescent="0.55000000000000004">
      <c r="A1628" s="36">
        <v>1882</v>
      </c>
      <c r="B1628" s="37" t="s">
        <v>4325</v>
      </c>
      <c r="C1628" s="37" t="s">
        <v>1632</v>
      </c>
      <c r="D1628" s="37" t="s">
        <v>1569</v>
      </c>
      <c r="E1628" s="37" t="s">
        <v>1163</v>
      </c>
      <c r="F1628" s="37" t="s">
        <v>1164</v>
      </c>
      <c r="G1628" s="37" t="s">
        <v>1164</v>
      </c>
      <c r="H1628" s="37" t="s">
        <v>1164</v>
      </c>
      <c r="I1628" s="37" t="s">
        <v>1165</v>
      </c>
      <c r="J1628" s="37" t="s">
        <v>1165</v>
      </c>
      <c r="K1628" s="37" t="s">
        <v>1165</v>
      </c>
      <c r="L1628" s="36">
        <v>3</v>
      </c>
      <c r="M1628" s="36">
        <v>3</v>
      </c>
      <c r="N1628" s="36">
        <v>3</v>
      </c>
      <c r="O1628" s="36">
        <v>3</v>
      </c>
      <c r="P1628" s="37" t="s">
        <v>292</v>
      </c>
      <c r="Q1628" s="37"/>
      <c r="R1628" s="37" t="s">
        <v>4326</v>
      </c>
    </row>
    <row r="1629" spans="1:18" ht="27.7" hidden="1" thickBot="1" x14ac:dyDescent="0.55000000000000004">
      <c r="A1629" s="36">
        <v>1883</v>
      </c>
      <c r="B1629" s="37" t="s">
        <v>4327</v>
      </c>
      <c r="C1629" s="37" t="s">
        <v>1574</v>
      </c>
      <c r="D1629" s="37" t="s">
        <v>1578</v>
      </c>
      <c r="E1629" s="37" t="s">
        <v>1163</v>
      </c>
      <c r="F1629" s="37" t="s">
        <v>1164</v>
      </c>
      <c r="G1629" s="37" t="s">
        <v>1164</v>
      </c>
      <c r="H1629" s="37" t="s">
        <v>1164</v>
      </c>
      <c r="I1629" s="37" t="s">
        <v>1165</v>
      </c>
      <c r="J1629" s="37" t="s">
        <v>1165</v>
      </c>
      <c r="K1629" s="37" t="s">
        <v>1165</v>
      </c>
      <c r="L1629" s="36">
        <v>2</v>
      </c>
      <c r="M1629" s="36">
        <v>2</v>
      </c>
      <c r="N1629" s="36">
        <v>2</v>
      </c>
      <c r="O1629" s="36">
        <v>3</v>
      </c>
      <c r="P1629" s="37" t="s">
        <v>292</v>
      </c>
      <c r="Q1629" s="37"/>
      <c r="R1629" s="37" t="s">
        <v>4328</v>
      </c>
    </row>
    <row r="1630" spans="1:18" ht="27.7" hidden="1" thickBot="1" x14ac:dyDescent="0.55000000000000004">
      <c r="A1630" s="36">
        <v>1884</v>
      </c>
      <c r="B1630" s="37" t="s">
        <v>4329</v>
      </c>
      <c r="C1630" s="37" t="s">
        <v>1642</v>
      </c>
      <c r="D1630" s="37" t="s">
        <v>1623</v>
      </c>
      <c r="E1630" s="37" t="s">
        <v>1163</v>
      </c>
      <c r="F1630" s="37" t="s">
        <v>1164</v>
      </c>
      <c r="G1630" s="37" t="s">
        <v>1164</v>
      </c>
      <c r="H1630" s="37" t="s">
        <v>1164</v>
      </c>
      <c r="I1630" s="37" t="s">
        <v>1165</v>
      </c>
      <c r="J1630" s="37" t="s">
        <v>1165</v>
      </c>
      <c r="K1630" s="37" t="s">
        <v>1165</v>
      </c>
      <c r="L1630" s="36">
        <v>3</v>
      </c>
      <c r="M1630" s="36">
        <v>3</v>
      </c>
      <c r="N1630" s="36">
        <v>3</v>
      </c>
      <c r="O1630" s="36">
        <v>4</v>
      </c>
      <c r="P1630" s="37" t="s">
        <v>292</v>
      </c>
      <c r="Q1630" s="37"/>
      <c r="R1630" s="37" t="s">
        <v>4330</v>
      </c>
    </row>
    <row r="1631" spans="1:18" ht="27.7" hidden="1" thickBot="1" x14ac:dyDescent="0.55000000000000004">
      <c r="A1631" s="36">
        <v>1885</v>
      </c>
      <c r="B1631" s="37" t="s">
        <v>4331</v>
      </c>
      <c r="C1631" s="37" t="s">
        <v>1642</v>
      </c>
      <c r="D1631" s="37" t="s">
        <v>1623</v>
      </c>
      <c r="E1631" s="37" t="s">
        <v>1163</v>
      </c>
      <c r="F1631" s="37" t="s">
        <v>1164</v>
      </c>
      <c r="G1631" s="37" t="s">
        <v>1164</v>
      </c>
      <c r="H1631" s="37" t="s">
        <v>1164</v>
      </c>
      <c r="I1631" s="37" t="s">
        <v>1165</v>
      </c>
      <c r="J1631" s="37" t="s">
        <v>1165</v>
      </c>
      <c r="K1631" s="37" t="s">
        <v>1165</v>
      </c>
      <c r="L1631" s="36">
        <v>3</v>
      </c>
      <c r="M1631" s="36">
        <v>3</v>
      </c>
      <c r="N1631" s="36">
        <v>3</v>
      </c>
      <c r="O1631" s="36">
        <v>4</v>
      </c>
      <c r="P1631" s="37" t="s">
        <v>292</v>
      </c>
      <c r="Q1631" s="37"/>
      <c r="R1631" s="37" t="s">
        <v>4332</v>
      </c>
    </row>
    <row r="1632" spans="1:18" ht="27.7" hidden="1" thickBot="1" x14ac:dyDescent="0.55000000000000004">
      <c r="A1632" s="36">
        <v>1886</v>
      </c>
      <c r="B1632" s="37" t="s">
        <v>4333</v>
      </c>
      <c r="C1632" s="37" t="s">
        <v>1568</v>
      </c>
      <c r="D1632" s="37" t="s">
        <v>1578</v>
      </c>
      <c r="E1632" s="37" t="s">
        <v>1163</v>
      </c>
      <c r="F1632" s="37" t="s">
        <v>1164</v>
      </c>
      <c r="G1632" s="37" t="s">
        <v>1164</v>
      </c>
      <c r="H1632" s="37" t="s">
        <v>1164</v>
      </c>
      <c r="I1632" s="37" t="s">
        <v>1165</v>
      </c>
      <c r="J1632" s="37" t="s">
        <v>1165</v>
      </c>
      <c r="K1632" s="37" t="s">
        <v>1165</v>
      </c>
      <c r="L1632" s="36">
        <v>2</v>
      </c>
      <c r="M1632" s="36">
        <v>2</v>
      </c>
      <c r="N1632" s="36">
        <v>2</v>
      </c>
      <c r="O1632" s="36">
        <v>3</v>
      </c>
      <c r="P1632" s="37" t="s">
        <v>292</v>
      </c>
      <c r="Q1632" s="37"/>
      <c r="R1632" s="37" t="s">
        <v>4334</v>
      </c>
    </row>
    <row r="1633" spans="1:18" ht="27.7" hidden="1" thickBot="1" x14ac:dyDescent="0.55000000000000004">
      <c r="A1633" s="36">
        <v>1887</v>
      </c>
      <c r="B1633" s="37" t="s">
        <v>4335</v>
      </c>
      <c r="C1633" s="37" t="s">
        <v>1573</v>
      </c>
      <c r="D1633" s="37" t="s">
        <v>1578</v>
      </c>
      <c r="E1633" s="37" t="s">
        <v>1163</v>
      </c>
      <c r="F1633" s="37" t="s">
        <v>1566</v>
      </c>
      <c r="G1633" s="37" t="s">
        <v>1566</v>
      </c>
      <c r="H1633" s="37" t="s">
        <v>1566</v>
      </c>
      <c r="I1633" s="37" t="s">
        <v>1165</v>
      </c>
      <c r="J1633" s="37" t="s">
        <v>1165</v>
      </c>
      <c r="K1633" s="37" t="s">
        <v>1165</v>
      </c>
      <c r="L1633" s="36">
        <v>2</v>
      </c>
      <c r="M1633" s="36">
        <v>2</v>
      </c>
      <c r="N1633" s="36">
        <v>2</v>
      </c>
      <c r="O1633" s="36">
        <v>3</v>
      </c>
      <c r="P1633" s="37" t="s">
        <v>292</v>
      </c>
      <c r="Q1633" s="37"/>
      <c r="R1633" s="37" t="s">
        <v>4336</v>
      </c>
    </row>
    <row r="1634" spans="1:18" ht="27.7" hidden="1" thickBot="1" x14ac:dyDescent="0.55000000000000004">
      <c r="A1634" s="36">
        <v>1888</v>
      </c>
      <c r="B1634" s="37" t="s">
        <v>4337</v>
      </c>
      <c r="C1634" s="37" t="s">
        <v>1637</v>
      </c>
      <c r="D1634" s="37" t="s">
        <v>1638</v>
      </c>
      <c r="E1634" s="37" t="s">
        <v>1163</v>
      </c>
      <c r="F1634" s="37" t="s">
        <v>1566</v>
      </c>
      <c r="G1634" s="37" t="s">
        <v>1566</v>
      </c>
      <c r="H1634" s="37" t="s">
        <v>1639</v>
      </c>
      <c r="I1634" s="37" t="s">
        <v>1165</v>
      </c>
      <c r="J1634" s="37" t="s">
        <v>1165</v>
      </c>
      <c r="K1634" s="37" t="s">
        <v>1165</v>
      </c>
      <c r="L1634" s="36">
        <v>2</v>
      </c>
      <c r="M1634" s="36">
        <v>2</v>
      </c>
      <c r="N1634" s="36">
        <v>2</v>
      </c>
      <c r="O1634" s="36">
        <v>3</v>
      </c>
      <c r="P1634" s="37" t="s">
        <v>292</v>
      </c>
      <c r="Q1634" s="37"/>
      <c r="R1634" s="37" t="s">
        <v>4338</v>
      </c>
    </row>
    <row r="1635" spans="1:18" ht="27.7" hidden="1" thickBot="1" x14ac:dyDescent="0.55000000000000004">
      <c r="A1635" s="36">
        <v>1889</v>
      </c>
      <c r="B1635" s="37" t="s">
        <v>4339</v>
      </c>
      <c r="C1635" s="37" t="s">
        <v>1582</v>
      </c>
      <c r="D1635" s="37" t="s">
        <v>1578</v>
      </c>
      <c r="E1635" s="37" t="s">
        <v>1163</v>
      </c>
      <c r="F1635" s="37" t="s">
        <v>1164</v>
      </c>
      <c r="G1635" s="37" t="s">
        <v>1164</v>
      </c>
      <c r="H1635" s="37" t="s">
        <v>1164</v>
      </c>
      <c r="I1635" s="37" t="s">
        <v>1165</v>
      </c>
      <c r="J1635" s="37" t="s">
        <v>1165</v>
      </c>
      <c r="K1635" s="37" t="s">
        <v>1165</v>
      </c>
      <c r="L1635" s="36">
        <v>1</v>
      </c>
      <c r="M1635" s="36">
        <v>1</v>
      </c>
      <c r="N1635" s="36">
        <v>1</v>
      </c>
      <c r="O1635" s="36">
        <v>1</v>
      </c>
      <c r="P1635" s="37" t="s">
        <v>292</v>
      </c>
      <c r="Q1635" s="37"/>
      <c r="R1635" s="37" t="s">
        <v>4340</v>
      </c>
    </row>
    <row r="1636" spans="1:18" ht="27.7" hidden="1" thickBot="1" x14ac:dyDescent="0.55000000000000004">
      <c r="A1636" s="36">
        <v>1890</v>
      </c>
      <c r="B1636" s="37" t="s">
        <v>4341</v>
      </c>
      <c r="C1636" s="37" t="s">
        <v>1582</v>
      </c>
      <c r="D1636" s="37" t="s">
        <v>1578</v>
      </c>
      <c r="E1636" s="37" t="s">
        <v>1163</v>
      </c>
      <c r="F1636" s="37" t="s">
        <v>1164</v>
      </c>
      <c r="G1636" s="37" t="s">
        <v>1164</v>
      </c>
      <c r="H1636" s="37" t="s">
        <v>1164</v>
      </c>
      <c r="I1636" s="37" t="s">
        <v>1165</v>
      </c>
      <c r="J1636" s="37" t="s">
        <v>1165</v>
      </c>
      <c r="K1636" s="37" t="s">
        <v>1165</v>
      </c>
      <c r="L1636" s="36">
        <v>1</v>
      </c>
      <c r="M1636" s="36">
        <v>1</v>
      </c>
      <c r="N1636" s="36">
        <v>1</v>
      </c>
      <c r="O1636" s="36">
        <v>1</v>
      </c>
      <c r="P1636" s="37" t="s">
        <v>292</v>
      </c>
      <c r="Q1636" s="37"/>
      <c r="R1636" s="37" t="s">
        <v>4342</v>
      </c>
    </row>
    <row r="1637" spans="1:18" ht="27.7" hidden="1" thickBot="1" x14ac:dyDescent="0.55000000000000004">
      <c r="A1637" s="36">
        <v>1895</v>
      </c>
      <c r="B1637" s="37" t="s">
        <v>4343</v>
      </c>
      <c r="C1637" s="37" t="s">
        <v>3429</v>
      </c>
      <c r="D1637" s="37" t="s">
        <v>3421</v>
      </c>
      <c r="E1637" s="37" t="s">
        <v>1785</v>
      </c>
      <c r="F1637" s="37" t="s">
        <v>3389</v>
      </c>
      <c r="G1637" s="37" t="s">
        <v>3389</v>
      </c>
      <c r="H1637" s="37" t="s">
        <v>3389</v>
      </c>
      <c r="I1637" s="37" t="s">
        <v>1465</v>
      </c>
      <c r="J1637" s="37" t="s">
        <v>1465</v>
      </c>
      <c r="K1637" s="37" t="s">
        <v>1465</v>
      </c>
      <c r="L1637" s="36">
        <v>1</v>
      </c>
      <c r="M1637" s="36">
        <v>1</v>
      </c>
      <c r="N1637" s="36">
        <v>1</v>
      </c>
      <c r="O1637" s="36">
        <v>2</v>
      </c>
      <c r="P1637" s="37" t="s">
        <v>292</v>
      </c>
      <c r="Q1637" s="37"/>
      <c r="R1637" s="37" t="s">
        <v>4344</v>
      </c>
    </row>
    <row r="1638" spans="1:18" ht="14.7" hidden="1" thickBot="1" x14ac:dyDescent="0.55000000000000004">
      <c r="A1638" s="36">
        <v>1896</v>
      </c>
      <c r="B1638" s="37" t="s">
        <v>4345</v>
      </c>
      <c r="C1638" s="37" t="s">
        <v>3429</v>
      </c>
      <c r="D1638" s="37" t="s">
        <v>3421</v>
      </c>
      <c r="E1638" s="37" t="s">
        <v>1785</v>
      </c>
      <c r="F1638" s="37" t="s">
        <v>3389</v>
      </c>
      <c r="G1638" s="37" t="s">
        <v>3389</v>
      </c>
      <c r="H1638" s="37" t="s">
        <v>3389</v>
      </c>
      <c r="I1638" s="37" t="s">
        <v>1465</v>
      </c>
      <c r="J1638" s="37" t="s">
        <v>1465</v>
      </c>
      <c r="K1638" s="37" t="s">
        <v>1465</v>
      </c>
      <c r="L1638" s="36">
        <v>1</v>
      </c>
      <c r="M1638" s="36">
        <v>1</v>
      </c>
      <c r="N1638" s="36">
        <v>1</v>
      </c>
      <c r="O1638" s="36">
        <v>2</v>
      </c>
      <c r="P1638" s="37" t="s">
        <v>292</v>
      </c>
      <c r="Q1638" s="37"/>
      <c r="R1638" s="37" t="s">
        <v>4346</v>
      </c>
    </row>
    <row r="1639" spans="1:18" ht="41.35" hidden="1" thickBot="1" x14ac:dyDescent="0.55000000000000004">
      <c r="A1639" s="36">
        <v>1897</v>
      </c>
      <c r="B1639" s="37" t="s">
        <v>4347</v>
      </c>
      <c r="C1639" s="37" t="s">
        <v>3429</v>
      </c>
      <c r="D1639" s="37" t="s">
        <v>3421</v>
      </c>
      <c r="E1639" s="37" t="s">
        <v>1785</v>
      </c>
      <c r="F1639" s="37" t="s">
        <v>3389</v>
      </c>
      <c r="G1639" s="37" t="s">
        <v>3389</v>
      </c>
      <c r="H1639" s="37" t="s">
        <v>3389</v>
      </c>
      <c r="I1639" s="37" t="s">
        <v>4296</v>
      </c>
      <c r="J1639" s="37" t="s">
        <v>4296</v>
      </c>
      <c r="K1639" s="37" t="s">
        <v>92</v>
      </c>
      <c r="L1639" s="36">
        <v>1</v>
      </c>
      <c r="M1639" s="36">
        <v>1</v>
      </c>
      <c r="N1639" s="36">
        <v>1</v>
      </c>
      <c r="O1639" s="36">
        <v>2</v>
      </c>
      <c r="P1639" s="37" t="s">
        <v>292</v>
      </c>
      <c r="Q1639" s="37"/>
      <c r="R1639" s="37" t="s">
        <v>4348</v>
      </c>
    </row>
    <row r="1640" spans="1:18" ht="27.7" hidden="1" thickBot="1" x14ac:dyDescent="0.55000000000000004">
      <c r="A1640" s="36">
        <v>1898</v>
      </c>
      <c r="B1640" s="37" t="s">
        <v>4349</v>
      </c>
      <c r="C1640" s="37" t="s">
        <v>3429</v>
      </c>
      <c r="D1640" s="37" t="s">
        <v>3421</v>
      </c>
      <c r="E1640" s="37" t="s">
        <v>1785</v>
      </c>
      <c r="F1640" s="37" t="s">
        <v>3389</v>
      </c>
      <c r="G1640" s="37" t="s">
        <v>3389</v>
      </c>
      <c r="H1640" s="37" t="s">
        <v>3389</v>
      </c>
      <c r="I1640" s="37" t="s">
        <v>1465</v>
      </c>
      <c r="J1640" s="37" t="s">
        <v>1465</v>
      </c>
      <c r="K1640" s="37" t="s">
        <v>1465</v>
      </c>
      <c r="L1640" s="36">
        <v>1</v>
      </c>
      <c r="M1640" s="36">
        <v>1</v>
      </c>
      <c r="N1640" s="36">
        <v>1</v>
      </c>
      <c r="O1640" s="36">
        <v>2</v>
      </c>
      <c r="P1640" s="37" t="s">
        <v>292</v>
      </c>
      <c r="Q1640" s="37"/>
      <c r="R1640" s="37" t="s">
        <v>4350</v>
      </c>
    </row>
    <row r="1641" spans="1:18" ht="14.7" hidden="1" thickBot="1" x14ac:dyDescent="0.55000000000000004">
      <c r="A1641" s="36">
        <v>1899</v>
      </c>
      <c r="B1641" s="37" t="s">
        <v>3453</v>
      </c>
      <c r="C1641" s="37" t="s">
        <v>3453</v>
      </c>
      <c r="D1641" s="37" t="s">
        <v>3421</v>
      </c>
      <c r="E1641" s="37" t="s">
        <v>1785</v>
      </c>
      <c r="F1641" s="37" t="s">
        <v>2801</v>
      </c>
      <c r="G1641" s="37" t="s">
        <v>2801</v>
      </c>
      <c r="H1641" s="37" t="s">
        <v>2801</v>
      </c>
      <c r="I1641" s="37" t="s">
        <v>1465</v>
      </c>
      <c r="J1641" s="37" t="s">
        <v>1465</v>
      </c>
      <c r="K1641" s="37" t="s">
        <v>1465</v>
      </c>
      <c r="L1641" s="36">
        <v>1</v>
      </c>
      <c r="M1641" s="36">
        <v>1</v>
      </c>
      <c r="N1641" s="36">
        <v>1</v>
      </c>
      <c r="O1641" s="36">
        <v>2</v>
      </c>
      <c r="P1641" s="37" t="s">
        <v>292</v>
      </c>
      <c r="Q1641" s="37"/>
      <c r="R1641" s="37" t="s">
        <v>4351</v>
      </c>
    </row>
    <row r="1642" spans="1:18" ht="14.7" hidden="1" thickBot="1" x14ac:dyDescent="0.55000000000000004">
      <c r="A1642" s="36">
        <v>1900</v>
      </c>
      <c r="B1642" s="37" t="s">
        <v>4352</v>
      </c>
      <c r="C1642" s="37" t="s">
        <v>3453</v>
      </c>
      <c r="D1642" s="37" t="s">
        <v>3421</v>
      </c>
      <c r="E1642" s="37" t="s">
        <v>1785</v>
      </c>
      <c r="F1642" s="37" t="s">
        <v>2801</v>
      </c>
      <c r="G1642" s="37" t="s">
        <v>2801</v>
      </c>
      <c r="H1642" s="37" t="s">
        <v>2801</v>
      </c>
      <c r="I1642" s="37" t="s">
        <v>1465</v>
      </c>
      <c r="J1642" s="37" t="s">
        <v>1465</v>
      </c>
      <c r="K1642" s="37" t="s">
        <v>1465</v>
      </c>
      <c r="L1642" s="36">
        <v>1</v>
      </c>
      <c r="M1642" s="36">
        <v>1</v>
      </c>
      <c r="N1642" s="36">
        <v>1</v>
      </c>
      <c r="O1642" s="36">
        <v>2</v>
      </c>
      <c r="P1642" s="37" t="s">
        <v>292</v>
      </c>
      <c r="Q1642" s="37"/>
      <c r="R1642" s="37" t="s">
        <v>4353</v>
      </c>
    </row>
    <row r="1643" spans="1:18" ht="27.7" hidden="1" thickBot="1" x14ac:dyDescent="0.55000000000000004">
      <c r="A1643" s="36">
        <v>1901</v>
      </c>
      <c r="B1643" s="37" t="s">
        <v>4354</v>
      </c>
      <c r="C1643" s="37" t="s">
        <v>3453</v>
      </c>
      <c r="D1643" s="37" t="s">
        <v>3421</v>
      </c>
      <c r="E1643" s="37" t="s">
        <v>1785</v>
      </c>
      <c r="F1643" s="37" t="s">
        <v>2801</v>
      </c>
      <c r="G1643" s="37" t="s">
        <v>2801</v>
      </c>
      <c r="H1643" s="37" t="s">
        <v>2801</v>
      </c>
      <c r="I1643" s="37" t="s">
        <v>1465</v>
      </c>
      <c r="J1643" s="37" t="s">
        <v>1465</v>
      </c>
      <c r="K1643" s="37" t="s">
        <v>1465</v>
      </c>
      <c r="L1643" s="36">
        <v>1</v>
      </c>
      <c r="M1643" s="36">
        <v>1</v>
      </c>
      <c r="N1643" s="36">
        <v>1</v>
      </c>
      <c r="O1643" s="36">
        <v>2</v>
      </c>
      <c r="P1643" s="37" t="s">
        <v>292</v>
      </c>
      <c r="Q1643" s="37"/>
      <c r="R1643" s="37" t="s">
        <v>4355</v>
      </c>
    </row>
    <row r="1644" spans="1:18" ht="27.7" hidden="1" thickBot="1" x14ac:dyDescent="0.55000000000000004">
      <c r="A1644" s="36">
        <v>1902</v>
      </c>
      <c r="B1644" s="37" t="s">
        <v>4356</v>
      </c>
      <c r="C1644" s="37" t="s">
        <v>3448</v>
      </c>
      <c r="D1644" s="37" t="s">
        <v>3421</v>
      </c>
      <c r="E1644" s="37" t="s">
        <v>1785</v>
      </c>
      <c r="F1644" s="37" t="s">
        <v>3389</v>
      </c>
      <c r="G1644" s="37" t="s">
        <v>3389</v>
      </c>
      <c r="H1644" s="37" t="s">
        <v>3389</v>
      </c>
      <c r="I1644" s="37" t="s">
        <v>1465</v>
      </c>
      <c r="J1644" s="37" t="s">
        <v>1465</v>
      </c>
      <c r="K1644" s="37" t="s">
        <v>1465</v>
      </c>
      <c r="L1644" s="36">
        <v>1</v>
      </c>
      <c r="M1644" s="36">
        <v>1</v>
      </c>
      <c r="N1644" s="36">
        <v>1</v>
      </c>
      <c r="O1644" s="36">
        <v>2</v>
      </c>
      <c r="P1644" s="37" t="s">
        <v>292</v>
      </c>
      <c r="Q1644" s="37"/>
      <c r="R1644" s="37" t="s">
        <v>4357</v>
      </c>
    </row>
    <row r="1645" spans="1:18" ht="27.7" hidden="1" thickBot="1" x14ac:dyDescent="0.55000000000000004">
      <c r="A1645" s="36">
        <v>1903</v>
      </c>
      <c r="B1645" s="37" t="s">
        <v>4358</v>
      </c>
      <c r="C1645" s="37" t="s">
        <v>3448</v>
      </c>
      <c r="D1645" s="37" t="s">
        <v>3421</v>
      </c>
      <c r="E1645" s="37" t="s">
        <v>1785</v>
      </c>
      <c r="F1645" s="37" t="s">
        <v>3389</v>
      </c>
      <c r="G1645" s="37" t="s">
        <v>3389</v>
      </c>
      <c r="H1645" s="37" t="s">
        <v>3389</v>
      </c>
      <c r="I1645" s="37" t="s">
        <v>1465</v>
      </c>
      <c r="J1645" s="37" t="s">
        <v>1465</v>
      </c>
      <c r="K1645" s="37" t="s">
        <v>1465</v>
      </c>
      <c r="L1645" s="36">
        <v>1</v>
      </c>
      <c r="M1645" s="36">
        <v>1</v>
      </c>
      <c r="N1645" s="36">
        <v>1</v>
      </c>
      <c r="O1645" s="36">
        <v>2</v>
      </c>
      <c r="P1645" s="37" t="s">
        <v>292</v>
      </c>
      <c r="Q1645" s="37"/>
      <c r="R1645" s="37" t="s">
        <v>4359</v>
      </c>
    </row>
    <row r="1646" spans="1:18" ht="14.7" hidden="1" thickBot="1" x14ac:dyDescent="0.55000000000000004">
      <c r="A1646" s="36">
        <v>1904</v>
      </c>
      <c r="B1646" s="37" t="s">
        <v>4360</v>
      </c>
      <c r="C1646" s="37" t="s">
        <v>3448</v>
      </c>
      <c r="D1646" s="37" t="s">
        <v>3421</v>
      </c>
      <c r="E1646" s="37" t="s">
        <v>1785</v>
      </c>
      <c r="F1646" s="37" t="s">
        <v>3389</v>
      </c>
      <c r="G1646" s="37" t="s">
        <v>3389</v>
      </c>
      <c r="H1646" s="37" t="s">
        <v>3389</v>
      </c>
      <c r="I1646" s="37" t="s">
        <v>1465</v>
      </c>
      <c r="J1646" s="37" t="s">
        <v>1465</v>
      </c>
      <c r="K1646" s="37" t="s">
        <v>1465</v>
      </c>
      <c r="L1646" s="36">
        <v>1</v>
      </c>
      <c r="M1646" s="36">
        <v>1</v>
      </c>
      <c r="N1646" s="36">
        <v>1</v>
      </c>
      <c r="O1646" s="36">
        <v>2</v>
      </c>
      <c r="P1646" s="37" t="s">
        <v>292</v>
      </c>
      <c r="Q1646" s="37"/>
      <c r="R1646" s="37" t="s">
        <v>4361</v>
      </c>
    </row>
    <row r="1647" spans="1:18" ht="27.7" hidden="1" thickBot="1" x14ac:dyDescent="0.55000000000000004">
      <c r="A1647" s="36">
        <v>1905</v>
      </c>
      <c r="B1647" s="37" t="s">
        <v>4362</v>
      </c>
      <c r="C1647" s="37" t="s">
        <v>3443</v>
      </c>
      <c r="D1647" s="37" t="s">
        <v>3421</v>
      </c>
      <c r="E1647" s="37" t="s">
        <v>1785</v>
      </c>
      <c r="F1647" s="37" t="s">
        <v>3389</v>
      </c>
      <c r="G1647" s="37" t="s">
        <v>3389</v>
      </c>
      <c r="H1647" s="37" t="s">
        <v>3389</v>
      </c>
      <c r="I1647" s="37" t="s">
        <v>1465</v>
      </c>
      <c r="J1647" s="37" t="s">
        <v>1465</v>
      </c>
      <c r="K1647" s="37" t="s">
        <v>1465</v>
      </c>
      <c r="L1647" s="36">
        <v>1</v>
      </c>
      <c r="M1647" s="36">
        <v>1</v>
      </c>
      <c r="N1647" s="36">
        <v>1</v>
      </c>
      <c r="O1647" s="36">
        <v>2</v>
      </c>
      <c r="P1647" s="37" t="s">
        <v>292</v>
      </c>
      <c r="Q1647" s="37"/>
      <c r="R1647" s="37" t="s">
        <v>4363</v>
      </c>
    </row>
    <row r="1648" spans="1:18" ht="14.7" hidden="1" thickBot="1" x14ac:dyDescent="0.55000000000000004">
      <c r="A1648" s="36">
        <v>1906</v>
      </c>
      <c r="B1648" s="37" t="s">
        <v>3443</v>
      </c>
      <c r="C1648" s="37" t="s">
        <v>3443</v>
      </c>
      <c r="D1648" s="37" t="s">
        <v>3421</v>
      </c>
      <c r="E1648" s="37" t="s">
        <v>1785</v>
      </c>
      <c r="F1648" s="37" t="s">
        <v>3389</v>
      </c>
      <c r="G1648" s="37" t="s">
        <v>3389</v>
      </c>
      <c r="H1648" s="37" t="s">
        <v>3389</v>
      </c>
      <c r="I1648" s="37" t="s">
        <v>1465</v>
      </c>
      <c r="J1648" s="37" t="s">
        <v>1465</v>
      </c>
      <c r="K1648" s="37" t="s">
        <v>1465</v>
      </c>
      <c r="L1648" s="36">
        <v>1</v>
      </c>
      <c r="M1648" s="36">
        <v>1</v>
      </c>
      <c r="N1648" s="36">
        <v>1</v>
      </c>
      <c r="O1648" s="36">
        <v>2</v>
      </c>
      <c r="P1648" s="37" t="s">
        <v>292</v>
      </c>
      <c r="Q1648" s="37"/>
      <c r="R1648" s="37" t="s">
        <v>4364</v>
      </c>
    </row>
    <row r="1649" spans="1:18" ht="27.7" hidden="1" thickBot="1" x14ac:dyDescent="0.55000000000000004">
      <c r="A1649" s="36">
        <v>1907</v>
      </c>
      <c r="B1649" s="37" t="s">
        <v>4365</v>
      </c>
      <c r="C1649" s="37" t="s">
        <v>3443</v>
      </c>
      <c r="D1649" s="37" t="s">
        <v>3421</v>
      </c>
      <c r="E1649" s="37" t="s">
        <v>1785</v>
      </c>
      <c r="F1649" s="37" t="s">
        <v>3389</v>
      </c>
      <c r="G1649" s="37" t="s">
        <v>3389</v>
      </c>
      <c r="H1649" s="37" t="s">
        <v>3389</v>
      </c>
      <c r="I1649" s="37" t="s">
        <v>1465</v>
      </c>
      <c r="J1649" s="37" t="s">
        <v>1465</v>
      </c>
      <c r="K1649" s="37" t="s">
        <v>1465</v>
      </c>
      <c r="L1649" s="36">
        <v>1</v>
      </c>
      <c r="M1649" s="36">
        <v>1</v>
      </c>
      <c r="N1649" s="36">
        <v>1</v>
      </c>
      <c r="O1649" s="36">
        <v>2</v>
      </c>
      <c r="P1649" s="37" t="s">
        <v>292</v>
      </c>
      <c r="Q1649" s="37"/>
      <c r="R1649" s="37" t="s">
        <v>4366</v>
      </c>
    </row>
    <row r="1650" spans="1:18" ht="27.7" hidden="1" thickBot="1" x14ac:dyDescent="0.55000000000000004">
      <c r="A1650" s="36">
        <v>1908</v>
      </c>
      <c r="B1650" s="37" t="s">
        <v>4367</v>
      </c>
      <c r="C1650" s="37" t="s">
        <v>3443</v>
      </c>
      <c r="D1650" s="37" t="s">
        <v>3421</v>
      </c>
      <c r="E1650" s="37" t="s">
        <v>1785</v>
      </c>
      <c r="F1650" s="37" t="s">
        <v>3389</v>
      </c>
      <c r="G1650" s="37" t="s">
        <v>3389</v>
      </c>
      <c r="H1650" s="37" t="s">
        <v>3389</v>
      </c>
      <c r="I1650" s="37" t="s">
        <v>1465</v>
      </c>
      <c r="J1650" s="37" t="s">
        <v>1465</v>
      </c>
      <c r="K1650" s="37" t="s">
        <v>1465</v>
      </c>
      <c r="L1650" s="36">
        <v>1</v>
      </c>
      <c r="M1650" s="36">
        <v>1</v>
      </c>
      <c r="N1650" s="36">
        <v>1</v>
      </c>
      <c r="O1650" s="36">
        <v>2</v>
      </c>
      <c r="P1650" s="37" t="s">
        <v>292</v>
      </c>
      <c r="Q1650" s="37"/>
      <c r="R1650" s="37" t="s">
        <v>4368</v>
      </c>
    </row>
    <row r="1651" spans="1:18" ht="27.7" hidden="1" thickBot="1" x14ac:dyDescent="0.55000000000000004">
      <c r="A1651" s="36">
        <v>1909</v>
      </c>
      <c r="B1651" s="37" t="s">
        <v>4369</v>
      </c>
      <c r="C1651" s="37" t="s">
        <v>3432</v>
      </c>
      <c r="D1651" s="37" t="s">
        <v>3421</v>
      </c>
      <c r="E1651" s="37" t="s">
        <v>1785</v>
      </c>
      <c r="F1651" s="37" t="s">
        <v>3389</v>
      </c>
      <c r="G1651" s="37" t="s">
        <v>3389</v>
      </c>
      <c r="H1651" s="37" t="s">
        <v>3389</v>
      </c>
      <c r="I1651" s="37" t="s">
        <v>1465</v>
      </c>
      <c r="J1651" s="37" t="s">
        <v>1465</v>
      </c>
      <c r="K1651" s="37" t="s">
        <v>1465</v>
      </c>
      <c r="L1651" s="36">
        <v>1</v>
      </c>
      <c r="M1651" s="36">
        <v>1</v>
      </c>
      <c r="N1651" s="36">
        <v>1</v>
      </c>
      <c r="O1651" s="36">
        <v>2</v>
      </c>
      <c r="P1651" s="37" t="s">
        <v>292</v>
      </c>
      <c r="Q1651" s="37"/>
      <c r="R1651" s="37" t="s">
        <v>4370</v>
      </c>
    </row>
    <row r="1652" spans="1:18" ht="27.7" hidden="1" thickBot="1" x14ac:dyDescent="0.55000000000000004">
      <c r="A1652" s="36">
        <v>1910</v>
      </c>
      <c r="B1652" s="37" t="s">
        <v>4371</v>
      </c>
      <c r="C1652" s="37" t="s">
        <v>3432</v>
      </c>
      <c r="D1652" s="37" t="s">
        <v>3421</v>
      </c>
      <c r="E1652" s="37" t="s">
        <v>1785</v>
      </c>
      <c r="F1652" s="37" t="s">
        <v>3389</v>
      </c>
      <c r="G1652" s="37" t="s">
        <v>3389</v>
      </c>
      <c r="H1652" s="37" t="s">
        <v>3389</v>
      </c>
      <c r="I1652" s="37" t="s">
        <v>1465</v>
      </c>
      <c r="J1652" s="37" t="s">
        <v>1465</v>
      </c>
      <c r="K1652" s="37" t="s">
        <v>1465</v>
      </c>
      <c r="L1652" s="36">
        <v>1</v>
      </c>
      <c r="M1652" s="36">
        <v>1</v>
      </c>
      <c r="N1652" s="36">
        <v>1</v>
      </c>
      <c r="O1652" s="36">
        <v>2</v>
      </c>
      <c r="P1652" s="37" t="s">
        <v>292</v>
      </c>
      <c r="Q1652" s="37"/>
      <c r="R1652" s="37" t="s">
        <v>4372</v>
      </c>
    </row>
    <row r="1653" spans="1:18" ht="41.35" hidden="1" thickBot="1" x14ac:dyDescent="0.55000000000000004">
      <c r="A1653" s="36">
        <v>1911</v>
      </c>
      <c r="B1653" s="37" t="s">
        <v>4373</v>
      </c>
      <c r="C1653" s="37" t="s">
        <v>3432</v>
      </c>
      <c r="D1653" s="37" t="s">
        <v>3421</v>
      </c>
      <c r="E1653" s="37" t="s">
        <v>1785</v>
      </c>
      <c r="F1653" s="37" t="s">
        <v>2801</v>
      </c>
      <c r="G1653" s="37" t="s">
        <v>2801</v>
      </c>
      <c r="H1653" s="37" t="s">
        <v>2801</v>
      </c>
      <c r="I1653" s="37" t="s">
        <v>1465</v>
      </c>
      <c r="J1653" s="37" t="s">
        <v>1465</v>
      </c>
      <c r="K1653" s="37" t="s">
        <v>1465</v>
      </c>
      <c r="L1653" s="36">
        <v>1</v>
      </c>
      <c r="M1653" s="36">
        <v>1</v>
      </c>
      <c r="N1653" s="36">
        <v>1</v>
      </c>
      <c r="O1653" s="36">
        <v>2</v>
      </c>
      <c r="P1653" s="37" t="s">
        <v>292</v>
      </c>
      <c r="Q1653" s="37"/>
      <c r="R1653" s="37" t="s">
        <v>4374</v>
      </c>
    </row>
    <row r="1654" spans="1:18" ht="27.7" hidden="1" thickBot="1" x14ac:dyDescent="0.55000000000000004">
      <c r="A1654" s="36">
        <v>1912</v>
      </c>
      <c r="B1654" s="37" t="s">
        <v>4375</v>
      </c>
      <c r="C1654" s="37" t="s">
        <v>3440</v>
      </c>
      <c r="D1654" s="37" t="s">
        <v>3421</v>
      </c>
      <c r="E1654" s="37" t="s">
        <v>1785</v>
      </c>
      <c r="F1654" s="37" t="s">
        <v>3389</v>
      </c>
      <c r="G1654" s="37" t="s">
        <v>3437</v>
      </c>
      <c r="H1654" s="37" t="s">
        <v>3437</v>
      </c>
      <c r="I1654" s="37" t="s">
        <v>4296</v>
      </c>
      <c r="J1654" s="37" t="s">
        <v>1465</v>
      </c>
      <c r="K1654" s="37" t="s">
        <v>1465</v>
      </c>
      <c r="L1654" s="36">
        <v>1</v>
      </c>
      <c r="M1654" s="36">
        <v>1</v>
      </c>
      <c r="N1654" s="36">
        <v>1</v>
      </c>
      <c r="O1654" s="36">
        <v>2</v>
      </c>
      <c r="P1654" s="37" t="s">
        <v>292</v>
      </c>
      <c r="Q1654" s="37"/>
      <c r="R1654" s="37" t="s">
        <v>4376</v>
      </c>
    </row>
    <row r="1655" spans="1:18" ht="41.35" hidden="1" thickBot="1" x14ac:dyDescent="0.55000000000000004">
      <c r="A1655" s="36">
        <v>1913</v>
      </c>
      <c r="B1655" s="37" t="s">
        <v>4377</v>
      </c>
      <c r="C1655" s="37" t="s">
        <v>3440</v>
      </c>
      <c r="D1655" s="37" t="s">
        <v>3421</v>
      </c>
      <c r="E1655" s="37" t="s">
        <v>1785</v>
      </c>
      <c r="F1655" s="37" t="s">
        <v>3389</v>
      </c>
      <c r="G1655" s="37" t="s">
        <v>3437</v>
      </c>
      <c r="H1655" s="37" t="s">
        <v>3437</v>
      </c>
      <c r="I1655" s="37" t="s">
        <v>4296</v>
      </c>
      <c r="J1655" s="37" t="s">
        <v>1465</v>
      </c>
      <c r="K1655" s="37" t="s">
        <v>1465</v>
      </c>
      <c r="L1655" s="36">
        <v>1</v>
      </c>
      <c r="M1655" s="36">
        <v>1</v>
      </c>
      <c r="N1655" s="36">
        <v>1</v>
      </c>
      <c r="O1655" s="36">
        <v>2</v>
      </c>
      <c r="P1655" s="37" t="s">
        <v>292</v>
      </c>
      <c r="Q1655" s="37"/>
      <c r="R1655" s="37" t="s">
        <v>4378</v>
      </c>
    </row>
    <row r="1656" spans="1:18" ht="27.7" hidden="1" thickBot="1" x14ac:dyDescent="0.55000000000000004">
      <c r="A1656" s="36">
        <v>1914</v>
      </c>
      <c r="B1656" s="37" t="s">
        <v>4379</v>
      </c>
      <c r="C1656" s="37" t="s">
        <v>3440</v>
      </c>
      <c r="D1656" s="37" t="s">
        <v>3421</v>
      </c>
      <c r="E1656" s="37" t="s">
        <v>1785</v>
      </c>
      <c r="F1656" s="37" t="s">
        <v>3389</v>
      </c>
      <c r="G1656" s="37" t="s">
        <v>3437</v>
      </c>
      <c r="H1656" s="37" t="s">
        <v>3437</v>
      </c>
      <c r="I1656" s="37" t="s">
        <v>4296</v>
      </c>
      <c r="J1656" s="37" t="s">
        <v>1465</v>
      </c>
      <c r="K1656" s="37" t="s">
        <v>1465</v>
      </c>
      <c r="L1656" s="36">
        <v>1</v>
      </c>
      <c r="M1656" s="36">
        <v>1</v>
      </c>
      <c r="N1656" s="36">
        <v>1</v>
      </c>
      <c r="O1656" s="36">
        <v>2</v>
      </c>
      <c r="P1656" s="37" t="s">
        <v>292</v>
      </c>
      <c r="Q1656" s="37"/>
      <c r="R1656" s="37" t="s">
        <v>4380</v>
      </c>
    </row>
    <row r="1657" spans="1:18" ht="27.7" hidden="1" thickBot="1" x14ac:dyDescent="0.55000000000000004">
      <c r="A1657" s="36">
        <v>1915</v>
      </c>
      <c r="B1657" s="37" t="s">
        <v>4381</v>
      </c>
      <c r="C1657" s="37" t="s">
        <v>3440</v>
      </c>
      <c r="D1657" s="37" t="s">
        <v>3421</v>
      </c>
      <c r="E1657" s="37" t="s">
        <v>1785</v>
      </c>
      <c r="F1657" s="37" t="s">
        <v>3389</v>
      </c>
      <c r="G1657" s="37" t="s">
        <v>3437</v>
      </c>
      <c r="H1657" s="37" t="s">
        <v>3437</v>
      </c>
      <c r="I1657" s="37" t="s">
        <v>4296</v>
      </c>
      <c r="J1657" s="37" t="s">
        <v>1465</v>
      </c>
      <c r="K1657" s="37" t="s">
        <v>1465</v>
      </c>
      <c r="L1657" s="36">
        <v>1</v>
      </c>
      <c r="M1657" s="36">
        <v>1</v>
      </c>
      <c r="N1657" s="36">
        <v>1</v>
      </c>
      <c r="O1657" s="36">
        <v>2</v>
      </c>
      <c r="P1657" s="37" t="s">
        <v>292</v>
      </c>
      <c r="Q1657" s="37"/>
      <c r="R1657" s="37" t="s">
        <v>4382</v>
      </c>
    </row>
    <row r="1658" spans="1:18" ht="27.7" hidden="1" thickBot="1" x14ac:dyDescent="0.55000000000000004">
      <c r="A1658" s="36">
        <v>1916</v>
      </c>
      <c r="B1658" s="37" t="s">
        <v>4383</v>
      </c>
      <c r="C1658" s="37" t="s">
        <v>3434</v>
      </c>
      <c r="D1658" s="37" t="s">
        <v>3421</v>
      </c>
      <c r="E1658" s="37" t="s">
        <v>1785</v>
      </c>
      <c r="F1658" s="37" t="s">
        <v>3389</v>
      </c>
      <c r="G1658" s="37" t="s">
        <v>3389</v>
      </c>
      <c r="H1658" s="37" t="s">
        <v>3389</v>
      </c>
      <c r="I1658" s="37" t="s">
        <v>1465</v>
      </c>
      <c r="J1658" s="37" t="s">
        <v>1465</v>
      </c>
      <c r="K1658" s="37" t="s">
        <v>1465</v>
      </c>
      <c r="L1658" s="36">
        <v>1</v>
      </c>
      <c r="M1658" s="36">
        <v>1</v>
      </c>
      <c r="N1658" s="36">
        <v>1</v>
      </c>
      <c r="O1658" s="36">
        <v>2</v>
      </c>
      <c r="P1658" s="37" t="s">
        <v>292</v>
      </c>
      <c r="Q1658" s="37"/>
      <c r="R1658" s="37" t="s">
        <v>4384</v>
      </c>
    </row>
    <row r="1659" spans="1:18" ht="27.7" hidden="1" thickBot="1" x14ac:dyDescent="0.55000000000000004">
      <c r="A1659" s="36">
        <v>1917</v>
      </c>
      <c r="B1659" s="37" t="s">
        <v>4385</v>
      </c>
      <c r="C1659" s="37" t="s">
        <v>3434</v>
      </c>
      <c r="D1659" s="37" t="s">
        <v>3421</v>
      </c>
      <c r="E1659" s="37" t="s">
        <v>1785</v>
      </c>
      <c r="F1659" s="37" t="s">
        <v>3389</v>
      </c>
      <c r="G1659" s="37" t="s">
        <v>3389</v>
      </c>
      <c r="H1659" s="37" t="s">
        <v>3389</v>
      </c>
      <c r="I1659" s="37" t="s">
        <v>1465</v>
      </c>
      <c r="J1659" s="37" t="s">
        <v>1465</v>
      </c>
      <c r="K1659" s="37" t="s">
        <v>1465</v>
      </c>
      <c r="L1659" s="36">
        <v>1</v>
      </c>
      <c r="M1659" s="36">
        <v>1</v>
      </c>
      <c r="N1659" s="36">
        <v>1</v>
      </c>
      <c r="O1659" s="36">
        <v>2</v>
      </c>
      <c r="P1659" s="37" t="s">
        <v>292</v>
      </c>
      <c r="Q1659" s="37"/>
      <c r="R1659" s="37" t="s">
        <v>4386</v>
      </c>
    </row>
    <row r="1660" spans="1:18" ht="27.7" hidden="1" thickBot="1" x14ac:dyDescent="0.55000000000000004">
      <c r="A1660" s="36">
        <v>1918</v>
      </c>
      <c r="B1660" s="37" t="s">
        <v>4387</v>
      </c>
      <c r="C1660" s="37" t="s">
        <v>3434</v>
      </c>
      <c r="D1660" s="37" t="s">
        <v>3421</v>
      </c>
      <c r="E1660" s="37" t="s">
        <v>1785</v>
      </c>
      <c r="F1660" s="37" t="s">
        <v>3389</v>
      </c>
      <c r="G1660" s="37" t="s">
        <v>3389</v>
      </c>
      <c r="H1660" s="37" t="s">
        <v>3389</v>
      </c>
      <c r="I1660" s="37" t="s">
        <v>1465</v>
      </c>
      <c r="J1660" s="37" t="s">
        <v>1465</v>
      </c>
      <c r="K1660" s="37" t="s">
        <v>1465</v>
      </c>
      <c r="L1660" s="36">
        <v>1</v>
      </c>
      <c r="M1660" s="36">
        <v>1</v>
      </c>
      <c r="N1660" s="36">
        <v>1</v>
      </c>
      <c r="O1660" s="36">
        <v>2</v>
      </c>
      <c r="P1660" s="37" t="s">
        <v>292</v>
      </c>
      <c r="Q1660" s="37"/>
      <c r="R1660" s="37" t="s">
        <v>4388</v>
      </c>
    </row>
    <row r="1661" spans="1:18" ht="14.7" hidden="1" thickBot="1" x14ac:dyDescent="0.55000000000000004">
      <c r="A1661" s="36">
        <v>1919</v>
      </c>
      <c r="B1661" s="37" t="s">
        <v>3594</v>
      </c>
      <c r="C1661" s="37" t="s">
        <v>3594</v>
      </c>
      <c r="D1661" s="37" t="s">
        <v>3421</v>
      </c>
      <c r="E1661" s="37" t="s">
        <v>1785</v>
      </c>
      <c r="F1661" s="37" t="s">
        <v>3389</v>
      </c>
      <c r="G1661" s="37" t="s">
        <v>3389</v>
      </c>
      <c r="H1661" s="37" t="s">
        <v>3324</v>
      </c>
      <c r="I1661" s="37" t="s">
        <v>1465</v>
      </c>
      <c r="J1661" s="37" t="s">
        <v>1465</v>
      </c>
      <c r="K1661" s="37" t="s">
        <v>92</v>
      </c>
      <c r="L1661" s="36">
        <v>1</v>
      </c>
      <c r="M1661" s="36">
        <v>1</v>
      </c>
      <c r="N1661" s="36">
        <v>1</v>
      </c>
      <c r="O1661" s="36">
        <v>2</v>
      </c>
      <c r="P1661" s="37" t="s">
        <v>292</v>
      </c>
      <c r="Q1661" s="37"/>
      <c r="R1661" s="37" t="s">
        <v>4389</v>
      </c>
    </row>
    <row r="1662" spans="1:18" ht="27.7" hidden="1" thickBot="1" x14ac:dyDescent="0.55000000000000004">
      <c r="A1662" s="36">
        <v>1920</v>
      </c>
      <c r="B1662" s="37" t="s">
        <v>4390</v>
      </c>
      <c r="C1662" s="37" t="s">
        <v>4391</v>
      </c>
      <c r="D1662" s="37" t="s">
        <v>3421</v>
      </c>
      <c r="E1662" s="37" t="s">
        <v>1785</v>
      </c>
      <c r="F1662" s="37" t="s">
        <v>3389</v>
      </c>
      <c r="G1662" s="37" t="s">
        <v>3437</v>
      </c>
      <c r="H1662" s="37" t="s">
        <v>3437</v>
      </c>
      <c r="I1662" s="37" t="s">
        <v>4296</v>
      </c>
      <c r="J1662" s="37" t="s">
        <v>1465</v>
      </c>
      <c r="K1662" s="37" t="s">
        <v>1465</v>
      </c>
      <c r="L1662" s="36">
        <v>1</v>
      </c>
      <c r="M1662" s="36">
        <v>1</v>
      </c>
      <c r="N1662" s="36">
        <v>1</v>
      </c>
      <c r="O1662" s="36">
        <v>2</v>
      </c>
      <c r="P1662" s="37" t="s">
        <v>292</v>
      </c>
      <c r="Q1662" s="37"/>
      <c r="R1662" s="37" t="s">
        <v>4392</v>
      </c>
    </row>
    <row r="1663" spans="1:18" ht="27.7" hidden="1" thickBot="1" x14ac:dyDescent="0.55000000000000004">
      <c r="A1663" s="36">
        <v>1921</v>
      </c>
      <c r="B1663" s="37" t="s">
        <v>4393</v>
      </c>
      <c r="C1663" s="37" t="s">
        <v>3445</v>
      </c>
      <c r="D1663" s="37" t="s">
        <v>3421</v>
      </c>
      <c r="E1663" s="37" t="s">
        <v>1785</v>
      </c>
      <c r="F1663" s="37" t="s">
        <v>3389</v>
      </c>
      <c r="G1663" s="37" t="s">
        <v>3389</v>
      </c>
      <c r="H1663" s="37" t="s">
        <v>3389</v>
      </c>
      <c r="I1663" s="37" t="s">
        <v>1465</v>
      </c>
      <c r="J1663" s="37" t="s">
        <v>1465</v>
      </c>
      <c r="K1663" s="37" t="s">
        <v>1465</v>
      </c>
      <c r="L1663" s="36">
        <v>1</v>
      </c>
      <c r="M1663" s="36">
        <v>1</v>
      </c>
      <c r="N1663" s="36">
        <v>1</v>
      </c>
      <c r="O1663" s="36">
        <v>2</v>
      </c>
      <c r="P1663" s="37" t="s">
        <v>292</v>
      </c>
      <c r="Q1663" s="37"/>
      <c r="R1663" s="37" t="s">
        <v>4394</v>
      </c>
    </row>
    <row r="1664" spans="1:18" ht="14.7" hidden="1" thickBot="1" x14ac:dyDescent="0.55000000000000004">
      <c r="A1664" s="36">
        <v>1922</v>
      </c>
      <c r="B1664" s="37" t="s">
        <v>4395</v>
      </c>
      <c r="C1664" s="37" t="s">
        <v>3445</v>
      </c>
      <c r="D1664" s="37" t="s">
        <v>3421</v>
      </c>
      <c r="E1664" s="37" t="s">
        <v>1785</v>
      </c>
      <c r="F1664" s="37" t="s">
        <v>3389</v>
      </c>
      <c r="G1664" s="37" t="s">
        <v>3389</v>
      </c>
      <c r="H1664" s="37" t="s">
        <v>3389</v>
      </c>
      <c r="I1664" s="37" t="s">
        <v>1465</v>
      </c>
      <c r="J1664" s="37" t="s">
        <v>1465</v>
      </c>
      <c r="K1664" s="37" t="s">
        <v>1465</v>
      </c>
      <c r="L1664" s="36">
        <v>1</v>
      </c>
      <c r="M1664" s="36">
        <v>1</v>
      </c>
      <c r="N1664" s="36">
        <v>1</v>
      </c>
      <c r="O1664" s="36">
        <v>2</v>
      </c>
      <c r="P1664" s="37" t="s">
        <v>292</v>
      </c>
      <c r="Q1664" s="37"/>
      <c r="R1664" s="37" t="s">
        <v>4396</v>
      </c>
    </row>
    <row r="1665" spans="1:18" ht="14.7" hidden="1" thickBot="1" x14ac:dyDescent="0.55000000000000004">
      <c r="A1665" s="36">
        <v>1923</v>
      </c>
      <c r="B1665" s="37" t="s">
        <v>4397</v>
      </c>
      <c r="C1665" s="37" t="s">
        <v>3445</v>
      </c>
      <c r="D1665" s="37" t="s">
        <v>3421</v>
      </c>
      <c r="E1665" s="37" t="s">
        <v>1785</v>
      </c>
      <c r="F1665" s="37" t="s">
        <v>3389</v>
      </c>
      <c r="G1665" s="37" t="s">
        <v>3389</v>
      </c>
      <c r="H1665" s="37" t="s">
        <v>3389</v>
      </c>
      <c r="I1665" s="37" t="s">
        <v>1465</v>
      </c>
      <c r="J1665" s="37" t="s">
        <v>1465</v>
      </c>
      <c r="K1665" s="37" t="s">
        <v>1465</v>
      </c>
      <c r="L1665" s="36">
        <v>1</v>
      </c>
      <c r="M1665" s="36">
        <v>1</v>
      </c>
      <c r="N1665" s="36">
        <v>1</v>
      </c>
      <c r="O1665" s="36">
        <v>2</v>
      </c>
      <c r="P1665" s="37" t="s">
        <v>292</v>
      </c>
      <c r="Q1665" s="37"/>
      <c r="R1665" s="37" t="s">
        <v>4398</v>
      </c>
    </row>
    <row r="1666" spans="1:18" ht="14.7" hidden="1" thickBot="1" x14ac:dyDescent="0.55000000000000004">
      <c r="A1666" s="36">
        <v>1924</v>
      </c>
      <c r="B1666" s="37" t="s">
        <v>4399</v>
      </c>
      <c r="C1666" s="37" t="s">
        <v>3445</v>
      </c>
      <c r="D1666" s="37" t="s">
        <v>3421</v>
      </c>
      <c r="E1666" s="37" t="s">
        <v>1785</v>
      </c>
      <c r="F1666" s="37" t="s">
        <v>3389</v>
      </c>
      <c r="G1666" s="37" t="s">
        <v>3389</v>
      </c>
      <c r="H1666" s="37" t="s">
        <v>3389</v>
      </c>
      <c r="I1666" s="37" t="s">
        <v>1465</v>
      </c>
      <c r="J1666" s="37" t="s">
        <v>1465</v>
      </c>
      <c r="K1666" s="37" t="s">
        <v>1465</v>
      </c>
      <c r="L1666" s="36">
        <v>1</v>
      </c>
      <c r="M1666" s="36">
        <v>1</v>
      </c>
      <c r="N1666" s="36">
        <v>1</v>
      </c>
      <c r="O1666" s="36">
        <v>2</v>
      </c>
      <c r="P1666" s="37" t="s">
        <v>292</v>
      </c>
      <c r="Q1666" s="37"/>
      <c r="R1666" s="37" t="s">
        <v>4400</v>
      </c>
    </row>
    <row r="1667" spans="1:18" ht="27.7" hidden="1" thickBot="1" x14ac:dyDescent="0.55000000000000004">
      <c r="A1667" s="36">
        <v>1925</v>
      </c>
      <c r="B1667" s="37" t="s">
        <v>4401</v>
      </c>
      <c r="C1667" s="37" t="s">
        <v>4391</v>
      </c>
      <c r="D1667" s="37" t="s">
        <v>3421</v>
      </c>
      <c r="E1667" s="37" t="s">
        <v>1785</v>
      </c>
      <c r="F1667" s="37" t="s">
        <v>3389</v>
      </c>
      <c r="G1667" s="37" t="s">
        <v>3437</v>
      </c>
      <c r="H1667" s="37" t="s">
        <v>3437</v>
      </c>
      <c r="I1667" s="37" t="s">
        <v>4296</v>
      </c>
      <c r="J1667" s="37" t="s">
        <v>1465</v>
      </c>
      <c r="K1667" s="37" t="s">
        <v>1465</v>
      </c>
      <c r="L1667" s="36">
        <v>1</v>
      </c>
      <c r="M1667" s="36">
        <v>1</v>
      </c>
      <c r="N1667" s="36">
        <v>1</v>
      </c>
      <c r="O1667" s="36">
        <v>2</v>
      </c>
      <c r="P1667" s="37" t="s">
        <v>292</v>
      </c>
      <c r="Q1667" s="37"/>
      <c r="R1667" s="37" t="s">
        <v>4402</v>
      </c>
    </row>
    <row r="1668" spans="1:18" ht="41.35" hidden="1" thickBot="1" x14ac:dyDescent="0.55000000000000004">
      <c r="A1668" s="36">
        <v>1926</v>
      </c>
      <c r="B1668" s="37" t="s">
        <v>4403</v>
      </c>
      <c r="C1668" s="37" t="s">
        <v>1239</v>
      </c>
      <c r="D1668" s="37" t="s">
        <v>1239</v>
      </c>
      <c r="E1668" s="37" t="s">
        <v>502</v>
      </c>
      <c r="F1668" s="37" t="s">
        <v>1240</v>
      </c>
      <c r="G1668" s="37" t="s">
        <v>1240</v>
      </c>
      <c r="H1668" s="37" t="s">
        <v>1240</v>
      </c>
      <c r="I1668" s="37" t="s">
        <v>944</v>
      </c>
      <c r="J1668" s="37" t="s">
        <v>944</v>
      </c>
      <c r="K1668" s="37" t="s">
        <v>105</v>
      </c>
      <c r="L1668" s="36">
        <v>1</v>
      </c>
      <c r="M1668" s="36">
        <v>1</v>
      </c>
      <c r="N1668" s="36">
        <v>3</v>
      </c>
      <c r="O1668" s="36">
        <v>4</v>
      </c>
      <c r="P1668" s="37" t="s">
        <v>292</v>
      </c>
      <c r="Q1668" s="37"/>
      <c r="R1668" s="37" t="s">
        <v>4404</v>
      </c>
    </row>
    <row r="1669" spans="1:18" ht="41.35" hidden="1" thickBot="1" x14ac:dyDescent="0.55000000000000004">
      <c r="A1669" s="36">
        <v>1927</v>
      </c>
      <c r="B1669" s="37" t="s">
        <v>4405</v>
      </c>
      <c r="C1669" s="37" t="s">
        <v>1471</v>
      </c>
      <c r="D1669" s="37" t="s">
        <v>1239</v>
      </c>
      <c r="E1669" s="37" t="s">
        <v>502</v>
      </c>
      <c r="F1669" s="37" t="s">
        <v>3964</v>
      </c>
      <c r="G1669" s="37" t="s">
        <v>3964</v>
      </c>
      <c r="H1669" s="37" t="s">
        <v>1240</v>
      </c>
      <c r="I1669" s="37" t="s">
        <v>944</v>
      </c>
      <c r="J1669" s="37" t="s">
        <v>105</v>
      </c>
      <c r="K1669" s="37" t="s">
        <v>105</v>
      </c>
      <c r="L1669" s="36">
        <v>2</v>
      </c>
      <c r="M1669" s="36">
        <v>2</v>
      </c>
      <c r="N1669" s="36">
        <v>2</v>
      </c>
      <c r="O1669" s="36">
        <v>3</v>
      </c>
      <c r="P1669" s="37" t="s">
        <v>292</v>
      </c>
      <c r="Q1669" s="37"/>
      <c r="R1669" s="37" t="s">
        <v>4406</v>
      </c>
    </row>
    <row r="1670" spans="1:18" ht="27.7" hidden="1" thickBot="1" x14ac:dyDescent="0.55000000000000004">
      <c r="A1670" s="36">
        <v>1928</v>
      </c>
      <c r="B1670" s="37" t="s">
        <v>4407</v>
      </c>
      <c r="C1670" s="37" t="s">
        <v>4408</v>
      </c>
      <c r="D1670" s="37" t="s">
        <v>2102</v>
      </c>
      <c r="E1670" s="37" t="s">
        <v>1163</v>
      </c>
      <c r="F1670" s="37" t="s">
        <v>1164</v>
      </c>
      <c r="G1670" s="37" t="s">
        <v>1164</v>
      </c>
      <c r="H1670" s="37" t="s">
        <v>1164</v>
      </c>
      <c r="I1670" s="37" t="s">
        <v>1165</v>
      </c>
      <c r="J1670" s="37" t="s">
        <v>1165</v>
      </c>
      <c r="K1670" s="37" t="s">
        <v>1165</v>
      </c>
      <c r="L1670" s="36">
        <v>2</v>
      </c>
      <c r="M1670" s="36">
        <v>2</v>
      </c>
      <c r="N1670" s="36">
        <v>2</v>
      </c>
      <c r="O1670" s="36">
        <v>3</v>
      </c>
      <c r="P1670" s="37" t="s">
        <v>265</v>
      </c>
      <c r="Q1670" s="37"/>
      <c r="R1670" s="37" t="s">
        <v>4409</v>
      </c>
    </row>
    <row r="1671" spans="1:18" ht="27.7" hidden="1" thickBot="1" x14ac:dyDescent="0.55000000000000004">
      <c r="A1671" s="36">
        <v>1929</v>
      </c>
      <c r="B1671" s="37" t="s">
        <v>4410</v>
      </c>
      <c r="C1671" s="37" t="s">
        <v>4408</v>
      </c>
      <c r="D1671" s="37" t="s">
        <v>2102</v>
      </c>
      <c r="E1671" s="37" t="s">
        <v>1163</v>
      </c>
      <c r="F1671" s="37" t="s">
        <v>1164</v>
      </c>
      <c r="G1671" s="37" t="s">
        <v>1164</v>
      </c>
      <c r="H1671" s="37" t="s">
        <v>1164</v>
      </c>
      <c r="I1671" s="37" t="s">
        <v>1165</v>
      </c>
      <c r="J1671" s="37" t="s">
        <v>1165</v>
      </c>
      <c r="K1671" s="37" t="s">
        <v>1165</v>
      </c>
      <c r="L1671" s="36">
        <v>2</v>
      </c>
      <c r="M1671" s="36">
        <v>2</v>
      </c>
      <c r="N1671" s="36">
        <v>2</v>
      </c>
      <c r="O1671" s="36">
        <v>4</v>
      </c>
      <c r="P1671" s="37" t="s">
        <v>292</v>
      </c>
      <c r="Q1671" s="37"/>
      <c r="R1671" s="37" t="s">
        <v>4411</v>
      </c>
    </row>
    <row r="1672" spans="1:18" ht="27.7" hidden="1" thickBot="1" x14ac:dyDescent="0.55000000000000004">
      <c r="A1672" s="36">
        <v>1930</v>
      </c>
      <c r="B1672" s="37" t="s">
        <v>4412</v>
      </c>
      <c r="C1672" s="37" t="s">
        <v>2296</v>
      </c>
      <c r="D1672" s="37" t="s">
        <v>1608</v>
      </c>
      <c r="E1672" s="37" t="s">
        <v>1163</v>
      </c>
      <c r="F1672" s="37" t="s">
        <v>1164</v>
      </c>
      <c r="G1672" s="37" t="s">
        <v>1164</v>
      </c>
      <c r="H1672" s="37" t="s">
        <v>1164</v>
      </c>
      <c r="I1672" s="37" t="s">
        <v>1165</v>
      </c>
      <c r="J1672" s="37" t="s">
        <v>1165</v>
      </c>
      <c r="K1672" s="37" t="s">
        <v>1165</v>
      </c>
      <c r="L1672" s="36">
        <v>3</v>
      </c>
      <c r="M1672" s="36">
        <v>3</v>
      </c>
      <c r="N1672" s="36">
        <v>3</v>
      </c>
      <c r="O1672" s="36">
        <v>3</v>
      </c>
      <c r="P1672" s="37" t="s">
        <v>292</v>
      </c>
      <c r="Q1672" s="37"/>
      <c r="R1672" s="37" t="s">
        <v>4413</v>
      </c>
    </row>
    <row r="1673" spans="1:18" ht="27.7" hidden="1" thickBot="1" x14ac:dyDescent="0.55000000000000004">
      <c r="A1673" s="36">
        <v>1931</v>
      </c>
      <c r="B1673" s="37" t="s">
        <v>4414</v>
      </c>
      <c r="C1673" s="37" t="s">
        <v>1608</v>
      </c>
      <c r="D1673" s="37" t="s">
        <v>1608</v>
      </c>
      <c r="E1673" s="37" t="s">
        <v>1163</v>
      </c>
      <c r="F1673" s="37" t="s">
        <v>1164</v>
      </c>
      <c r="G1673" s="37" t="s">
        <v>1164</v>
      </c>
      <c r="H1673" s="37" t="s">
        <v>1164</v>
      </c>
      <c r="I1673" s="37" t="s">
        <v>2249</v>
      </c>
      <c r="J1673" s="37" t="s">
        <v>1165</v>
      </c>
      <c r="K1673" s="37" t="s">
        <v>1165</v>
      </c>
      <c r="L1673" s="36">
        <v>2</v>
      </c>
      <c r="M1673" s="36">
        <v>2</v>
      </c>
      <c r="N1673" s="36">
        <v>2</v>
      </c>
      <c r="O1673" s="36">
        <v>3</v>
      </c>
      <c r="P1673" s="37" t="s">
        <v>292</v>
      </c>
      <c r="Q1673" s="37"/>
      <c r="R1673" s="37" t="s">
        <v>4415</v>
      </c>
    </row>
    <row r="1674" spans="1:18" ht="27.7" hidden="1" thickBot="1" x14ac:dyDescent="0.55000000000000004">
      <c r="A1674" s="36">
        <v>1932</v>
      </c>
      <c r="B1674" s="37" t="s">
        <v>4416</v>
      </c>
      <c r="C1674" s="37" t="s">
        <v>1608</v>
      </c>
      <c r="D1674" s="37" t="s">
        <v>1608</v>
      </c>
      <c r="E1674" s="37" t="s">
        <v>1163</v>
      </c>
      <c r="F1674" s="37" t="s">
        <v>1164</v>
      </c>
      <c r="G1674" s="37" t="s">
        <v>1164</v>
      </c>
      <c r="H1674" s="37" t="s">
        <v>1164</v>
      </c>
      <c r="I1674" s="37" t="s">
        <v>2249</v>
      </c>
      <c r="J1674" s="37" t="s">
        <v>1165</v>
      </c>
      <c r="K1674" s="37" t="s">
        <v>1165</v>
      </c>
      <c r="L1674" s="36">
        <v>2</v>
      </c>
      <c r="M1674" s="36">
        <v>2</v>
      </c>
      <c r="N1674" s="36">
        <v>2</v>
      </c>
      <c r="O1674" s="36">
        <v>3</v>
      </c>
      <c r="P1674" s="37" t="s">
        <v>292</v>
      </c>
      <c r="Q1674" s="37"/>
      <c r="R1674" s="37" t="s">
        <v>4417</v>
      </c>
    </row>
    <row r="1675" spans="1:18" ht="27.7" hidden="1" thickBot="1" x14ac:dyDescent="0.55000000000000004">
      <c r="A1675" s="36">
        <v>1933</v>
      </c>
      <c r="B1675" s="37" t="s">
        <v>4418</v>
      </c>
      <c r="C1675" s="37" t="s">
        <v>2319</v>
      </c>
      <c r="D1675" s="37" t="s">
        <v>1608</v>
      </c>
      <c r="E1675" s="37" t="s">
        <v>1163</v>
      </c>
      <c r="F1675" s="37" t="s">
        <v>1164</v>
      </c>
      <c r="G1675" s="37" t="s">
        <v>1164</v>
      </c>
      <c r="H1675" s="37" t="s">
        <v>1164</v>
      </c>
      <c r="I1675" s="37" t="s">
        <v>2249</v>
      </c>
      <c r="J1675" s="37" t="s">
        <v>1165</v>
      </c>
      <c r="K1675" s="37" t="s">
        <v>1165</v>
      </c>
      <c r="L1675" s="36">
        <v>1</v>
      </c>
      <c r="M1675" s="36">
        <v>1</v>
      </c>
      <c r="N1675" s="36">
        <v>1</v>
      </c>
      <c r="O1675" s="36">
        <v>2</v>
      </c>
      <c r="P1675" s="37" t="s">
        <v>292</v>
      </c>
      <c r="Q1675" s="37"/>
      <c r="R1675" s="37" t="s">
        <v>4419</v>
      </c>
    </row>
    <row r="1676" spans="1:18" ht="27.7" hidden="1" thickBot="1" x14ac:dyDescent="0.55000000000000004">
      <c r="A1676" s="36">
        <v>1934</v>
      </c>
      <c r="B1676" s="37" t="s">
        <v>2244</v>
      </c>
      <c r="C1676" s="37" t="s">
        <v>2244</v>
      </c>
      <c r="D1676" s="37" t="s">
        <v>1608</v>
      </c>
      <c r="E1676" s="37" t="s">
        <v>1163</v>
      </c>
      <c r="F1676" s="37" t="s">
        <v>1164</v>
      </c>
      <c r="G1676" s="37" t="s">
        <v>1164</v>
      </c>
      <c r="H1676" s="37" t="s">
        <v>1164</v>
      </c>
      <c r="I1676" s="37" t="s">
        <v>1643</v>
      </c>
      <c r="J1676" s="37" t="s">
        <v>1165</v>
      </c>
      <c r="K1676" s="37" t="s">
        <v>1165</v>
      </c>
      <c r="L1676" s="36">
        <v>2</v>
      </c>
      <c r="M1676" s="36">
        <v>2</v>
      </c>
      <c r="N1676" s="36">
        <v>2</v>
      </c>
      <c r="O1676" s="36">
        <v>3</v>
      </c>
      <c r="P1676" s="37" t="s">
        <v>292</v>
      </c>
      <c r="Q1676" s="37"/>
      <c r="R1676" s="37" t="s">
        <v>4420</v>
      </c>
    </row>
    <row r="1677" spans="1:18" ht="27.7" hidden="1" thickBot="1" x14ac:dyDescent="0.55000000000000004">
      <c r="A1677" s="36">
        <v>1935</v>
      </c>
      <c r="B1677" s="37" t="s">
        <v>4421</v>
      </c>
      <c r="C1677" s="37" t="s">
        <v>2281</v>
      </c>
      <c r="D1677" s="37" t="s">
        <v>1608</v>
      </c>
      <c r="E1677" s="37" t="s">
        <v>1163</v>
      </c>
      <c r="F1677" s="37" t="s">
        <v>1164</v>
      </c>
      <c r="G1677" s="37" t="s">
        <v>1164</v>
      </c>
      <c r="H1677" s="37" t="s">
        <v>1164</v>
      </c>
      <c r="I1677" s="37" t="s">
        <v>1165</v>
      </c>
      <c r="J1677" s="37" t="s">
        <v>1165</v>
      </c>
      <c r="K1677" s="37" t="s">
        <v>1165</v>
      </c>
      <c r="L1677" s="36">
        <v>2</v>
      </c>
      <c r="M1677" s="36">
        <v>2</v>
      </c>
      <c r="N1677" s="36">
        <v>2</v>
      </c>
      <c r="O1677" s="36">
        <v>3</v>
      </c>
      <c r="P1677" s="37" t="s">
        <v>292</v>
      </c>
      <c r="Q1677" s="37" t="s">
        <v>4422</v>
      </c>
      <c r="R1677" s="37" t="s">
        <v>4423</v>
      </c>
    </row>
    <row r="1678" spans="1:18" ht="27.7" hidden="1" thickBot="1" x14ac:dyDescent="0.55000000000000004">
      <c r="A1678" s="36">
        <v>1936</v>
      </c>
      <c r="B1678" s="37" t="s">
        <v>4424</v>
      </c>
      <c r="C1678" s="37" t="s">
        <v>565</v>
      </c>
      <c r="D1678" s="37" t="s">
        <v>562</v>
      </c>
      <c r="E1678" s="37" t="s">
        <v>486</v>
      </c>
      <c r="F1678" s="37" t="s">
        <v>358</v>
      </c>
      <c r="G1678" s="37" t="s">
        <v>358</v>
      </c>
      <c r="H1678" s="37" t="s">
        <v>358</v>
      </c>
      <c r="I1678" s="37" t="s">
        <v>105</v>
      </c>
      <c r="J1678" s="37" t="s">
        <v>105</v>
      </c>
      <c r="K1678" s="37" t="s">
        <v>105</v>
      </c>
      <c r="L1678" s="36">
        <v>2</v>
      </c>
      <c r="M1678" s="36">
        <v>2</v>
      </c>
      <c r="N1678" s="36">
        <v>2</v>
      </c>
      <c r="O1678" s="36">
        <v>3</v>
      </c>
      <c r="P1678" s="37" t="s">
        <v>265</v>
      </c>
      <c r="Q1678" s="37"/>
      <c r="R1678" s="37" t="s">
        <v>4425</v>
      </c>
    </row>
    <row r="1679" spans="1:18" ht="14.7" hidden="1" thickBot="1" x14ac:dyDescent="0.55000000000000004">
      <c r="A1679" s="36">
        <v>1937</v>
      </c>
      <c r="B1679" s="37" t="s">
        <v>4426</v>
      </c>
      <c r="C1679" s="37" t="s">
        <v>562</v>
      </c>
      <c r="D1679" s="37" t="s">
        <v>562</v>
      </c>
      <c r="E1679" s="37" t="s">
        <v>486</v>
      </c>
      <c r="F1679" s="37" t="s">
        <v>358</v>
      </c>
      <c r="G1679" s="37" t="s">
        <v>358</v>
      </c>
      <c r="H1679" s="37" t="s">
        <v>358</v>
      </c>
      <c r="I1679" s="37" t="s">
        <v>105</v>
      </c>
      <c r="J1679" s="37" t="s">
        <v>105</v>
      </c>
      <c r="K1679" s="37" t="s">
        <v>105</v>
      </c>
      <c r="L1679" s="36">
        <v>2</v>
      </c>
      <c r="M1679" s="36">
        <v>2</v>
      </c>
      <c r="N1679" s="36">
        <v>2</v>
      </c>
      <c r="O1679" s="36">
        <v>3</v>
      </c>
      <c r="P1679" s="37" t="s">
        <v>292</v>
      </c>
      <c r="Q1679" s="37"/>
      <c r="R1679" s="37" t="s">
        <v>4427</v>
      </c>
    </row>
    <row r="1680" spans="1:18" ht="109.7" hidden="1" thickBot="1" x14ac:dyDescent="0.55000000000000004">
      <c r="A1680" s="36">
        <v>1938</v>
      </c>
      <c r="B1680" s="37" t="s">
        <v>4428</v>
      </c>
      <c r="C1680" s="37" t="s">
        <v>310</v>
      </c>
      <c r="D1680" s="37" t="s">
        <v>273</v>
      </c>
      <c r="E1680" s="37" t="s">
        <v>274</v>
      </c>
      <c r="F1680" s="37" t="s">
        <v>324</v>
      </c>
      <c r="G1680" s="37" t="s">
        <v>324</v>
      </c>
      <c r="H1680" s="37" t="s">
        <v>324</v>
      </c>
      <c r="I1680" s="37" t="s">
        <v>105</v>
      </c>
      <c r="J1680" s="37" t="s">
        <v>105</v>
      </c>
      <c r="K1680" s="37" t="s">
        <v>105</v>
      </c>
      <c r="L1680" s="36">
        <v>3</v>
      </c>
      <c r="M1680" s="36">
        <v>3</v>
      </c>
      <c r="N1680" s="36">
        <v>4</v>
      </c>
      <c r="O1680" s="36">
        <v>4</v>
      </c>
      <c r="P1680" s="37" t="s">
        <v>265</v>
      </c>
      <c r="Q1680" s="37" t="s">
        <v>4429</v>
      </c>
      <c r="R1680" s="37" t="s">
        <v>4430</v>
      </c>
    </row>
    <row r="1681" spans="1:18" ht="27.7" hidden="1" thickBot="1" x14ac:dyDescent="0.55000000000000004">
      <c r="A1681" s="36">
        <v>1939</v>
      </c>
      <c r="B1681" s="37" t="s">
        <v>4431</v>
      </c>
      <c r="C1681" s="37" t="s">
        <v>376</v>
      </c>
      <c r="D1681" s="37" t="s">
        <v>377</v>
      </c>
      <c r="E1681" s="37" t="s">
        <v>274</v>
      </c>
      <c r="F1681" s="37" t="s">
        <v>261</v>
      </c>
      <c r="G1681" s="37" t="s">
        <v>262</v>
      </c>
      <c r="H1681" s="37" t="s">
        <v>263</v>
      </c>
      <c r="I1681" s="37" t="s">
        <v>105</v>
      </c>
      <c r="J1681" s="37" t="s">
        <v>264</v>
      </c>
      <c r="K1681" s="37" t="s">
        <v>105</v>
      </c>
      <c r="L1681" s="36">
        <v>3</v>
      </c>
      <c r="M1681" s="36">
        <v>3</v>
      </c>
      <c r="N1681" s="36">
        <v>3</v>
      </c>
      <c r="O1681" s="36">
        <v>3</v>
      </c>
      <c r="P1681" s="37" t="s">
        <v>265</v>
      </c>
      <c r="Q1681" s="37"/>
      <c r="R1681" s="37" t="s">
        <v>4432</v>
      </c>
    </row>
    <row r="1682" spans="1:18" ht="27.7" hidden="1" thickBot="1" x14ac:dyDescent="0.55000000000000004">
      <c r="A1682" s="36">
        <v>1940</v>
      </c>
      <c r="B1682" s="37" t="s">
        <v>4433</v>
      </c>
      <c r="C1682" s="37" t="s">
        <v>429</v>
      </c>
      <c r="D1682" s="37" t="s">
        <v>338</v>
      </c>
      <c r="E1682" s="37" t="s">
        <v>274</v>
      </c>
      <c r="F1682" s="37" t="s">
        <v>325</v>
      </c>
      <c r="G1682" s="37" t="s">
        <v>325</v>
      </c>
      <c r="H1682" s="37" t="s">
        <v>4434</v>
      </c>
      <c r="I1682" s="37" t="s">
        <v>105</v>
      </c>
      <c r="J1682" s="37" t="s">
        <v>105</v>
      </c>
      <c r="K1682" s="37" t="s">
        <v>105</v>
      </c>
      <c r="L1682" s="36">
        <v>3</v>
      </c>
      <c r="M1682" s="36">
        <v>3</v>
      </c>
      <c r="N1682" s="36">
        <v>3</v>
      </c>
      <c r="O1682" s="36">
        <v>3</v>
      </c>
      <c r="P1682" s="37" t="s">
        <v>265</v>
      </c>
      <c r="Q1682" s="37"/>
      <c r="R1682" s="37" t="s">
        <v>4435</v>
      </c>
    </row>
    <row r="1683" spans="1:18" ht="27.7" hidden="1" thickBot="1" x14ac:dyDescent="0.55000000000000004">
      <c r="A1683" s="36">
        <v>1941</v>
      </c>
      <c r="B1683" s="37" t="s">
        <v>4436</v>
      </c>
      <c r="C1683" s="37" t="s">
        <v>444</v>
      </c>
      <c r="D1683" s="37" t="s">
        <v>338</v>
      </c>
      <c r="E1683" s="37" t="s">
        <v>274</v>
      </c>
      <c r="F1683" s="37" t="s">
        <v>325</v>
      </c>
      <c r="G1683" s="37" t="s">
        <v>262</v>
      </c>
      <c r="H1683" s="37" t="s">
        <v>4434</v>
      </c>
      <c r="I1683" s="37" t="s">
        <v>105</v>
      </c>
      <c r="J1683" s="37" t="s">
        <v>264</v>
      </c>
      <c r="K1683" s="37" t="s">
        <v>105</v>
      </c>
      <c r="L1683" s="36">
        <v>4</v>
      </c>
      <c r="M1683" s="36">
        <v>4</v>
      </c>
      <c r="N1683" s="36">
        <v>4</v>
      </c>
      <c r="O1683" s="36">
        <v>4</v>
      </c>
      <c r="P1683" s="37" t="s">
        <v>265</v>
      </c>
      <c r="Q1683" s="37"/>
      <c r="R1683" s="37" t="s">
        <v>4437</v>
      </c>
    </row>
    <row r="1684" spans="1:18" ht="27.7" hidden="1" thickBot="1" x14ac:dyDescent="0.55000000000000004">
      <c r="A1684" s="36">
        <v>1942</v>
      </c>
      <c r="B1684" s="37" t="s">
        <v>4438</v>
      </c>
      <c r="C1684" s="37" t="s">
        <v>444</v>
      </c>
      <c r="D1684" s="37" t="s">
        <v>338</v>
      </c>
      <c r="E1684" s="37" t="s">
        <v>274</v>
      </c>
      <c r="F1684" s="37" t="s">
        <v>325</v>
      </c>
      <c r="G1684" s="37" t="s">
        <v>262</v>
      </c>
      <c r="H1684" s="37" t="s">
        <v>4434</v>
      </c>
      <c r="I1684" s="37" t="s">
        <v>105</v>
      </c>
      <c r="J1684" s="37" t="s">
        <v>264</v>
      </c>
      <c r="K1684" s="37" t="s">
        <v>105</v>
      </c>
      <c r="L1684" s="36">
        <v>4</v>
      </c>
      <c r="M1684" s="36">
        <v>4</v>
      </c>
      <c r="N1684" s="36">
        <v>4</v>
      </c>
      <c r="O1684" s="36">
        <v>4</v>
      </c>
      <c r="P1684" s="37" t="s">
        <v>292</v>
      </c>
      <c r="Q1684" s="37"/>
      <c r="R1684" s="37" t="s">
        <v>4439</v>
      </c>
    </row>
    <row r="1685" spans="1:18" ht="27.7" hidden="1" thickBot="1" x14ac:dyDescent="0.55000000000000004">
      <c r="A1685" s="36">
        <v>1943</v>
      </c>
      <c r="B1685" s="37" t="s">
        <v>4440</v>
      </c>
      <c r="C1685" s="37" t="s">
        <v>444</v>
      </c>
      <c r="D1685" s="37" t="s">
        <v>338</v>
      </c>
      <c r="E1685" s="37" t="s">
        <v>274</v>
      </c>
      <c r="F1685" s="37" t="s">
        <v>325</v>
      </c>
      <c r="G1685" s="37" t="s">
        <v>262</v>
      </c>
      <c r="H1685" s="37" t="s">
        <v>4434</v>
      </c>
      <c r="I1685" s="37" t="s">
        <v>105</v>
      </c>
      <c r="J1685" s="37" t="s">
        <v>264</v>
      </c>
      <c r="K1685" s="37" t="s">
        <v>105</v>
      </c>
      <c r="L1685" s="36">
        <v>3</v>
      </c>
      <c r="M1685" s="36">
        <v>3</v>
      </c>
      <c r="N1685" s="36">
        <v>3</v>
      </c>
      <c r="O1685" s="36">
        <v>3</v>
      </c>
      <c r="P1685" s="37" t="s">
        <v>292</v>
      </c>
      <c r="Q1685" s="37"/>
      <c r="R1685" s="37" t="s">
        <v>4441</v>
      </c>
    </row>
    <row r="1686" spans="1:18" ht="27.7" hidden="1" thickBot="1" x14ac:dyDescent="0.55000000000000004">
      <c r="A1686" s="36">
        <v>1944</v>
      </c>
      <c r="B1686" s="37" t="s">
        <v>4442</v>
      </c>
      <c r="C1686" s="37" t="s">
        <v>354</v>
      </c>
      <c r="D1686" s="37" t="s">
        <v>338</v>
      </c>
      <c r="E1686" s="37" t="s">
        <v>274</v>
      </c>
      <c r="F1686" s="37" t="s">
        <v>325</v>
      </c>
      <c r="G1686" s="37" t="s">
        <v>325</v>
      </c>
      <c r="H1686" s="37" t="s">
        <v>325</v>
      </c>
      <c r="I1686" s="37" t="s">
        <v>105</v>
      </c>
      <c r="J1686" s="37" t="s">
        <v>105</v>
      </c>
      <c r="K1686" s="37" t="s">
        <v>105</v>
      </c>
      <c r="L1686" s="36">
        <v>5</v>
      </c>
      <c r="M1686" s="36">
        <v>5</v>
      </c>
      <c r="N1686" s="36">
        <v>5</v>
      </c>
      <c r="O1686" s="36">
        <v>5</v>
      </c>
      <c r="P1686" s="37" t="s">
        <v>265</v>
      </c>
      <c r="Q1686" s="37"/>
      <c r="R1686" s="37" t="s">
        <v>4443</v>
      </c>
    </row>
    <row r="1687" spans="1:18" ht="27.7" hidden="1" thickBot="1" x14ac:dyDescent="0.55000000000000004">
      <c r="A1687" s="36">
        <v>1945</v>
      </c>
      <c r="B1687" s="37" t="s">
        <v>4444</v>
      </c>
      <c r="C1687" s="37" t="s">
        <v>332</v>
      </c>
      <c r="D1687" s="37" t="s">
        <v>323</v>
      </c>
      <c r="E1687" s="37" t="s">
        <v>274</v>
      </c>
      <c r="F1687" s="37" t="s">
        <v>324</v>
      </c>
      <c r="G1687" s="37" t="s">
        <v>324</v>
      </c>
      <c r="H1687" s="37" t="s">
        <v>324</v>
      </c>
      <c r="I1687" s="37" t="s">
        <v>105</v>
      </c>
      <c r="J1687" s="37" t="s">
        <v>105</v>
      </c>
      <c r="K1687" s="37" t="s">
        <v>105</v>
      </c>
      <c r="L1687" s="36">
        <v>3</v>
      </c>
      <c r="M1687" s="36">
        <v>3</v>
      </c>
      <c r="N1687" s="36">
        <v>3</v>
      </c>
      <c r="O1687" s="36">
        <v>3</v>
      </c>
      <c r="P1687" s="37" t="s">
        <v>292</v>
      </c>
      <c r="Q1687" s="37"/>
      <c r="R1687" s="37" t="s">
        <v>4445</v>
      </c>
    </row>
    <row r="1688" spans="1:18" ht="27.7" hidden="1" thickBot="1" x14ac:dyDescent="0.55000000000000004">
      <c r="A1688" s="36">
        <v>1946</v>
      </c>
      <c r="B1688" s="37" t="s">
        <v>4446</v>
      </c>
      <c r="C1688" s="37" t="s">
        <v>329</v>
      </c>
      <c r="D1688" s="37" t="s">
        <v>323</v>
      </c>
      <c r="E1688" s="37" t="s">
        <v>274</v>
      </c>
      <c r="F1688" s="37" t="s">
        <v>324</v>
      </c>
      <c r="G1688" s="37" t="s">
        <v>324</v>
      </c>
      <c r="H1688" s="37" t="s">
        <v>324</v>
      </c>
      <c r="I1688" s="37" t="s">
        <v>105</v>
      </c>
      <c r="J1688" s="37" t="s">
        <v>105</v>
      </c>
      <c r="K1688" s="37" t="s">
        <v>105</v>
      </c>
      <c r="L1688" s="36">
        <v>4</v>
      </c>
      <c r="M1688" s="36">
        <v>4</v>
      </c>
      <c r="N1688" s="36">
        <v>4</v>
      </c>
      <c r="O1688" s="36">
        <v>4</v>
      </c>
      <c r="P1688" s="37" t="s">
        <v>265</v>
      </c>
      <c r="Q1688" s="37" t="s">
        <v>4447</v>
      </c>
      <c r="R1688" s="37" t="s">
        <v>4448</v>
      </c>
    </row>
    <row r="1689" spans="1:18" ht="14.7" hidden="1" thickBot="1" x14ac:dyDescent="0.55000000000000004">
      <c r="A1689" s="36">
        <v>1947</v>
      </c>
      <c r="B1689" s="37" t="s">
        <v>4449</v>
      </c>
      <c r="C1689" s="37" t="s">
        <v>322</v>
      </c>
      <c r="D1689" s="37" t="s">
        <v>323</v>
      </c>
      <c r="E1689" s="37" t="s">
        <v>274</v>
      </c>
      <c r="F1689" s="37" t="s">
        <v>324</v>
      </c>
      <c r="G1689" s="37" t="s">
        <v>324</v>
      </c>
      <c r="H1689" s="37" t="s">
        <v>324</v>
      </c>
      <c r="I1689" s="37" t="s">
        <v>105</v>
      </c>
      <c r="J1689" s="37" t="s">
        <v>105</v>
      </c>
      <c r="K1689" s="37" t="s">
        <v>105</v>
      </c>
      <c r="L1689" s="36">
        <v>3</v>
      </c>
      <c r="M1689" s="36">
        <v>3</v>
      </c>
      <c r="N1689" s="36">
        <v>3</v>
      </c>
      <c r="O1689" s="36">
        <v>3</v>
      </c>
      <c r="P1689" s="37" t="s">
        <v>292</v>
      </c>
      <c r="Q1689" s="37"/>
      <c r="R1689" s="37" t="s">
        <v>4450</v>
      </c>
    </row>
    <row r="1690" spans="1:18" ht="27.7" hidden="1" thickBot="1" x14ac:dyDescent="0.55000000000000004">
      <c r="A1690" s="36">
        <v>1948</v>
      </c>
      <c r="B1690" s="37" t="s">
        <v>4451</v>
      </c>
      <c r="C1690" s="37" t="s">
        <v>329</v>
      </c>
      <c r="D1690" s="37" t="s">
        <v>323</v>
      </c>
      <c r="E1690" s="37" t="s">
        <v>274</v>
      </c>
      <c r="F1690" s="37" t="s">
        <v>324</v>
      </c>
      <c r="G1690" s="37" t="s">
        <v>324</v>
      </c>
      <c r="H1690" s="37" t="s">
        <v>324</v>
      </c>
      <c r="I1690" s="37" t="s">
        <v>105</v>
      </c>
      <c r="J1690" s="37" t="s">
        <v>105</v>
      </c>
      <c r="K1690" s="37" t="s">
        <v>105</v>
      </c>
      <c r="L1690" s="36">
        <v>4</v>
      </c>
      <c r="M1690" s="36">
        <v>4</v>
      </c>
      <c r="N1690" s="36">
        <v>4</v>
      </c>
      <c r="O1690" s="36">
        <v>4</v>
      </c>
      <c r="P1690" s="37" t="s">
        <v>265</v>
      </c>
      <c r="Q1690" s="37"/>
      <c r="R1690" s="37" t="s">
        <v>4452</v>
      </c>
    </row>
    <row r="1691" spans="1:18" ht="27.7" hidden="1" thickBot="1" x14ac:dyDescent="0.55000000000000004">
      <c r="A1691" s="36">
        <v>1949</v>
      </c>
      <c r="B1691" s="37" t="s">
        <v>4453</v>
      </c>
      <c r="C1691" s="37" t="s">
        <v>453</v>
      </c>
      <c r="D1691" s="37" t="s">
        <v>323</v>
      </c>
      <c r="E1691" s="37" t="s">
        <v>274</v>
      </c>
      <c r="F1691" s="37" t="s">
        <v>324</v>
      </c>
      <c r="G1691" s="37" t="s">
        <v>324</v>
      </c>
      <c r="H1691" s="37" t="s">
        <v>324</v>
      </c>
      <c r="I1691" s="37" t="s">
        <v>105</v>
      </c>
      <c r="J1691" s="37" t="s">
        <v>105</v>
      </c>
      <c r="K1691" s="37" t="s">
        <v>105</v>
      </c>
      <c r="L1691" s="36">
        <v>4</v>
      </c>
      <c r="M1691" s="36">
        <v>4</v>
      </c>
      <c r="N1691" s="36">
        <v>4</v>
      </c>
      <c r="O1691" s="36">
        <v>4</v>
      </c>
      <c r="P1691" s="37" t="s">
        <v>265</v>
      </c>
      <c r="Q1691" s="37"/>
      <c r="R1691" s="37" t="s">
        <v>4454</v>
      </c>
    </row>
    <row r="1692" spans="1:18" ht="27.7" hidden="1" thickBot="1" x14ac:dyDescent="0.55000000000000004">
      <c r="A1692" s="36">
        <v>1950</v>
      </c>
      <c r="B1692" s="37" t="s">
        <v>4455</v>
      </c>
      <c r="C1692" s="37" t="s">
        <v>350</v>
      </c>
      <c r="D1692" s="37" t="s">
        <v>338</v>
      </c>
      <c r="E1692" s="37" t="s">
        <v>274</v>
      </c>
      <c r="F1692" s="37" t="s">
        <v>325</v>
      </c>
      <c r="G1692" s="37" t="s">
        <v>325</v>
      </c>
      <c r="H1692" s="37" t="s">
        <v>325</v>
      </c>
      <c r="I1692" s="37" t="s">
        <v>105</v>
      </c>
      <c r="J1692" s="37" t="s">
        <v>105</v>
      </c>
      <c r="K1692" s="37" t="s">
        <v>105</v>
      </c>
      <c r="L1692" s="36">
        <v>3</v>
      </c>
      <c r="M1692" s="36">
        <v>3</v>
      </c>
      <c r="N1692" s="36">
        <v>3</v>
      </c>
      <c r="O1692" s="36">
        <v>3</v>
      </c>
      <c r="P1692" s="37" t="s">
        <v>265</v>
      </c>
      <c r="Q1692" s="37" t="s">
        <v>4456</v>
      </c>
      <c r="R1692" s="37" t="s">
        <v>4457</v>
      </c>
    </row>
    <row r="1693" spans="1:18" ht="14.7" hidden="1" thickBot="1" x14ac:dyDescent="0.55000000000000004">
      <c r="A1693" s="36">
        <v>1951</v>
      </c>
      <c r="B1693" s="37" t="s">
        <v>299</v>
      </c>
      <c r="C1693" s="37" t="s">
        <v>299</v>
      </c>
      <c r="D1693" s="37" t="s">
        <v>273</v>
      </c>
      <c r="E1693" s="37" t="s">
        <v>274</v>
      </c>
      <c r="F1693" s="37" t="s">
        <v>261</v>
      </c>
      <c r="G1693" s="37" t="s">
        <v>261</v>
      </c>
      <c r="H1693" s="37" t="s">
        <v>261</v>
      </c>
      <c r="I1693" s="37" t="s">
        <v>105</v>
      </c>
      <c r="J1693" s="37" t="s">
        <v>105</v>
      </c>
      <c r="K1693" s="37" t="s">
        <v>105</v>
      </c>
      <c r="L1693" s="36">
        <v>4</v>
      </c>
      <c r="M1693" s="36">
        <v>4</v>
      </c>
      <c r="N1693" s="36">
        <v>4</v>
      </c>
      <c r="O1693" s="36">
        <v>4</v>
      </c>
      <c r="P1693" s="37" t="s">
        <v>265</v>
      </c>
      <c r="Q1693" s="37"/>
      <c r="R1693" s="37" t="s">
        <v>4458</v>
      </c>
    </row>
    <row r="1694" spans="1:18" ht="27.7" hidden="1" thickBot="1" x14ac:dyDescent="0.55000000000000004">
      <c r="A1694" s="36">
        <v>1952</v>
      </c>
      <c r="B1694" s="37" t="s">
        <v>4459</v>
      </c>
      <c r="C1694" s="37" t="s">
        <v>299</v>
      </c>
      <c r="D1694" s="37" t="s">
        <v>273</v>
      </c>
      <c r="E1694" s="37" t="s">
        <v>274</v>
      </c>
      <c r="F1694" s="37" t="s">
        <v>261</v>
      </c>
      <c r="G1694" s="37" t="s">
        <v>261</v>
      </c>
      <c r="H1694" s="37" t="s">
        <v>261</v>
      </c>
      <c r="I1694" s="37" t="s">
        <v>105</v>
      </c>
      <c r="J1694" s="37" t="s">
        <v>105</v>
      </c>
      <c r="K1694" s="37" t="s">
        <v>105</v>
      </c>
      <c r="L1694" s="36">
        <v>3</v>
      </c>
      <c r="M1694" s="36">
        <v>3</v>
      </c>
      <c r="N1694" s="36">
        <v>3</v>
      </c>
      <c r="O1694" s="36">
        <v>3</v>
      </c>
      <c r="P1694" s="37" t="s">
        <v>292</v>
      </c>
      <c r="Q1694" s="37"/>
      <c r="R1694" s="37" t="s">
        <v>4460</v>
      </c>
    </row>
    <row r="1695" spans="1:18" ht="14.7" hidden="1" thickBot="1" x14ac:dyDescent="0.55000000000000004">
      <c r="A1695" s="36">
        <v>1953</v>
      </c>
      <c r="B1695" s="37" t="s">
        <v>4461</v>
      </c>
      <c r="C1695" s="37" t="s">
        <v>306</v>
      </c>
      <c r="D1695" s="37" t="s">
        <v>273</v>
      </c>
      <c r="E1695" s="37" t="s">
        <v>274</v>
      </c>
      <c r="F1695" s="37" t="s">
        <v>261</v>
      </c>
      <c r="G1695" s="37" t="s">
        <v>261</v>
      </c>
      <c r="H1695" s="37" t="s">
        <v>261</v>
      </c>
      <c r="I1695" s="37" t="s">
        <v>105</v>
      </c>
      <c r="J1695" s="37" t="s">
        <v>105</v>
      </c>
      <c r="K1695" s="37" t="s">
        <v>105</v>
      </c>
      <c r="L1695" s="36">
        <v>3</v>
      </c>
      <c r="M1695" s="36">
        <v>3</v>
      </c>
      <c r="N1695" s="36">
        <v>3</v>
      </c>
      <c r="O1695" s="36">
        <v>3</v>
      </c>
      <c r="P1695" s="37" t="s">
        <v>292</v>
      </c>
      <c r="Q1695" s="37"/>
      <c r="R1695" s="37" t="s">
        <v>4462</v>
      </c>
    </row>
    <row r="1696" spans="1:18" ht="27.7" hidden="1" thickBot="1" x14ac:dyDescent="0.55000000000000004">
      <c r="A1696" s="36">
        <v>1954</v>
      </c>
      <c r="B1696" s="37" t="s">
        <v>4463</v>
      </c>
      <c r="C1696" s="37" t="s">
        <v>291</v>
      </c>
      <c r="D1696" s="37" t="s">
        <v>273</v>
      </c>
      <c r="E1696" s="37" t="s">
        <v>274</v>
      </c>
      <c r="F1696" s="37" t="s">
        <v>261</v>
      </c>
      <c r="G1696" s="37" t="s">
        <v>261</v>
      </c>
      <c r="H1696" s="37" t="s">
        <v>261</v>
      </c>
      <c r="I1696" s="37" t="s">
        <v>105</v>
      </c>
      <c r="J1696" s="37" t="s">
        <v>105</v>
      </c>
      <c r="K1696" s="37" t="s">
        <v>105</v>
      </c>
      <c r="L1696" s="36">
        <v>3</v>
      </c>
      <c r="M1696" s="36">
        <v>3</v>
      </c>
      <c r="N1696" s="36">
        <v>3</v>
      </c>
      <c r="O1696" s="36">
        <v>3</v>
      </c>
      <c r="P1696" s="37" t="s">
        <v>265</v>
      </c>
      <c r="Q1696" s="37" t="s">
        <v>4464</v>
      </c>
      <c r="R1696" s="37" t="s">
        <v>4465</v>
      </c>
    </row>
    <row r="1697" spans="1:18" ht="27.7" hidden="1" thickBot="1" x14ac:dyDescent="0.55000000000000004">
      <c r="A1697" s="36">
        <v>1955</v>
      </c>
      <c r="B1697" s="37" t="s">
        <v>4466</v>
      </c>
      <c r="C1697" s="37" t="s">
        <v>291</v>
      </c>
      <c r="D1697" s="37" t="s">
        <v>273</v>
      </c>
      <c r="E1697" s="37" t="s">
        <v>274</v>
      </c>
      <c r="F1697" s="37" t="s">
        <v>261</v>
      </c>
      <c r="G1697" s="37" t="s">
        <v>261</v>
      </c>
      <c r="H1697" s="37" t="s">
        <v>261</v>
      </c>
      <c r="I1697" s="37" t="s">
        <v>105</v>
      </c>
      <c r="J1697" s="37" t="s">
        <v>105</v>
      </c>
      <c r="K1697" s="37" t="s">
        <v>105</v>
      </c>
      <c r="L1697" s="36">
        <v>3</v>
      </c>
      <c r="M1697" s="36">
        <v>3</v>
      </c>
      <c r="N1697" s="36">
        <v>3</v>
      </c>
      <c r="O1697" s="36">
        <v>3</v>
      </c>
      <c r="P1697" s="37" t="s">
        <v>292</v>
      </c>
      <c r="Q1697" s="37" t="s">
        <v>4467</v>
      </c>
      <c r="R1697" s="37" t="s">
        <v>4468</v>
      </c>
    </row>
    <row r="1698" spans="1:18" ht="27.7" hidden="1" thickBot="1" x14ac:dyDescent="0.55000000000000004">
      <c r="A1698" s="36">
        <v>1956</v>
      </c>
      <c r="B1698" s="37" t="s">
        <v>4469</v>
      </c>
      <c r="C1698" s="37" t="s">
        <v>549</v>
      </c>
      <c r="D1698" s="37" t="s">
        <v>485</v>
      </c>
      <c r="E1698" s="37" t="s">
        <v>486</v>
      </c>
      <c r="F1698" s="37" t="s">
        <v>487</v>
      </c>
      <c r="G1698" s="37" t="s">
        <v>488</v>
      </c>
      <c r="H1698" s="37" t="s">
        <v>550</v>
      </c>
      <c r="I1698" s="37" t="s">
        <v>105</v>
      </c>
      <c r="J1698" s="37" t="s">
        <v>105</v>
      </c>
      <c r="K1698" s="37" t="s">
        <v>105</v>
      </c>
      <c r="L1698" s="36">
        <v>3</v>
      </c>
      <c r="M1698" s="36">
        <v>4</v>
      </c>
      <c r="N1698" s="36">
        <v>4</v>
      </c>
      <c r="O1698" s="36">
        <v>5</v>
      </c>
      <c r="P1698" s="37" t="s">
        <v>265</v>
      </c>
      <c r="Q1698" s="37"/>
      <c r="R1698" s="37" t="s">
        <v>4470</v>
      </c>
    </row>
    <row r="1699" spans="1:18" ht="27.7" hidden="1" thickBot="1" x14ac:dyDescent="0.55000000000000004">
      <c r="A1699" s="36">
        <v>1957</v>
      </c>
      <c r="B1699" s="37" t="s">
        <v>4471</v>
      </c>
      <c r="C1699" s="37" t="s">
        <v>561</v>
      </c>
      <c r="D1699" s="37" t="s">
        <v>562</v>
      </c>
      <c r="E1699" s="37" t="s">
        <v>486</v>
      </c>
      <c r="F1699" s="37" t="s">
        <v>358</v>
      </c>
      <c r="G1699" s="37" t="s">
        <v>358</v>
      </c>
      <c r="H1699" s="37" t="s">
        <v>358</v>
      </c>
      <c r="I1699" s="37" t="s">
        <v>105</v>
      </c>
      <c r="J1699" s="37" t="s">
        <v>105</v>
      </c>
      <c r="K1699" s="37" t="s">
        <v>105</v>
      </c>
      <c r="L1699" s="36">
        <v>3</v>
      </c>
      <c r="M1699" s="36">
        <v>3</v>
      </c>
      <c r="N1699" s="36">
        <v>3</v>
      </c>
      <c r="O1699" s="36">
        <v>4</v>
      </c>
      <c r="P1699" s="37" t="s">
        <v>265</v>
      </c>
      <c r="Q1699" s="37"/>
      <c r="R1699" s="37" t="s">
        <v>4472</v>
      </c>
    </row>
    <row r="1700" spans="1:18" ht="14.7" hidden="1" thickBot="1" x14ac:dyDescent="0.55000000000000004">
      <c r="A1700" s="36">
        <v>1958</v>
      </c>
      <c r="B1700" s="37" t="s">
        <v>4473</v>
      </c>
      <c r="C1700" s="37" t="s">
        <v>579</v>
      </c>
      <c r="D1700" s="37" t="s">
        <v>485</v>
      </c>
      <c r="E1700" s="37" t="s">
        <v>486</v>
      </c>
      <c r="F1700" s="37" t="s">
        <v>487</v>
      </c>
      <c r="G1700" s="37" t="s">
        <v>488</v>
      </c>
      <c r="H1700" s="37" t="s">
        <v>488</v>
      </c>
      <c r="I1700" s="37" t="s">
        <v>105</v>
      </c>
      <c r="J1700" s="37" t="s">
        <v>105</v>
      </c>
      <c r="K1700" s="37" t="s">
        <v>105</v>
      </c>
      <c r="L1700" s="36">
        <v>3</v>
      </c>
      <c r="M1700" s="36">
        <v>3</v>
      </c>
      <c r="N1700" s="36">
        <v>3</v>
      </c>
      <c r="O1700" s="36">
        <v>3</v>
      </c>
      <c r="P1700" s="37" t="s">
        <v>292</v>
      </c>
      <c r="Q1700" s="37"/>
      <c r="R1700" s="37" t="s">
        <v>4474</v>
      </c>
    </row>
    <row r="1701" spans="1:18" ht="27.7" hidden="1" thickBot="1" x14ac:dyDescent="0.55000000000000004">
      <c r="A1701" s="36">
        <v>1959</v>
      </c>
      <c r="B1701" s="37" t="s">
        <v>4475</v>
      </c>
      <c r="C1701" s="37" t="s">
        <v>579</v>
      </c>
      <c r="D1701" s="37" t="s">
        <v>485</v>
      </c>
      <c r="E1701" s="37" t="s">
        <v>486</v>
      </c>
      <c r="F1701" s="37" t="s">
        <v>487</v>
      </c>
      <c r="G1701" s="37" t="s">
        <v>488</v>
      </c>
      <c r="H1701" s="37" t="s">
        <v>488</v>
      </c>
      <c r="I1701" s="37" t="s">
        <v>105</v>
      </c>
      <c r="J1701" s="37" t="s">
        <v>105</v>
      </c>
      <c r="K1701" s="37" t="s">
        <v>105</v>
      </c>
      <c r="L1701" s="36">
        <v>3</v>
      </c>
      <c r="M1701" s="36">
        <v>3</v>
      </c>
      <c r="N1701" s="36">
        <v>3</v>
      </c>
      <c r="O1701" s="36">
        <v>4</v>
      </c>
      <c r="P1701" s="37" t="s">
        <v>292</v>
      </c>
      <c r="Q1701" s="37"/>
      <c r="R1701" s="37" t="s">
        <v>4476</v>
      </c>
    </row>
    <row r="1702" spans="1:18" ht="27.7" hidden="1" thickBot="1" x14ac:dyDescent="0.55000000000000004">
      <c r="A1702" s="36">
        <v>1960</v>
      </c>
      <c r="B1702" s="37" t="s">
        <v>4477</v>
      </c>
      <c r="C1702" s="37" t="s">
        <v>651</v>
      </c>
      <c r="D1702" s="37" t="s">
        <v>485</v>
      </c>
      <c r="E1702" s="37" t="s">
        <v>486</v>
      </c>
      <c r="F1702" s="37" t="s">
        <v>487</v>
      </c>
      <c r="G1702" s="37" t="s">
        <v>488</v>
      </c>
      <c r="H1702" s="37" t="s">
        <v>488</v>
      </c>
      <c r="I1702" s="37" t="s">
        <v>105</v>
      </c>
      <c r="J1702" s="37" t="s">
        <v>105</v>
      </c>
      <c r="K1702" s="37" t="s">
        <v>105</v>
      </c>
      <c r="L1702" s="36">
        <v>3</v>
      </c>
      <c r="M1702" s="36">
        <v>3</v>
      </c>
      <c r="N1702" s="36">
        <v>3</v>
      </c>
      <c r="O1702" s="36">
        <v>4</v>
      </c>
      <c r="P1702" s="37" t="s">
        <v>292</v>
      </c>
      <c r="Q1702" s="37"/>
      <c r="R1702" s="37" t="s">
        <v>4478</v>
      </c>
    </row>
    <row r="1703" spans="1:18" ht="27.7" hidden="1" thickBot="1" x14ac:dyDescent="0.55000000000000004">
      <c r="A1703" s="36">
        <v>1961</v>
      </c>
      <c r="B1703" s="37" t="s">
        <v>4479</v>
      </c>
      <c r="C1703" s="37" t="s">
        <v>546</v>
      </c>
      <c r="D1703" s="37" t="s">
        <v>485</v>
      </c>
      <c r="E1703" s="37" t="s">
        <v>486</v>
      </c>
      <c r="F1703" s="37" t="s">
        <v>487</v>
      </c>
      <c r="G1703" s="37" t="s">
        <v>488</v>
      </c>
      <c r="H1703" s="37" t="s">
        <v>488</v>
      </c>
      <c r="I1703" s="37" t="s">
        <v>105</v>
      </c>
      <c r="J1703" s="37" t="s">
        <v>105</v>
      </c>
      <c r="K1703" s="37" t="s">
        <v>105</v>
      </c>
      <c r="L1703" s="36">
        <v>3</v>
      </c>
      <c r="M1703" s="36">
        <v>3</v>
      </c>
      <c r="N1703" s="36">
        <v>3</v>
      </c>
      <c r="O1703" s="36">
        <v>4</v>
      </c>
      <c r="P1703" s="37" t="s">
        <v>292</v>
      </c>
      <c r="Q1703" s="37"/>
      <c r="R1703" s="37" t="s">
        <v>4480</v>
      </c>
    </row>
    <row r="1704" spans="1:18" ht="27.7" hidden="1" thickBot="1" x14ac:dyDescent="0.55000000000000004">
      <c r="A1704" s="36">
        <v>1962</v>
      </c>
      <c r="B1704" s="37" t="s">
        <v>4481</v>
      </c>
      <c r="C1704" s="37" t="s">
        <v>546</v>
      </c>
      <c r="D1704" s="37" t="s">
        <v>485</v>
      </c>
      <c r="E1704" s="37" t="s">
        <v>486</v>
      </c>
      <c r="F1704" s="37" t="s">
        <v>487</v>
      </c>
      <c r="G1704" s="37" t="s">
        <v>488</v>
      </c>
      <c r="H1704" s="37" t="s">
        <v>488</v>
      </c>
      <c r="I1704" s="37" t="s">
        <v>105</v>
      </c>
      <c r="J1704" s="37" t="s">
        <v>105</v>
      </c>
      <c r="K1704" s="37" t="s">
        <v>105</v>
      </c>
      <c r="L1704" s="36">
        <v>3</v>
      </c>
      <c r="M1704" s="36">
        <v>3</v>
      </c>
      <c r="N1704" s="36">
        <v>3</v>
      </c>
      <c r="O1704" s="36">
        <v>4</v>
      </c>
      <c r="P1704" s="37" t="s">
        <v>265</v>
      </c>
      <c r="Q1704" s="37"/>
      <c r="R1704" s="37" t="s">
        <v>4482</v>
      </c>
    </row>
    <row r="1705" spans="1:18" ht="14.7" hidden="1" thickBot="1" x14ac:dyDescent="0.55000000000000004">
      <c r="A1705" s="36">
        <v>1963</v>
      </c>
      <c r="B1705" s="37" t="s">
        <v>4483</v>
      </c>
      <c r="C1705" s="37" t="s">
        <v>589</v>
      </c>
      <c r="D1705" s="37" t="s">
        <v>485</v>
      </c>
      <c r="E1705" s="37" t="s">
        <v>486</v>
      </c>
      <c r="F1705" s="37" t="s">
        <v>487</v>
      </c>
      <c r="G1705" s="37" t="s">
        <v>488</v>
      </c>
      <c r="H1705" s="37" t="s">
        <v>488</v>
      </c>
      <c r="I1705" s="37" t="s">
        <v>105</v>
      </c>
      <c r="J1705" s="37" t="s">
        <v>105</v>
      </c>
      <c r="K1705" s="37" t="s">
        <v>105</v>
      </c>
      <c r="L1705" s="36">
        <v>3</v>
      </c>
      <c r="M1705" s="36">
        <v>3</v>
      </c>
      <c r="N1705" s="36">
        <v>3</v>
      </c>
      <c r="O1705" s="36">
        <v>5</v>
      </c>
      <c r="P1705" s="37" t="s">
        <v>292</v>
      </c>
      <c r="Q1705" s="37"/>
      <c r="R1705" s="37" t="s">
        <v>4484</v>
      </c>
    </row>
    <row r="1706" spans="1:18" ht="27.7" hidden="1" thickBot="1" x14ac:dyDescent="0.55000000000000004">
      <c r="A1706" s="36">
        <v>1964</v>
      </c>
      <c r="B1706" s="37" t="s">
        <v>4485</v>
      </c>
      <c r="C1706" s="37" t="s">
        <v>594</v>
      </c>
      <c r="D1706" s="37" t="s">
        <v>485</v>
      </c>
      <c r="E1706" s="37" t="s">
        <v>486</v>
      </c>
      <c r="F1706" s="37" t="s">
        <v>487</v>
      </c>
      <c r="G1706" s="37" t="s">
        <v>488</v>
      </c>
      <c r="H1706" s="37" t="s">
        <v>488</v>
      </c>
      <c r="I1706" s="37" t="s">
        <v>105</v>
      </c>
      <c r="J1706" s="37" t="s">
        <v>105</v>
      </c>
      <c r="K1706" s="37" t="s">
        <v>105</v>
      </c>
      <c r="L1706" s="36">
        <v>3</v>
      </c>
      <c r="M1706" s="36">
        <v>3</v>
      </c>
      <c r="N1706" s="36">
        <v>3</v>
      </c>
      <c r="O1706" s="36">
        <v>5</v>
      </c>
      <c r="P1706" s="37" t="s">
        <v>292</v>
      </c>
      <c r="Q1706" s="37"/>
      <c r="R1706" s="37" t="s">
        <v>4486</v>
      </c>
    </row>
    <row r="1707" spans="1:18" ht="14.7" hidden="1" thickBot="1" x14ac:dyDescent="0.55000000000000004">
      <c r="A1707" s="36">
        <v>1965</v>
      </c>
      <c r="B1707" s="37" t="s">
        <v>4487</v>
      </c>
      <c r="C1707" s="37" t="s">
        <v>585</v>
      </c>
      <c r="D1707" s="37" t="s">
        <v>485</v>
      </c>
      <c r="E1707" s="37" t="s">
        <v>486</v>
      </c>
      <c r="F1707" s="37" t="s">
        <v>487</v>
      </c>
      <c r="G1707" s="37" t="s">
        <v>488</v>
      </c>
      <c r="H1707" s="37" t="s">
        <v>488</v>
      </c>
      <c r="I1707" s="37" t="s">
        <v>105</v>
      </c>
      <c r="J1707" s="37" t="s">
        <v>105</v>
      </c>
      <c r="K1707" s="37" t="s">
        <v>105</v>
      </c>
      <c r="L1707" s="36">
        <v>3</v>
      </c>
      <c r="M1707" s="36">
        <v>3</v>
      </c>
      <c r="N1707" s="36">
        <v>3</v>
      </c>
      <c r="O1707" s="36">
        <v>4</v>
      </c>
      <c r="P1707" s="37" t="s">
        <v>292</v>
      </c>
      <c r="Q1707" s="37"/>
      <c r="R1707" s="37" t="s">
        <v>4488</v>
      </c>
    </row>
    <row r="1708" spans="1:18" ht="14.7" hidden="1" thickBot="1" x14ac:dyDescent="0.55000000000000004">
      <c r="A1708" s="36">
        <v>1966</v>
      </c>
      <c r="B1708" s="37" t="s">
        <v>4489</v>
      </c>
      <c r="C1708" s="37" t="s">
        <v>843</v>
      </c>
      <c r="D1708" s="37" t="s">
        <v>485</v>
      </c>
      <c r="E1708" s="37" t="s">
        <v>486</v>
      </c>
      <c r="F1708" s="37" t="s">
        <v>658</v>
      </c>
      <c r="G1708" s="37" t="s">
        <v>658</v>
      </c>
      <c r="H1708" s="37" t="s">
        <v>658</v>
      </c>
      <c r="I1708" s="37" t="s">
        <v>105</v>
      </c>
      <c r="J1708" s="37" t="s">
        <v>105</v>
      </c>
      <c r="K1708" s="37" t="s">
        <v>105</v>
      </c>
      <c r="L1708" s="36">
        <v>3</v>
      </c>
      <c r="M1708" s="36">
        <v>3</v>
      </c>
      <c r="N1708" s="36">
        <v>3</v>
      </c>
      <c r="O1708" s="36">
        <v>4</v>
      </c>
      <c r="P1708" s="37" t="s">
        <v>292</v>
      </c>
      <c r="Q1708" s="37"/>
      <c r="R1708" s="37" t="s">
        <v>4490</v>
      </c>
    </row>
    <row r="1709" spans="1:18" ht="14.7" hidden="1" thickBot="1" x14ac:dyDescent="0.55000000000000004">
      <c r="A1709" s="36">
        <v>1967</v>
      </c>
      <c r="B1709" s="37" t="s">
        <v>4491</v>
      </c>
      <c r="C1709" s="37" t="s">
        <v>1555</v>
      </c>
      <c r="D1709" s="37" t="s">
        <v>1533</v>
      </c>
      <c r="E1709" s="37" t="s">
        <v>1483</v>
      </c>
      <c r="F1709" s="37" t="s">
        <v>1530</v>
      </c>
      <c r="G1709" s="37" t="s">
        <v>1530</v>
      </c>
      <c r="H1709" s="37" t="s">
        <v>1545</v>
      </c>
      <c r="I1709" s="37" t="s">
        <v>944</v>
      </c>
      <c r="J1709" s="37" t="s">
        <v>1165</v>
      </c>
      <c r="K1709" s="37" t="s">
        <v>1165</v>
      </c>
      <c r="L1709" s="36">
        <v>1</v>
      </c>
      <c r="M1709" s="36">
        <v>2</v>
      </c>
      <c r="N1709" s="36">
        <v>2</v>
      </c>
      <c r="O1709" s="36">
        <v>3</v>
      </c>
      <c r="P1709" s="37" t="s">
        <v>292</v>
      </c>
      <c r="Q1709" s="37"/>
      <c r="R1709" s="37" t="s">
        <v>4492</v>
      </c>
    </row>
    <row r="1710" spans="1:18" ht="14.7" hidden="1" thickBot="1" x14ac:dyDescent="0.55000000000000004">
      <c r="A1710" s="36">
        <v>1968</v>
      </c>
      <c r="B1710" s="37" t="s">
        <v>4493</v>
      </c>
      <c r="C1710" s="37" t="s">
        <v>4493</v>
      </c>
      <c r="D1710" s="37" t="s">
        <v>1533</v>
      </c>
      <c r="E1710" s="37" t="s">
        <v>1483</v>
      </c>
      <c r="F1710" s="37" t="s">
        <v>1530</v>
      </c>
      <c r="G1710" s="37" t="s">
        <v>1530</v>
      </c>
      <c r="H1710" s="37" t="s">
        <v>1530</v>
      </c>
      <c r="I1710" s="37" t="s">
        <v>944</v>
      </c>
      <c r="J1710" s="37" t="s">
        <v>105</v>
      </c>
      <c r="K1710" s="37" t="s">
        <v>105</v>
      </c>
      <c r="L1710" s="36">
        <v>1</v>
      </c>
      <c r="M1710" s="36">
        <v>2</v>
      </c>
      <c r="N1710" s="36">
        <v>2</v>
      </c>
      <c r="O1710" s="36">
        <v>3</v>
      </c>
      <c r="P1710" s="37" t="s">
        <v>292</v>
      </c>
      <c r="Q1710" s="37"/>
      <c r="R1710" s="37" t="s">
        <v>4494</v>
      </c>
    </row>
    <row r="1711" spans="1:18" ht="27.7" hidden="1" thickBot="1" x14ac:dyDescent="0.55000000000000004">
      <c r="A1711" s="36">
        <v>1969</v>
      </c>
      <c r="B1711" s="37" t="s">
        <v>4495</v>
      </c>
      <c r="C1711" s="37" t="s">
        <v>4493</v>
      </c>
      <c r="D1711" s="37" t="s">
        <v>1533</v>
      </c>
      <c r="E1711" s="37" t="s">
        <v>1483</v>
      </c>
      <c r="F1711" s="37" t="s">
        <v>1530</v>
      </c>
      <c r="G1711" s="37" t="s">
        <v>1530</v>
      </c>
      <c r="H1711" s="37" t="s">
        <v>1530</v>
      </c>
      <c r="I1711" s="37" t="s">
        <v>944</v>
      </c>
      <c r="J1711" s="37" t="s">
        <v>105</v>
      </c>
      <c r="K1711" s="37" t="s">
        <v>105</v>
      </c>
      <c r="L1711" s="36">
        <v>1</v>
      </c>
      <c r="M1711" s="36">
        <v>2</v>
      </c>
      <c r="N1711" s="36">
        <v>2</v>
      </c>
      <c r="O1711" s="36">
        <v>3</v>
      </c>
      <c r="P1711" s="37" t="s">
        <v>292</v>
      </c>
      <c r="Q1711" s="37"/>
      <c r="R1711" s="37" t="s">
        <v>4496</v>
      </c>
    </row>
    <row r="1712" spans="1:18" ht="27.7" hidden="1" thickBot="1" x14ac:dyDescent="0.55000000000000004">
      <c r="A1712" s="36">
        <v>1970</v>
      </c>
      <c r="B1712" s="37" t="s">
        <v>4497</v>
      </c>
      <c r="C1712" s="37" t="s">
        <v>1544</v>
      </c>
      <c r="D1712" s="37" t="s">
        <v>1533</v>
      </c>
      <c r="E1712" s="37" t="s">
        <v>1483</v>
      </c>
      <c r="F1712" s="37" t="s">
        <v>1530</v>
      </c>
      <c r="G1712" s="37" t="s">
        <v>1545</v>
      </c>
      <c r="H1712" s="37" t="s">
        <v>1545</v>
      </c>
      <c r="I1712" s="37" t="s">
        <v>944</v>
      </c>
      <c r="J1712" s="37" t="s">
        <v>105</v>
      </c>
      <c r="K1712" s="37" t="s">
        <v>1675</v>
      </c>
      <c r="L1712" s="36">
        <v>1</v>
      </c>
      <c r="M1712" s="36">
        <v>2</v>
      </c>
      <c r="N1712" s="36">
        <v>2</v>
      </c>
      <c r="O1712" s="36">
        <v>4</v>
      </c>
      <c r="P1712" s="37" t="s">
        <v>292</v>
      </c>
      <c r="Q1712" s="37" t="s">
        <v>4497</v>
      </c>
      <c r="R1712" s="37" t="s">
        <v>4498</v>
      </c>
    </row>
    <row r="1713" spans="1:18" ht="27.7" hidden="1" thickBot="1" x14ac:dyDescent="0.55000000000000004">
      <c r="A1713" s="36">
        <v>1971</v>
      </c>
      <c r="B1713" s="37" t="s">
        <v>4499</v>
      </c>
      <c r="C1713" s="37" t="s">
        <v>1544</v>
      </c>
      <c r="D1713" s="37" t="s">
        <v>1533</v>
      </c>
      <c r="E1713" s="37" t="s">
        <v>1483</v>
      </c>
      <c r="F1713" s="37" t="s">
        <v>1545</v>
      </c>
      <c r="G1713" s="37" t="s">
        <v>1545</v>
      </c>
      <c r="H1713" s="37" t="s">
        <v>1545</v>
      </c>
      <c r="I1713" s="37" t="s">
        <v>944</v>
      </c>
      <c r="J1713" s="37" t="s">
        <v>105</v>
      </c>
      <c r="K1713" s="37" t="s">
        <v>1675</v>
      </c>
      <c r="L1713" s="36">
        <v>1</v>
      </c>
      <c r="M1713" s="36">
        <v>2</v>
      </c>
      <c r="N1713" s="36">
        <v>2</v>
      </c>
      <c r="O1713" s="36">
        <v>3</v>
      </c>
      <c r="P1713" s="37" t="s">
        <v>292</v>
      </c>
      <c r="Q1713" s="37" t="s">
        <v>4499</v>
      </c>
      <c r="R1713" s="37" t="s">
        <v>4500</v>
      </c>
    </row>
    <row r="1714" spans="1:18" ht="27.7" hidden="1" thickBot="1" x14ac:dyDescent="0.55000000000000004">
      <c r="A1714" s="36">
        <v>1972</v>
      </c>
      <c r="B1714" s="37" t="s">
        <v>4501</v>
      </c>
      <c r="C1714" s="37" t="s">
        <v>1561</v>
      </c>
      <c r="D1714" s="37" t="s">
        <v>1562</v>
      </c>
      <c r="E1714" s="37" t="s">
        <v>1163</v>
      </c>
      <c r="F1714" s="37" t="s">
        <v>1566</v>
      </c>
      <c r="G1714" s="37" t="s">
        <v>1566</v>
      </c>
      <c r="H1714" s="37" t="s">
        <v>1566</v>
      </c>
      <c r="I1714" s="37" t="s">
        <v>944</v>
      </c>
      <c r="J1714" s="37" t="s">
        <v>944</v>
      </c>
      <c r="K1714" s="37" t="s">
        <v>1165</v>
      </c>
      <c r="L1714" s="36">
        <v>1</v>
      </c>
      <c r="M1714" s="36">
        <v>2</v>
      </c>
      <c r="N1714" s="36">
        <v>2</v>
      </c>
      <c r="O1714" s="36">
        <v>4</v>
      </c>
      <c r="P1714" s="37" t="s">
        <v>265</v>
      </c>
      <c r="Q1714" s="37"/>
      <c r="R1714" s="37" t="s">
        <v>4502</v>
      </c>
    </row>
    <row r="1715" spans="1:18" ht="27.7" hidden="1" thickBot="1" x14ac:dyDescent="0.55000000000000004">
      <c r="A1715" s="36">
        <v>1973</v>
      </c>
      <c r="B1715" s="37" t="s">
        <v>4503</v>
      </c>
      <c r="C1715" s="37" t="s">
        <v>1671</v>
      </c>
      <c r="D1715" s="37" t="s">
        <v>1562</v>
      </c>
      <c r="E1715" s="37" t="s">
        <v>1163</v>
      </c>
      <c r="F1715" s="37" t="s">
        <v>1566</v>
      </c>
      <c r="G1715" s="37" t="s">
        <v>1566</v>
      </c>
      <c r="H1715" s="37" t="s">
        <v>1566</v>
      </c>
      <c r="I1715" s="37" t="s">
        <v>944</v>
      </c>
      <c r="J1715" s="37" t="s">
        <v>944</v>
      </c>
      <c r="K1715" s="37" t="s">
        <v>1165</v>
      </c>
      <c r="L1715" s="36">
        <v>1</v>
      </c>
      <c r="M1715" s="36">
        <v>2</v>
      </c>
      <c r="N1715" s="36">
        <v>2</v>
      </c>
      <c r="O1715" s="36">
        <v>3</v>
      </c>
      <c r="P1715" s="37" t="s">
        <v>292</v>
      </c>
      <c r="Q1715" s="37"/>
      <c r="R1715" s="37" t="s">
        <v>4504</v>
      </c>
    </row>
    <row r="1716" spans="1:18" ht="27.7" hidden="1" thickBot="1" x14ac:dyDescent="0.55000000000000004">
      <c r="A1716" s="36">
        <v>1974</v>
      </c>
      <c r="B1716" s="37" t="s">
        <v>4505</v>
      </c>
      <c r="C1716" s="37" t="s">
        <v>766</v>
      </c>
      <c r="D1716" s="37" t="s">
        <v>726</v>
      </c>
      <c r="E1716" s="37" t="s">
        <v>683</v>
      </c>
      <c r="F1716" s="37" t="s">
        <v>689</v>
      </c>
      <c r="G1716" s="37" t="s">
        <v>689</v>
      </c>
      <c r="H1716" s="37" t="s">
        <v>712</v>
      </c>
      <c r="I1716" s="37" t="s">
        <v>88</v>
      </c>
      <c r="J1716" s="37" t="s">
        <v>88</v>
      </c>
      <c r="K1716" s="37" t="s">
        <v>88</v>
      </c>
      <c r="L1716" s="36">
        <v>3</v>
      </c>
      <c r="M1716" s="36">
        <v>3</v>
      </c>
      <c r="N1716" s="36">
        <v>3</v>
      </c>
      <c r="O1716" s="36">
        <v>4</v>
      </c>
      <c r="P1716" s="37" t="s">
        <v>292</v>
      </c>
      <c r="Q1716" s="37"/>
      <c r="R1716" s="37" t="s">
        <v>4506</v>
      </c>
    </row>
    <row r="1717" spans="1:18" ht="27.7" hidden="1" thickBot="1" x14ac:dyDescent="0.55000000000000004">
      <c r="A1717" s="36">
        <v>1975</v>
      </c>
      <c r="B1717" s="37" t="s">
        <v>4507</v>
      </c>
      <c r="C1717" s="37" t="s">
        <v>694</v>
      </c>
      <c r="D1717" s="37" t="s">
        <v>694</v>
      </c>
      <c r="E1717" s="37" t="s">
        <v>683</v>
      </c>
      <c r="F1717" s="37" t="s">
        <v>689</v>
      </c>
      <c r="G1717" s="37" t="s">
        <v>689</v>
      </c>
      <c r="H1717" s="37" t="s">
        <v>4508</v>
      </c>
      <c r="I1717" s="37" t="s">
        <v>105</v>
      </c>
      <c r="J1717" s="37" t="s">
        <v>105</v>
      </c>
      <c r="K1717" s="37" t="s">
        <v>105</v>
      </c>
      <c r="L1717" s="36">
        <v>2</v>
      </c>
      <c r="M1717" s="36">
        <v>2</v>
      </c>
      <c r="N1717" s="36">
        <v>2</v>
      </c>
      <c r="O1717" s="36">
        <v>3</v>
      </c>
      <c r="P1717" s="37" t="s">
        <v>292</v>
      </c>
      <c r="Q1717" s="37"/>
      <c r="R1717" s="37" t="s">
        <v>4509</v>
      </c>
    </row>
    <row r="1718" spans="1:18" ht="27.7" hidden="1" thickBot="1" x14ac:dyDescent="0.55000000000000004">
      <c r="A1718" s="36">
        <v>1976</v>
      </c>
      <c r="B1718" s="37" t="s">
        <v>4510</v>
      </c>
      <c r="C1718" s="37" t="s">
        <v>697</v>
      </c>
      <c r="D1718" s="37" t="s">
        <v>697</v>
      </c>
      <c r="E1718" s="37" t="s">
        <v>683</v>
      </c>
      <c r="F1718" s="37" t="s">
        <v>698</v>
      </c>
      <c r="G1718" s="37" t="s">
        <v>698</v>
      </c>
      <c r="H1718" s="37" t="s">
        <v>699</v>
      </c>
      <c r="I1718" s="37" t="s">
        <v>105</v>
      </c>
      <c r="J1718" s="37" t="s">
        <v>105</v>
      </c>
      <c r="K1718" s="37" t="s">
        <v>105</v>
      </c>
      <c r="L1718" s="36">
        <v>2</v>
      </c>
      <c r="M1718" s="36">
        <v>2</v>
      </c>
      <c r="N1718" s="36">
        <v>2</v>
      </c>
      <c r="O1718" s="36">
        <v>4</v>
      </c>
      <c r="P1718" s="37" t="s">
        <v>292</v>
      </c>
      <c r="Q1718" s="37"/>
      <c r="R1718" s="37" t="s">
        <v>4511</v>
      </c>
    </row>
    <row r="1719" spans="1:18" ht="27.7" hidden="1" thickBot="1" x14ac:dyDescent="0.55000000000000004">
      <c r="A1719" s="36">
        <v>1977</v>
      </c>
      <c r="B1719" s="37" t="s">
        <v>4512</v>
      </c>
      <c r="C1719" s="37" t="s">
        <v>688</v>
      </c>
      <c r="D1719" s="37" t="s">
        <v>688</v>
      </c>
      <c r="E1719" s="37" t="s">
        <v>683</v>
      </c>
      <c r="F1719" s="37" t="s">
        <v>689</v>
      </c>
      <c r="G1719" s="37" t="s">
        <v>689</v>
      </c>
      <c r="H1719" s="37" t="s">
        <v>4508</v>
      </c>
      <c r="I1719" s="37" t="s">
        <v>105</v>
      </c>
      <c r="J1719" s="37" t="s">
        <v>105</v>
      </c>
      <c r="K1719" s="37" t="s">
        <v>105</v>
      </c>
      <c r="L1719" s="36">
        <v>2</v>
      </c>
      <c r="M1719" s="36">
        <v>2</v>
      </c>
      <c r="N1719" s="36">
        <v>2</v>
      </c>
      <c r="O1719" s="36">
        <v>3</v>
      </c>
      <c r="P1719" s="37" t="s">
        <v>292</v>
      </c>
      <c r="Q1719" s="37"/>
      <c r="R1719" s="37" t="s">
        <v>4513</v>
      </c>
    </row>
    <row r="1720" spans="1:18" ht="27.7" hidden="1" thickBot="1" x14ac:dyDescent="0.55000000000000004">
      <c r="A1720" s="36">
        <v>1978</v>
      </c>
      <c r="B1720" s="37" t="s">
        <v>4514</v>
      </c>
      <c r="C1720" s="37" t="s">
        <v>760</v>
      </c>
      <c r="D1720" s="37" t="s">
        <v>726</v>
      </c>
      <c r="E1720" s="37" t="s">
        <v>683</v>
      </c>
      <c r="F1720" s="37" t="s">
        <v>689</v>
      </c>
      <c r="G1720" s="37" t="s">
        <v>689</v>
      </c>
      <c r="H1720" s="37" t="s">
        <v>4508</v>
      </c>
      <c r="I1720" s="37" t="s">
        <v>105</v>
      </c>
      <c r="J1720" s="37" t="s">
        <v>105</v>
      </c>
      <c r="K1720" s="37" t="s">
        <v>105</v>
      </c>
      <c r="L1720" s="36">
        <v>2</v>
      </c>
      <c r="M1720" s="36">
        <v>2</v>
      </c>
      <c r="N1720" s="36">
        <v>2</v>
      </c>
      <c r="O1720" s="36">
        <v>3</v>
      </c>
      <c r="P1720" s="37" t="s">
        <v>292</v>
      </c>
      <c r="Q1720" s="37"/>
      <c r="R1720" s="37" t="s">
        <v>4515</v>
      </c>
    </row>
    <row r="1721" spans="1:18" ht="41.35" hidden="1" thickBot="1" x14ac:dyDescent="0.55000000000000004">
      <c r="A1721" s="36">
        <v>1979</v>
      </c>
      <c r="B1721" s="37" t="s">
        <v>4516</v>
      </c>
      <c r="C1721" s="37" t="s">
        <v>518</v>
      </c>
      <c r="D1721" s="37" t="s">
        <v>519</v>
      </c>
      <c r="E1721" s="37" t="s">
        <v>502</v>
      </c>
      <c r="F1721" s="37" t="s">
        <v>520</v>
      </c>
      <c r="G1721" s="37" t="s">
        <v>515</v>
      </c>
      <c r="H1721" s="37" t="s">
        <v>515</v>
      </c>
      <c r="I1721" s="37" t="s">
        <v>264</v>
      </c>
      <c r="J1721" s="37" t="s">
        <v>105</v>
      </c>
      <c r="K1721" s="37" t="s">
        <v>105</v>
      </c>
      <c r="L1721" s="36">
        <v>1</v>
      </c>
      <c r="M1721" s="36">
        <v>3</v>
      </c>
      <c r="N1721" s="36">
        <v>3</v>
      </c>
      <c r="O1721" s="36">
        <v>3</v>
      </c>
      <c r="P1721" s="37" t="s">
        <v>292</v>
      </c>
      <c r="Q1721" s="37"/>
      <c r="R1721" s="37" t="s">
        <v>4517</v>
      </c>
    </row>
    <row r="1722" spans="1:18" ht="41.35" hidden="1" thickBot="1" x14ac:dyDescent="0.55000000000000004">
      <c r="A1722" s="36">
        <v>1980</v>
      </c>
      <c r="B1722" s="37" t="s">
        <v>4518</v>
      </c>
      <c r="C1722" s="37" t="s">
        <v>936</v>
      </c>
      <c r="D1722" s="37" t="s">
        <v>519</v>
      </c>
      <c r="E1722" s="37" t="s">
        <v>502</v>
      </c>
      <c r="F1722" s="37" t="s">
        <v>520</v>
      </c>
      <c r="G1722" s="37" t="s">
        <v>515</v>
      </c>
      <c r="H1722" s="37" t="s">
        <v>515</v>
      </c>
      <c r="I1722" s="37" t="s">
        <v>264</v>
      </c>
      <c r="J1722" s="37" t="s">
        <v>105</v>
      </c>
      <c r="K1722" s="37" t="s">
        <v>105</v>
      </c>
      <c r="L1722" s="36">
        <v>1</v>
      </c>
      <c r="M1722" s="36">
        <v>3</v>
      </c>
      <c r="N1722" s="36">
        <v>3</v>
      </c>
      <c r="O1722" s="36">
        <v>4</v>
      </c>
      <c r="P1722" s="37" t="s">
        <v>292</v>
      </c>
      <c r="Q1722" s="37"/>
      <c r="R1722" s="37" t="s">
        <v>4519</v>
      </c>
    </row>
    <row r="1723" spans="1:18" ht="41.35" hidden="1" thickBot="1" x14ac:dyDescent="0.55000000000000004">
      <c r="A1723" s="36">
        <v>1981</v>
      </c>
      <c r="B1723" s="37" t="s">
        <v>4520</v>
      </c>
      <c r="C1723" s="37" t="s">
        <v>608</v>
      </c>
      <c r="D1723" s="37" t="s">
        <v>519</v>
      </c>
      <c r="E1723" s="37" t="s">
        <v>502</v>
      </c>
      <c r="F1723" s="37" t="s">
        <v>487</v>
      </c>
      <c r="G1723" s="37" t="s">
        <v>515</v>
      </c>
      <c r="H1723" s="37" t="s">
        <v>515</v>
      </c>
      <c r="I1723" s="37" t="s">
        <v>105</v>
      </c>
      <c r="J1723" s="37" t="s">
        <v>105</v>
      </c>
      <c r="K1723" s="37" t="s">
        <v>105</v>
      </c>
      <c r="L1723" s="36">
        <v>3</v>
      </c>
      <c r="M1723" s="36">
        <v>3</v>
      </c>
      <c r="N1723" s="36">
        <v>3</v>
      </c>
      <c r="O1723" s="36">
        <v>4</v>
      </c>
      <c r="P1723" s="37" t="s">
        <v>292</v>
      </c>
      <c r="Q1723" s="37"/>
      <c r="R1723" s="37" t="s">
        <v>4521</v>
      </c>
    </row>
    <row r="1724" spans="1:18" ht="41.35" hidden="1" thickBot="1" x14ac:dyDescent="0.55000000000000004">
      <c r="A1724" s="36">
        <v>1982</v>
      </c>
      <c r="B1724" s="37" t="s">
        <v>4522</v>
      </c>
      <c r="C1724" s="37" t="s">
        <v>936</v>
      </c>
      <c r="D1724" s="37" t="s">
        <v>519</v>
      </c>
      <c r="E1724" s="37" t="s">
        <v>502</v>
      </c>
      <c r="F1724" s="37" t="s">
        <v>520</v>
      </c>
      <c r="G1724" s="37" t="s">
        <v>515</v>
      </c>
      <c r="H1724" s="37" t="s">
        <v>515</v>
      </c>
      <c r="I1724" s="37" t="s">
        <v>264</v>
      </c>
      <c r="J1724" s="37" t="s">
        <v>105</v>
      </c>
      <c r="K1724" s="37" t="s">
        <v>105</v>
      </c>
      <c r="L1724" s="36">
        <v>1</v>
      </c>
      <c r="M1724" s="36">
        <v>3</v>
      </c>
      <c r="N1724" s="36">
        <v>3</v>
      </c>
      <c r="O1724" s="36">
        <v>4</v>
      </c>
      <c r="P1724" s="37" t="s">
        <v>292</v>
      </c>
      <c r="Q1724" s="37"/>
      <c r="R1724" s="37" t="s">
        <v>4523</v>
      </c>
    </row>
    <row r="1725" spans="1:18" ht="41.35" hidden="1" thickBot="1" x14ac:dyDescent="0.55000000000000004">
      <c r="A1725" s="36">
        <v>1983</v>
      </c>
      <c r="B1725" s="37" t="s">
        <v>1765</v>
      </c>
      <c r="C1725" s="37" t="s">
        <v>529</v>
      </c>
      <c r="D1725" s="37" t="s">
        <v>530</v>
      </c>
      <c r="E1725" s="37" t="s">
        <v>502</v>
      </c>
      <c r="F1725" s="37" t="s">
        <v>515</v>
      </c>
      <c r="G1725" s="37" t="s">
        <v>515</v>
      </c>
      <c r="H1725" s="37" t="s">
        <v>515</v>
      </c>
      <c r="I1725" s="37" t="s">
        <v>105</v>
      </c>
      <c r="J1725" s="37" t="s">
        <v>105</v>
      </c>
      <c r="K1725" s="37" t="s">
        <v>105</v>
      </c>
      <c r="L1725" s="36">
        <v>3</v>
      </c>
      <c r="M1725" s="36">
        <v>3</v>
      </c>
      <c r="N1725" s="36">
        <v>3</v>
      </c>
      <c r="O1725" s="36">
        <v>4</v>
      </c>
      <c r="P1725" s="37" t="s">
        <v>292</v>
      </c>
      <c r="Q1725" s="37"/>
      <c r="R1725" s="37" t="s">
        <v>4524</v>
      </c>
    </row>
    <row r="1726" spans="1:18" ht="41.35" hidden="1" thickBot="1" x14ac:dyDescent="0.55000000000000004">
      <c r="A1726" s="36">
        <v>1984</v>
      </c>
      <c r="B1726" s="37" t="s">
        <v>4525</v>
      </c>
      <c r="C1726" s="37" t="s">
        <v>611</v>
      </c>
      <c r="D1726" s="37" t="s">
        <v>519</v>
      </c>
      <c r="E1726" s="37" t="s">
        <v>502</v>
      </c>
      <c r="F1726" s="37" t="s">
        <v>515</v>
      </c>
      <c r="G1726" s="37" t="s">
        <v>515</v>
      </c>
      <c r="H1726" s="37" t="s">
        <v>515</v>
      </c>
      <c r="I1726" s="37" t="s">
        <v>105</v>
      </c>
      <c r="J1726" s="37" t="s">
        <v>105</v>
      </c>
      <c r="K1726" s="37" t="s">
        <v>105</v>
      </c>
      <c r="L1726" s="36">
        <v>3</v>
      </c>
      <c r="M1726" s="36">
        <v>3</v>
      </c>
      <c r="N1726" s="36">
        <v>3</v>
      </c>
      <c r="O1726" s="36">
        <v>4</v>
      </c>
      <c r="P1726" s="37" t="s">
        <v>292</v>
      </c>
      <c r="Q1726" s="37" t="s">
        <v>4525</v>
      </c>
      <c r="R1726" s="37" t="s">
        <v>4526</v>
      </c>
    </row>
    <row r="1727" spans="1:18" ht="41.35" hidden="1" thickBot="1" x14ac:dyDescent="0.55000000000000004">
      <c r="A1727" s="36">
        <v>1985</v>
      </c>
      <c r="B1727" s="37" t="s">
        <v>4527</v>
      </c>
      <c r="C1727" s="37" t="s">
        <v>620</v>
      </c>
      <c r="D1727" s="37" t="s">
        <v>1110</v>
      </c>
      <c r="E1727" s="37" t="s">
        <v>502</v>
      </c>
      <c r="F1727" s="37" t="s">
        <v>515</v>
      </c>
      <c r="G1727" s="37" t="s">
        <v>515</v>
      </c>
      <c r="H1727" s="37" t="s">
        <v>515</v>
      </c>
      <c r="I1727" s="37" t="s">
        <v>105</v>
      </c>
      <c r="J1727" s="37" t="s">
        <v>105</v>
      </c>
      <c r="K1727" s="37" t="s">
        <v>105</v>
      </c>
      <c r="L1727" s="36">
        <v>3</v>
      </c>
      <c r="M1727" s="36">
        <v>3</v>
      </c>
      <c r="N1727" s="36">
        <v>3</v>
      </c>
      <c r="O1727" s="36">
        <v>4</v>
      </c>
      <c r="P1727" s="37" t="s">
        <v>292</v>
      </c>
      <c r="Q1727" s="37"/>
      <c r="R1727" s="37" t="s">
        <v>4528</v>
      </c>
    </row>
    <row r="1728" spans="1:18" ht="41.35" hidden="1" thickBot="1" x14ac:dyDescent="0.55000000000000004">
      <c r="A1728" s="36">
        <v>1986</v>
      </c>
      <c r="B1728" s="37" t="s">
        <v>4529</v>
      </c>
      <c r="C1728" s="37" t="s">
        <v>601</v>
      </c>
      <c r="D1728" s="37" t="s">
        <v>530</v>
      </c>
      <c r="E1728" s="37" t="s">
        <v>502</v>
      </c>
      <c r="F1728" s="37" t="s">
        <v>515</v>
      </c>
      <c r="G1728" s="37" t="s">
        <v>515</v>
      </c>
      <c r="H1728" s="37" t="s">
        <v>515</v>
      </c>
      <c r="I1728" s="37" t="s">
        <v>105</v>
      </c>
      <c r="J1728" s="37" t="s">
        <v>105</v>
      </c>
      <c r="K1728" s="37" t="s">
        <v>105</v>
      </c>
      <c r="L1728" s="36">
        <v>3</v>
      </c>
      <c r="M1728" s="36">
        <v>3</v>
      </c>
      <c r="N1728" s="36">
        <v>3</v>
      </c>
      <c r="O1728" s="36">
        <v>4</v>
      </c>
      <c r="P1728" s="37" t="s">
        <v>292</v>
      </c>
      <c r="Q1728" s="37" t="s">
        <v>4530</v>
      </c>
      <c r="R1728" s="37" t="s">
        <v>4531</v>
      </c>
    </row>
    <row r="1729" spans="1:18" ht="41.35" hidden="1" thickBot="1" x14ac:dyDescent="0.55000000000000004">
      <c r="A1729" s="36">
        <v>1987</v>
      </c>
      <c r="B1729" s="37" t="s">
        <v>4532</v>
      </c>
      <c r="C1729" s="37" t="s">
        <v>608</v>
      </c>
      <c r="D1729" s="37" t="s">
        <v>519</v>
      </c>
      <c r="E1729" s="37" t="s">
        <v>502</v>
      </c>
      <c r="F1729" s="37" t="s">
        <v>515</v>
      </c>
      <c r="G1729" s="37" t="s">
        <v>515</v>
      </c>
      <c r="H1729" s="37" t="s">
        <v>515</v>
      </c>
      <c r="I1729" s="37" t="s">
        <v>105</v>
      </c>
      <c r="J1729" s="37" t="s">
        <v>105</v>
      </c>
      <c r="K1729" s="37" t="s">
        <v>105</v>
      </c>
      <c r="L1729" s="36">
        <v>3</v>
      </c>
      <c r="M1729" s="36">
        <v>3</v>
      </c>
      <c r="N1729" s="36">
        <v>3</v>
      </c>
      <c r="O1729" s="36">
        <v>5</v>
      </c>
      <c r="P1729" s="37" t="s">
        <v>292</v>
      </c>
      <c r="Q1729" s="37" t="s">
        <v>4532</v>
      </c>
      <c r="R1729" s="37" t="s">
        <v>4533</v>
      </c>
    </row>
    <row r="1730" spans="1:18" ht="41.35" hidden="1" thickBot="1" x14ac:dyDescent="0.55000000000000004">
      <c r="A1730" s="36">
        <v>1988</v>
      </c>
      <c r="B1730" s="37" t="s">
        <v>4534</v>
      </c>
      <c r="C1730" s="37" t="s">
        <v>1247</v>
      </c>
      <c r="D1730" s="37" t="s">
        <v>519</v>
      </c>
      <c r="E1730" s="37" t="s">
        <v>502</v>
      </c>
      <c r="F1730" s="37" t="s">
        <v>3761</v>
      </c>
      <c r="G1730" s="37" t="s">
        <v>3761</v>
      </c>
      <c r="H1730" s="37" t="s">
        <v>3761</v>
      </c>
      <c r="I1730" s="37" t="s">
        <v>944</v>
      </c>
      <c r="J1730" s="37" t="s">
        <v>944</v>
      </c>
      <c r="K1730" s="37" t="s">
        <v>944</v>
      </c>
      <c r="L1730" s="36">
        <v>1</v>
      </c>
      <c r="M1730" s="36">
        <v>3</v>
      </c>
      <c r="N1730" s="36">
        <v>3</v>
      </c>
      <c r="O1730" s="36">
        <v>3</v>
      </c>
      <c r="P1730" s="37" t="s">
        <v>292</v>
      </c>
      <c r="Q1730" s="37"/>
      <c r="R1730" s="37" t="s">
        <v>4535</v>
      </c>
    </row>
    <row r="1731" spans="1:18" ht="41.35" hidden="1" thickBot="1" x14ac:dyDescent="0.55000000000000004">
      <c r="A1731" s="36">
        <v>1989</v>
      </c>
      <c r="B1731" s="37" t="s">
        <v>4536</v>
      </c>
      <c r="C1731" s="37" t="s">
        <v>510</v>
      </c>
      <c r="D1731" s="37" t="s">
        <v>501</v>
      </c>
      <c r="E1731" s="37" t="s">
        <v>502</v>
      </c>
      <c r="F1731" s="37" t="s">
        <v>503</v>
      </c>
      <c r="G1731" s="37" t="s">
        <v>493</v>
      </c>
      <c r="H1731" s="37" t="s">
        <v>493</v>
      </c>
      <c r="I1731" s="37" t="s">
        <v>105</v>
      </c>
      <c r="J1731" s="37" t="s">
        <v>105</v>
      </c>
      <c r="K1731" s="37" t="s">
        <v>105</v>
      </c>
      <c r="L1731" s="36">
        <v>3</v>
      </c>
      <c r="M1731" s="36">
        <v>3</v>
      </c>
      <c r="N1731" s="36">
        <v>3</v>
      </c>
      <c r="O1731" s="36">
        <v>4</v>
      </c>
      <c r="P1731" s="37" t="s">
        <v>265</v>
      </c>
      <c r="Q1731" s="37"/>
      <c r="R1731" s="37" t="s">
        <v>4537</v>
      </c>
    </row>
    <row r="1732" spans="1:18" ht="27.7" hidden="1" thickBot="1" x14ac:dyDescent="0.55000000000000004">
      <c r="A1732" s="36">
        <v>1993</v>
      </c>
      <c r="B1732" s="37" t="s">
        <v>4538</v>
      </c>
      <c r="C1732" s="37" t="s">
        <v>2599</v>
      </c>
      <c r="D1732" s="37" t="s">
        <v>2402</v>
      </c>
      <c r="E1732" s="37" t="s">
        <v>2404</v>
      </c>
      <c r="F1732" s="37" t="s">
        <v>2405</v>
      </c>
      <c r="G1732" s="37" t="s">
        <v>2405</v>
      </c>
      <c r="H1732" s="37" t="s">
        <v>2405</v>
      </c>
      <c r="I1732" s="37" t="s">
        <v>2077</v>
      </c>
      <c r="J1732" s="37" t="s">
        <v>2077</v>
      </c>
      <c r="K1732" s="37" t="s">
        <v>2077</v>
      </c>
      <c r="L1732" s="36">
        <v>1</v>
      </c>
      <c r="M1732" s="36">
        <v>1</v>
      </c>
      <c r="N1732" s="36">
        <v>1</v>
      </c>
      <c r="O1732" s="36">
        <v>3</v>
      </c>
      <c r="P1732" s="37" t="s">
        <v>292</v>
      </c>
      <c r="Q1732" s="37"/>
      <c r="R1732" s="37" t="s">
        <v>4539</v>
      </c>
    </row>
    <row r="1733" spans="1:18" ht="27.7" hidden="1" thickBot="1" x14ac:dyDescent="0.55000000000000004">
      <c r="A1733" s="36">
        <v>1994</v>
      </c>
      <c r="B1733" s="37" t="s">
        <v>4540</v>
      </c>
      <c r="C1733" s="37" t="s">
        <v>2606</v>
      </c>
      <c r="D1733" s="37" t="s">
        <v>2402</v>
      </c>
      <c r="E1733" s="37" t="s">
        <v>2404</v>
      </c>
      <c r="F1733" s="37" t="s">
        <v>2405</v>
      </c>
      <c r="G1733" s="37" t="s">
        <v>2405</v>
      </c>
      <c r="H1733" s="37" t="s">
        <v>2405</v>
      </c>
      <c r="I1733" s="37" t="s">
        <v>2077</v>
      </c>
      <c r="J1733" s="37" t="s">
        <v>2077</v>
      </c>
      <c r="K1733" s="37" t="s">
        <v>2077</v>
      </c>
      <c r="L1733" s="36">
        <v>1</v>
      </c>
      <c r="M1733" s="36">
        <v>1</v>
      </c>
      <c r="N1733" s="36">
        <v>1</v>
      </c>
      <c r="O1733" s="36">
        <v>2</v>
      </c>
      <c r="P1733" s="37" t="s">
        <v>292</v>
      </c>
      <c r="Q1733" s="37"/>
      <c r="R1733" s="37" t="s">
        <v>4541</v>
      </c>
    </row>
    <row r="1734" spans="1:18" ht="41.35" hidden="1" thickBot="1" x14ac:dyDescent="0.55000000000000004">
      <c r="A1734" s="36">
        <v>2001</v>
      </c>
      <c r="B1734" s="37" t="s">
        <v>2423</v>
      </c>
      <c r="C1734" s="37" t="s">
        <v>2423</v>
      </c>
      <c r="D1734" s="37" t="s">
        <v>2383</v>
      </c>
      <c r="E1734" s="37" t="s">
        <v>2037</v>
      </c>
      <c r="F1734" s="37" t="s">
        <v>2400</v>
      </c>
      <c r="G1734" s="37" t="s">
        <v>2400</v>
      </c>
      <c r="H1734" s="37" t="s">
        <v>2393</v>
      </c>
      <c r="I1734" s="37" t="s">
        <v>2077</v>
      </c>
      <c r="J1734" s="37" t="s">
        <v>2077</v>
      </c>
      <c r="K1734" s="37" t="s">
        <v>4137</v>
      </c>
      <c r="L1734" s="36">
        <v>3</v>
      </c>
      <c r="M1734" s="36">
        <v>3</v>
      </c>
      <c r="N1734" s="36">
        <v>3</v>
      </c>
      <c r="O1734" s="36">
        <v>3</v>
      </c>
      <c r="P1734" s="37" t="s">
        <v>292</v>
      </c>
      <c r="Q1734" s="37" t="s">
        <v>4542</v>
      </c>
      <c r="R1734" s="37" t="s">
        <v>4543</v>
      </c>
    </row>
    <row r="1735" spans="1:18" ht="27.7" hidden="1" thickBot="1" x14ac:dyDescent="0.55000000000000004">
      <c r="A1735" s="36">
        <v>2002</v>
      </c>
      <c r="B1735" s="37" t="s">
        <v>4544</v>
      </c>
      <c r="C1735" s="37" t="s">
        <v>2396</v>
      </c>
      <c r="D1735" s="37" t="s">
        <v>2383</v>
      </c>
      <c r="E1735" s="37" t="s">
        <v>2037</v>
      </c>
      <c r="F1735" s="37" t="s">
        <v>2400</v>
      </c>
      <c r="G1735" s="37" t="s">
        <v>2400</v>
      </c>
      <c r="H1735" s="37" t="s">
        <v>2400</v>
      </c>
      <c r="I1735" s="37" t="s">
        <v>2077</v>
      </c>
      <c r="J1735" s="37" t="s">
        <v>2077</v>
      </c>
      <c r="K1735" s="37" t="s">
        <v>2077</v>
      </c>
      <c r="L1735" s="36">
        <v>3</v>
      </c>
      <c r="M1735" s="36">
        <v>3</v>
      </c>
      <c r="N1735" s="36">
        <v>3</v>
      </c>
      <c r="O1735" s="36">
        <v>4</v>
      </c>
      <c r="P1735" s="37" t="s">
        <v>292</v>
      </c>
      <c r="Q1735" s="37" t="s">
        <v>4545</v>
      </c>
      <c r="R1735" s="37" t="s">
        <v>4546</v>
      </c>
    </row>
    <row r="1736" spans="1:18" ht="27.7" hidden="1" thickBot="1" x14ac:dyDescent="0.55000000000000004">
      <c r="A1736" s="36">
        <v>2003</v>
      </c>
      <c r="B1736" s="37" t="s">
        <v>4547</v>
      </c>
      <c r="C1736" s="37" t="s">
        <v>2410</v>
      </c>
      <c r="D1736" s="37" t="s">
        <v>2383</v>
      </c>
      <c r="E1736" s="37" t="s">
        <v>2037</v>
      </c>
      <c r="F1736" s="37" t="s">
        <v>2400</v>
      </c>
      <c r="G1736" s="37" t="s">
        <v>2400</v>
      </c>
      <c r="H1736" s="37" t="s">
        <v>2400</v>
      </c>
      <c r="I1736" s="37" t="s">
        <v>2077</v>
      </c>
      <c r="J1736" s="37" t="s">
        <v>2077</v>
      </c>
      <c r="K1736" s="37" t="s">
        <v>2077</v>
      </c>
      <c r="L1736" s="36">
        <v>3</v>
      </c>
      <c r="M1736" s="36">
        <v>3</v>
      </c>
      <c r="N1736" s="36">
        <v>3</v>
      </c>
      <c r="O1736" s="36">
        <v>3</v>
      </c>
      <c r="P1736" s="37" t="s">
        <v>292</v>
      </c>
      <c r="Q1736" s="37" t="s">
        <v>4548</v>
      </c>
      <c r="R1736" s="37" t="s">
        <v>4549</v>
      </c>
    </row>
    <row r="1737" spans="1:18" ht="27.7" hidden="1" thickBot="1" x14ac:dyDescent="0.55000000000000004">
      <c r="A1737" s="36">
        <v>2004</v>
      </c>
      <c r="B1737" s="37" t="s">
        <v>4550</v>
      </c>
      <c r="C1737" s="37" t="s">
        <v>2418</v>
      </c>
      <c r="D1737" s="37" t="s">
        <v>2383</v>
      </c>
      <c r="E1737" s="37" t="s">
        <v>2037</v>
      </c>
      <c r="F1737" s="37" t="s">
        <v>2400</v>
      </c>
      <c r="G1737" s="37" t="s">
        <v>2400</v>
      </c>
      <c r="H1737" s="37" t="s">
        <v>2400</v>
      </c>
      <c r="I1737" s="37" t="s">
        <v>2077</v>
      </c>
      <c r="J1737" s="37" t="s">
        <v>2077</v>
      </c>
      <c r="K1737" s="37" t="s">
        <v>2077</v>
      </c>
      <c r="L1737" s="36">
        <v>3</v>
      </c>
      <c r="M1737" s="36">
        <v>3</v>
      </c>
      <c r="N1737" s="36">
        <v>3</v>
      </c>
      <c r="O1737" s="36">
        <v>4</v>
      </c>
      <c r="P1737" s="37" t="s">
        <v>292</v>
      </c>
      <c r="Q1737" s="37" t="s">
        <v>4551</v>
      </c>
      <c r="R1737" s="37" t="s">
        <v>4552</v>
      </c>
    </row>
    <row r="1738" spans="1:18" ht="27.7" hidden="1" thickBot="1" x14ac:dyDescent="0.55000000000000004">
      <c r="A1738" s="36">
        <v>2005</v>
      </c>
      <c r="B1738" s="37" t="s">
        <v>2430</v>
      </c>
      <c r="C1738" s="37" t="s">
        <v>2430</v>
      </c>
      <c r="D1738" s="37" t="s">
        <v>2383</v>
      </c>
      <c r="E1738" s="37" t="s">
        <v>2037</v>
      </c>
      <c r="F1738" s="37" t="s">
        <v>4553</v>
      </c>
      <c r="G1738" s="37" t="s">
        <v>4553</v>
      </c>
      <c r="H1738" s="37" t="s">
        <v>4553</v>
      </c>
      <c r="I1738" s="37" t="s">
        <v>88</v>
      </c>
      <c r="J1738" s="37" t="s">
        <v>88</v>
      </c>
      <c r="K1738" s="37" t="s">
        <v>4137</v>
      </c>
      <c r="L1738" s="36">
        <v>2</v>
      </c>
      <c r="M1738" s="36">
        <v>2</v>
      </c>
      <c r="N1738" s="36">
        <v>2</v>
      </c>
      <c r="O1738" s="36">
        <v>3</v>
      </c>
      <c r="P1738" s="37" t="s">
        <v>265</v>
      </c>
      <c r="Q1738" s="37" t="s">
        <v>4554</v>
      </c>
      <c r="R1738" s="37" t="s">
        <v>4555</v>
      </c>
    </row>
    <row r="1739" spans="1:18" ht="27.7" hidden="1" thickBot="1" x14ac:dyDescent="0.55000000000000004">
      <c r="A1739" s="36">
        <v>2006</v>
      </c>
      <c r="B1739" s="37" t="s">
        <v>4556</v>
      </c>
      <c r="C1739" s="37" t="s">
        <v>2396</v>
      </c>
      <c r="D1739" s="37" t="s">
        <v>2383</v>
      </c>
      <c r="E1739" s="37" t="s">
        <v>2037</v>
      </c>
      <c r="F1739" s="37" t="s">
        <v>4553</v>
      </c>
      <c r="G1739" s="37" t="s">
        <v>4553</v>
      </c>
      <c r="H1739" s="37" t="s">
        <v>4553</v>
      </c>
      <c r="I1739" s="37" t="s">
        <v>2077</v>
      </c>
      <c r="J1739" s="37" t="s">
        <v>2077</v>
      </c>
      <c r="K1739" s="37" t="s">
        <v>2077</v>
      </c>
      <c r="L1739" s="36">
        <v>2</v>
      </c>
      <c r="M1739" s="36">
        <v>2</v>
      </c>
      <c r="N1739" s="36">
        <v>2</v>
      </c>
      <c r="O1739" s="36">
        <v>2</v>
      </c>
      <c r="P1739" s="37" t="s">
        <v>265</v>
      </c>
      <c r="Q1739" s="37" t="s">
        <v>4557</v>
      </c>
      <c r="R1739" s="37" t="s">
        <v>4558</v>
      </c>
    </row>
    <row r="1740" spans="1:18" ht="27.7" hidden="1" thickBot="1" x14ac:dyDescent="0.55000000000000004">
      <c r="A1740" s="36">
        <v>2007</v>
      </c>
      <c r="B1740" s="37" t="s">
        <v>4559</v>
      </c>
      <c r="C1740" s="37" t="s">
        <v>2423</v>
      </c>
      <c r="D1740" s="37" t="s">
        <v>2383</v>
      </c>
      <c r="E1740" s="37" t="s">
        <v>2037</v>
      </c>
      <c r="F1740" s="37" t="s">
        <v>2400</v>
      </c>
      <c r="G1740" s="37" t="s">
        <v>2400</v>
      </c>
      <c r="H1740" s="37" t="s">
        <v>4553</v>
      </c>
      <c r="I1740" s="37" t="s">
        <v>2077</v>
      </c>
      <c r="J1740" s="37" t="s">
        <v>2077</v>
      </c>
      <c r="K1740" s="37" t="s">
        <v>4137</v>
      </c>
      <c r="L1740" s="36">
        <v>2</v>
      </c>
      <c r="M1740" s="36">
        <v>2</v>
      </c>
      <c r="N1740" s="36">
        <v>2</v>
      </c>
      <c r="O1740" s="36">
        <v>2</v>
      </c>
      <c r="P1740" s="37" t="s">
        <v>292</v>
      </c>
      <c r="Q1740" s="37"/>
      <c r="R1740" s="37" t="s">
        <v>4560</v>
      </c>
    </row>
    <row r="1741" spans="1:18" ht="27.7" hidden="1" thickBot="1" x14ac:dyDescent="0.55000000000000004">
      <c r="A1741" s="36">
        <v>2012</v>
      </c>
      <c r="B1741" s="37" t="s">
        <v>4561</v>
      </c>
      <c r="C1741" s="37" t="s">
        <v>710</v>
      </c>
      <c r="D1741" s="37" t="s">
        <v>711</v>
      </c>
      <c r="E1741" s="37" t="s">
        <v>683</v>
      </c>
      <c r="F1741" s="37" t="s">
        <v>689</v>
      </c>
      <c r="G1741" s="37" t="s">
        <v>689</v>
      </c>
      <c r="H1741" s="37" t="s">
        <v>699</v>
      </c>
      <c r="I1741" s="37" t="s">
        <v>105</v>
      </c>
      <c r="J1741" s="37" t="s">
        <v>105</v>
      </c>
      <c r="K1741" s="37" t="s">
        <v>105</v>
      </c>
      <c r="L1741" s="36">
        <v>2</v>
      </c>
      <c r="M1741" s="36">
        <v>2</v>
      </c>
      <c r="N1741" s="36">
        <v>2</v>
      </c>
      <c r="O1741" s="36">
        <v>4</v>
      </c>
      <c r="P1741" s="37" t="s">
        <v>292</v>
      </c>
      <c r="Q1741" s="37"/>
      <c r="R1741" s="37" t="s">
        <v>4562</v>
      </c>
    </row>
    <row r="1742" spans="1:18" ht="27.7" hidden="1" thickBot="1" x14ac:dyDescent="0.55000000000000004">
      <c r="A1742" s="36">
        <v>2013</v>
      </c>
      <c r="B1742" s="37" t="s">
        <v>4563</v>
      </c>
      <c r="C1742" s="37" t="s">
        <v>709</v>
      </c>
      <c r="D1742" s="37" t="s">
        <v>711</v>
      </c>
      <c r="E1742" s="37" t="s">
        <v>683</v>
      </c>
      <c r="F1742" s="37" t="s">
        <v>689</v>
      </c>
      <c r="G1742" s="37" t="s">
        <v>712</v>
      </c>
      <c r="H1742" s="37" t="s">
        <v>712</v>
      </c>
      <c r="I1742" s="37" t="s">
        <v>105</v>
      </c>
      <c r="J1742" s="37" t="s">
        <v>88</v>
      </c>
      <c r="K1742" s="37" t="s">
        <v>88</v>
      </c>
      <c r="L1742" s="36">
        <v>2</v>
      </c>
      <c r="M1742" s="36">
        <v>2</v>
      </c>
      <c r="N1742" s="36">
        <v>2</v>
      </c>
      <c r="O1742" s="36">
        <v>4</v>
      </c>
      <c r="P1742" s="37" t="s">
        <v>265</v>
      </c>
      <c r="Q1742" s="37"/>
      <c r="R1742" s="37" t="s">
        <v>4564</v>
      </c>
    </row>
    <row r="1743" spans="1:18" ht="27.7" hidden="1" thickBot="1" x14ac:dyDescent="0.55000000000000004">
      <c r="A1743" s="36">
        <v>2014</v>
      </c>
      <c r="B1743" s="37" t="s">
        <v>4565</v>
      </c>
      <c r="C1743" s="37" t="s">
        <v>725</v>
      </c>
      <c r="D1743" s="37" t="s">
        <v>726</v>
      </c>
      <c r="E1743" s="37" t="s">
        <v>683</v>
      </c>
      <c r="F1743" s="37" t="s">
        <v>689</v>
      </c>
      <c r="G1743" s="37" t="s">
        <v>689</v>
      </c>
      <c r="H1743" s="37" t="s">
        <v>712</v>
      </c>
      <c r="I1743" s="37" t="s">
        <v>88</v>
      </c>
      <c r="J1743" s="37" t="s">
        <v>88</v>
      </c>
      <c r="K1743" s="37" t="s">
        <v>88</v>
      </c>
      <c r="L1743" s="36">
        <v>2</v>
      </c>
      <c r="M1743" s="36">
        <v>2</v>
      </c>
      <c r="N1743" s="36">
        <v>2</v>
      </c>
      <c r="O1743" s="36">
        <v>4</v>
      </c>
      <c r="P1743" s="37" t="s">
        <v>265</v>
      </c>
      <c r="Q1743" s="37"/>
      <c r="R1743" s="37" t="s">
        <v>4566</v>
      </c>
    </row>
  </sheetData>
  <autoFilter ref="A1:R1743" xr:uid="{11C07E8C-5261-4722-AB17-8874381EE776}">
    <filterColumn colId="4">
      <filters>
        <filter val="Bengal Empire"/>
        <filter val="Deccan Empire"/>
        <filter val="Rajastan"/>
      </filters>
    </filterColumn>
    <filterColumn colId="5" showButton="0"/>
    <filterColumn colId="6" showButton="0"/>
    <filterColumn colId="8" showButton="0"/>
    <filterColumn colId="9" showButton="0"/>
    <filterColumn colId="11" showButton="0"/>
    <filterColumn colId="12" showButton="0"/>
    <filterColumn colId="13" showButton="0"/>
  </autoFilter>
  <mergeCells count="11">
    <mergeCell ref="I1:K1"/>
    <mergeCell ref="L1:O1"/>
    <mergeCell ref="P1:P2"/>
    <mergeCell ref="Q1:Q2"/>
    <mergeCell ref="R1:R2"/>
    <mergeCell ref="F1:H1"/>
    <mergeCell ref="A1:A2"/>
    <mergeCell ref="B1:B2"/>
    <mergeCell ref="C1:C2"/>
    <mergeCell ref="D1:D2"/>
    <mergeCell ref="E1:E2"/>
  </mergeCells>
  <hyperlinks>
    <hyperlink ref="A1" r:id="rId1" tooltip="Map modding" display="https://ck2.paradoxwikis.com/Map_modding" xr:uid="{C914D955-4F79-40E0-A0D8-E583DFEB1864}"/>
    <hyperlink ref="C1" r:id="rId2" tooltip="Duchies" display="https://ck2.paradoxwikis.com/Duchies" xr:uid="{0C06E23A-C9F0-424D-B0E0-C97A51735774}"/>
    <hyperlink ref="D1" r:id="rId3" tooltip="Kingdoms" display="https://ck2.paradoxwikis.com/Kingdoms" xr:uid="{8EFD0435-7C2E-4252-BD21-9A44D3AC1A19}"/>
    <hyperlink ref="E1" r:id="rId4" tooltip="Empires" display="https://ck2.paradoxwikis.com/Empires" xr:uid="{02F2D5CC-5D02-4ECE-87B0-D599FE1CD7F1}"/>
    <hyperlink ref="F1" r:id="rId5" tooltip="Culture" display="https://ck2.paradoxwikis.com/Culture" xr:uid="{DAE66DDB-F20B-4CDE-8DAD-A3BD388EF21C}"/>
    <hyperlink ref="I1" r:id="rId6" tooltip="Religion" display="https://ck2.paradoxwikis.com/Religion" xr:uid="{1D36AD89-1260-466D-BAA9-011F94B0A010}"/>
    <hyperlink ref="L1" r:id="rId7" tooltip="Holding" display="https://ck2.paradoxwikis.com/Holding" xr:uid="{79C9EC54-8419-4A48-AF13-A4807CDCF7D7}"/>
    <hyperlink ref="R1" r:id="rId8" tooltip="Map modding" display="https://ck2.paradoxwikis.com/Map_modding" xr:uid="{2B66F819-9AB6-4B08-93D0-B4CDE11DBB28}"/>
  </hyperlinks>
  <pageMargins left="0.7" right="0.7" top="0.75" bottom="0.75" header="0.3" footer="0.3"/>
  <pageSetup orientation="portrait" horizontalDpi="0" verticalDpi="0" r:id="rId9"/>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5C31E0FE-96ED-41DD-ACBC-C20379AC9DC9}">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20</vt:i4>
      </vt:variant>
    </vt:vector>
  </HeadingPairs>
  <TitlesOfParts>
    <vt:vector size="20" baseType="lpstr">
      <vt:lpstr>solar system</vt:lpstr>
      <vt:lpstr>western pacific</vt:lpstr>
      <vt:lpstr>pivot</vt:lpstr>
      <vt:lpstr>religions</vt:lpstr>
      <vt:lpstr>religion 2.0</vt:lpstr>
      <vt:lpstr>Sheet1</vt:lpstr>
      <vt:lpstr>misc province names</vt:lpstr>
      <vt:lpstr>culture (old)</vt:lpstr>
      <vt:lpstr>Sheet12</vt:lpstr>
      <vt:lpstr>cultures 2.0</vt:lpstr>
      <vt:lpstr>bogan boys</vt:lpstr>
      <vt:lpstr>bogan girls</vt:lpstr>
      <vt:lpstr>aus boys</vt:lpstr>
      <vt:lpstr>aus girls</vt:lpstr>
      <vt:lpstr>nz</vt:lpstr>
      <vt:lpstr>culture titles</vt:lpstr>
      <vt:lpstr>Titles</vt:lpstr>
      <vt:lpstr>culture code</vt:lpstr>
      <vt:lpstr>culture group</vt:lpstr>
      <vt:lpstr>provinces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Max Pirtle</dc:creator>
  <cp:lastModifiedBy>Max Pirtle</cp:lastModifiedBy>
  <dcterms:created xsi:type="dcterms:W3CDTF">2021-06-04T16:14:29Z</dcterms:created>
  <dcterms:modified xsi:type="dcterms:W3CDTF">2022-02-03T15:04:14Z</dcterms:modified>
</cp:coreProperties>
</file>